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l\DEV\Project Civil\"/>
    </mc:Choice>
  </mc:AlternateContent>
  <xr:revisionPtr revIDLastSave="0" documentId="13_ncr:1_{10465D85-C814-48CA-A34A-7F15B5BF9116}" xr6:coauthVersionLast="47" xr6:coauthVersionMax="47" xr10:uidLastSave="{00000000-0000-0000-0000-000000000000}"/>
  <bookViews>
    <workbookView xWindow="28800" yWindow="0" windowWidth="14400" windowHeight="16200" activeTab="3" xr2:uid="{CCA5637F-F959-4D4E-B774-E5855E127424}"/>
  </bookViews>
  <sheets>
    <sheet name="combined" sheetId="1" r:id="rId1"/>
    <sheet name="extended" sheetId="2" r:id="rId2"/>
    <sheet name="dim" sheetId="3" r:id="rId3"/>
    <sheet name="non dim 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3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4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3" i="2"/>
  <c r="N506" i="2"/>
  <c r="F506" i="2"/>
  <c r="I506" i="2" s="1"/>
  <c r="N505" i="2"/>
  <c r="F505" i="2"/>
  <c r="I505" i="2" s="1"/>
  <c r="N504" i="2"/>
  <c r="F504" i="2"/>
  <c r="I504" i="2" s="1"/>
  <c r="N503" i="2"/>
  <c r="F503" i="2"/>
  <c r="I503" i="2" s="1"/>
  <c r="N502" i="2"/>
  <c r="F502" i="2"/>
  <c r="I502" i="2" s="1"/>
  <c r="N501" i="2"/>
  <c r="F501" i="2"/>
  <c r="I501" i="2" s="1"/>
  <c r="N500" i="2"/>
  <c r="F500" i="2"/>
  <c r="I500" i="2" s="1"/>
  <c r="N499" i="2"/>
  <c r="F499" i="2"/>
  <c r="I499" i="2" s="1"/>
  <c r="N498" i="2"/>
  <c r="F498" i="2"/>
  <c r="I498" i="2" s="1"/>
  <c r="N497" i="2"/>
  <c r="F497" i="2"/>
  <c r="I497" i="2" s="1"/>
  <c r="N496" i="2"/>
  <c r="F496" i="2"/>
  <c r="I496" i="2" s="1"/>
  <c r="N495" i="2"/>
  <c r="F495" i="2"/>
  <c r="I495" i="2" s="1"/>
  <c r="N494" i="2"/>
  <c r="F494" i="2"/>
  <c r="I494" i="2" s="1"/>
  <c r="N493" i="2"/>
  <c r="F493" i="2"/>
  <c r="I493" i="2" s="1"/>
  <c r="N492" i="2"/>
  <c r="F492" i="2"/>
  <c r="I492" i="2" s="1"/>
  <c r="N491" i="2"/>
  <c r="F491" i="2"/>
  <c r="I491" i="2" s="1"/>
  <c r="N490" i="2"/>
  <c r="F490" i="2"/>
  <c r="I490" i="2" s="1"/>
  <c r="N489" i="2"/>
  <c r="F489" i="2"/>
  <c r="I489" i="2" s="1"/>
  <c r="N488" i="2"/>
  <c r="F488" i="2"/>
  <c r="I488" i="2" s="1"/>
  <c r="N487" i="2"/>
  <c r="F487" i="2"/>
  <c r="I487" i="2" s="1"/>
  <c r="N486" i="2"/>
  <c r="F486" i="2"/>
  <c r="I486" i="2" s="1"/>
  <c r="N485" i="2"/>
  <c r="F485" i="2"/>
  <c r="I485" i="2" s="1"/>
  <c r="N484" i="2"/>
  <c r="F484" i="2"/>
  <c r="I484" i="2" s="1"/>
  <c r="N483" i="2"/>
  <c r="F483" i="2"/>
  <c r="I483" i="2" s="1"/>
  <c r="N482" i="2"/>
  <c r="F482" i="2"/>
  <c r="I482" i="2" s="1"/>
  <c r="N481" i="2"/>
  <c r="F481" i="2"/>
  <c r="I481" i="2" s="1"/>
  <c r="N480" i="2"/>
  <c r="F480" i="2"/>
  <c r="I480" i="2" s="1"/>
  <c r="N479" i="2"/>
  <c r="F479" i="2"/>
  <c r="I479" i="2" s="1"/>
  <c r="N478" i="2"/>
  <c r="F478" i="2"/>
  <c r="I478" i="2" s="1"/>
  <c r="N477" i="2"/>
  <c r="F477" i="2"/>
  <c r="I477" i="2" s="1"/>
  <c r="N476" i="2"/>
  <c r="F476" i="2"/>
  <c r="I476" i="2" s="1"/>
  <c r="N475" i="2"/>
  <c r="F475" i="2"/>
  <c r="I475" i="2" s="1"/>
  <c r="N474" i="2"/>
  <c r="F474" i="2"/>
  <c r="I474" i="2" s="1"/>
  <c r="N473" i="2"/>
  <c r="F473" i="2"/>
  <c r="I473" i="2" s="1"/>
  <c r="N472" i="2"/>
  <c r="F472" i="2"/>
  <c r="I472" i="2" s="1"/>
  <c r="N471" i="2"/>
  <c r="F471" i="2"/>
  <c r="I471" i="2" s="1"/>
  <c r="N470" i="2"/>
  <c r="F470" i="2"/>
  <c r="I470" i="2" s="1"/>
  <c r="N469" i="2"/>
  <c r="F469" i="2"/>
  <c r="I469" i="2" s="1"/>
  <c r="N468" i="2"/>
  <c r="F468" i="2"/>
  <c r="I468" i="2" s="1"/>
  <c r="N467" i="2"/>
  <c r="F467" i="2"/>
  <c r="I467" i="2" s="1"/>
  <c r="N466" i="2"/>
  <c r="F466" i="2"/>
  <c r="I466" i="2" s="1"/>
  <c r="N465" i="2"/>
  <c r="F465" i="2"/>
  <c r="I465" i="2" s="1"/>
  <c r="N464" i="2"/>
  <c r="F464" i="2"/>
  <c r="I464" i="2" s="1"/>
  <c r="N463" i="2"/>
  <c r="F463" i="2"/>
  <c r="I463" i="2" s="1"/>
  <c r="N462" i="2"/>
  <c r="F462" i="2"/>
  <c r="I462" i="2" s="1"/>
  <c r="N461" i="2"/>
  <c r="F461" i="2"/>
  <c r="I461" i="2" s="1"/>
  <c r="N460" i="2"/>
  <c r="F460" i="2"/>
  <c r="I460" i="2" s="1"/>
  <c r="N459" i="2"/>
  <c r="F459" i="2"/>
  <c r="I459" i="2" s="1"/>
  <c r="N458" i="2"/>
  <c r="F458" i="2"/>
  <c r="I458" i="2" s="1"/>
  <c r="N457" i="2"/>
  <c r="F457" i="2"/>
  <c r="I457" i="2" s="1"/>
  <c r="N456" i="2"/>
  <c r="F456" i="2"/>
  <c r="I456" i="2" s="1"/>
  <c r="N455" i="2"/>
  <c r="F455" i="2"/>
  <c r="I455" i="2" s="1"/>
  <c r="N454" i="2"/>
  <c r="F454" i="2"/>
  <c r="I454" i="2" s="1"/>
  <c r="N453" i="2"/>
  <c r="F453" i="2"/>
  <c r="I453" i="2" s="1"/>
  <c r="N452" i="2"/>
  <c r="F452" i="2"/>
  <c r="I452" i="2" s="1"/>
  <c r="N451" i="2"/>
  <c r="F451" i="2"/>
  <c r="I451" i="2" s="1"/>
  <c r="N450" i="2"/>
  <c r="F450" i="2"/>
  <c r="I450" i="2" s="1"/>
  <c r="N449" i="2"/>
  <c r="I449" i="2"/>
  <c r="F449" i="2"/>
  <c r="N448" i="2"/>
  <c r="F448" i="2"/>
  <c r="I448" i="2" s="1"/>
  <c r="N447" i="2"/>
  <c r="L447" i="2" s="1"/>
  <c r="I447" i="2"/>
  <c r="F447" i="2"/>
  <c r="N446" i="2"/>
  <c r="F446" i="2"/>
  <c r="I446" i="2" s="1"/>
  <c r="N445" i="2"/>
  <c r="I445" i="2"/>
  <c r="F445" i="2"/>
  <c r="N444" i="2"/>
  <c r="L444" i="2" s="1"/>
  <c r="F444" i="2"/>
  <c r="I444" i="2" s="1"/>
  <c r="N443" i="2"/>
  <c r="L443" i="2" s="1"/>
  <c r="I443" i="2"/>
  <c r="F443" i="2"/>
  <c r="N442" i="2"/>
  <c r="L442" i="2" s="1"/>
  <c r="F442" i="2"/>
  <c r="I442" i="2" s="1"/>
  <c r="N441" i="2"/>
  <c r="I441" i="2"/>
  <c r="F441" i="2"/>
  <c r="N440" i="2"/>
  <c r="F440" i="2"/>
  <c r="I440" i="2" s="1"/>
  <c r="N439" i="2"/>
  <c r="L439" i="2" s="1"/>
  <c r="I439" i="2"/>
  <c r="F439" i="2"/>
  <c r="N438" i="2"/>
  <c r="F438" i="2"/>
  <c r="I438" i="2" s="1"/>
  <c r="N437" i="2"/>
  <c r="I437" i="2"/>
  <c r="F437" i="2"/>
  <c r="N436" i="2"/>
  <c r="L436" i="2" s="1"/>
  <c r="F436" i="2"/>
  <c r="I436" i="2" s="1"/>
  <c r="N435" i="2"/>
  <c r="L435" i="2" s="1"/>
  <c r="I435" i="2"/>
  <c r="F435" i="2"/>
  <c r="N434" i="2"/>
  <c r="L434" i="2" s="1"/>
  <c r="F434" i="2"/>
  <c r="I434" i="2" s="1"/>
  <c r="N433" i="2"/>
  <c r="I433" i="2"/>
  <c r="F433" i="2"/>
  <c r="N432" i="2"/>
  <c r="F432" i="2"/>
  <c r="I432" i="2" s="1"/>
  <c r="N431" i="2"/>
  <c r="L431" i="2" s="1"/>
  <c r="I431" i="2"/>
  <c r="F431" i="2"/>
  <c r="N430" i="2"/>
  <c r="F430" i="2"/>
  <c r="I430" i="2" s="1"/>
  <c r="N429" i="2"/>
  <c r="I429" i="2"/>
  <c r="F429" i="2"/>
  <c r="N428" i="2"/>
  <c r="L428" i="2" s="1"/>
  <c r="F428" i="2"/>
  <c r="I428" i="2" s="1"/>
  <c r="N427" i="2"/>
  <c r="L427" i="2" s="1"/>
  <c r="I427" i="2"/>
  <c r="F427" i="2"/>
  <c r="N426" i="2"/>
  <c r="L426" i="2" s="1"/>
  <c r="F426" i="2"/>
  <c r="I426" i="2" s="1"/>
  <c r="N425" i="2"/>
  <c r="I425" i="2"/>
  <c r="F425" i="2"/>
  <c r="N424" i="2"/>
  <c r="F424" i="2"/>
  <c r="I424" i="2" s="1"/>
  <c r="N423" i="2"/>
  <c r="L423" i="2" s="1"/>
  <c r="I423" i="2"/>
  <c r="F423" i="2"/>
  <c r="N422" i="2"/>
  <c r="F422" i="2"/>
  <c r="I422" i="2" s="1"/>
  <c r="N421" i="2"/>
  <c r="F421" i="2"/>
  <c r="I421" i="2" s="1"/>
  <c r="N420" i="2"/>
  <c r="L420" i="2"/>
  <c r="F420" i="2"/>
  <c r="I420" i="2" s="1"/>
  <c r="N419" i="2"/>
  <c r="L419" i="2"/>
  <c r="F419" i="2"/>
  <c r="I419" i="2" s="1"/>
  <c r="N418" i="2"/>
  <c r="F418" i="2"/>
  <c r="N417" i="2"/>
  <c r="F417" i="2"/>
  <c r="I417" i="2" s="1"/>
  <c r="N416" i="2"/>
  <c r="L416" i="2"/>
  <c r="F416" i="2"/>
  <c r="I416" i="2" s="1"/>
  <c r="N415" i="2"/>
  <c r="L415" i="2"/>
  <c r="F415" i="2"/>
  <c r="I415" i="2" s="1"/>
  <c r="N414" i="2"/>
  <c r="F414" i="2"/>
  <c r="N413" i="2"/>
  <c r="F413" i="2"/>
  <c r="I413" i="2" s="1"/>
  <c r="N412" i="2"/>
  <c r="L412" i="2"/>
  <c r="F412" i="2"/>
  <c r="I412" i="2" s="1"/>
  <c r="N411" i="2"/>
  <c r="L411" i="2"/>
  <c r="F411" i="2"/>
  <c r="I411" i="2" s="1"/>
  <c r="N410" i="2"/>
  <c r="F410" i="2"/>
  <c r="N409" i="2"/>
  <c r="F409" i="2"/>
  <c r="I409" i="2" s="1"/>
  <c r="N408" i="2"/>
  <c r="L408" i="2"/>
  <c r="F408" i="2"/>
  <c r="I408" i="2" s="1"/>
  <c r="N407" i="2"/>
  <c r="L407" i="2"/>
  <c r="F407" i="2"/>
  <c r="I407" i="2" s="1"/>
  <c r="N406" i="2"/>
  <c r="F406" i="2"/>
  <c r="N405" i="2"/>
  <c r="F405" i="2"/>
  <c r="I405" i="2" s="1"/>
  <c r="N404" i="2"/>
  <c r="L404" i="2"/>
  <c r="F404" i="2"/>
  <c r="I404" i="2" s="1"/>
  <c r="N403" i="2"/>
  <c r="L403" i="2"/>
  <c r="F403" i="2"/>
  <c r="I403" i="2" s="1"/>
  <c r="N402" i="2"/>
  <c r="F402" i="2"/>
  <c r="N401" i="2"/>
  <c r="F401" i="2"/>
  <c r="I401" i="2" s="1"/>
  <c r="N400" i="2"/>
  <c r="L400" i="2"/>
  <c r="F400" i="2"/>
  <c r="I400" i="2" s="1"/>
  <c r="N399" i="2"/>
  <c r="L399" i="2"/>
  <c r="F399" i="2"/>
  <c r="I399" i="2" s="1"/>
  <c r="N398" i="2"/>
  <c r="F398" i="2"/>
  <c r="N397" i="2"/>
  <c r="F397" i="2"/>
  <c r="I397" i="2" s="1"/>
  <c r="N396" i="2"/>
  <c r="L396" i="2"/>
  <c r="F396" i="2"/>
  <c r="I396" i="2" s="1"/>
  <c r="N395" i="2"/>
  <c r="L395" i="2"/>
  <c r="F395" i="2"/>
  <c r="I395" i="2" s="1"/>
  <c r="N394" i="2"/>
  <c r="F394" i="2"/>
  <c r="N393" i="2"/>
  <c r="F393" i="2"/>
  <c r="I393" i="2" s="1"/>
  <c r="N392" i="2"/>
  <c r="L392" i="2"/>
  <c r="F392" i="2"/>
  <c r="I392" i="2" s="1"/>
  <c r="N391" i="2"/>
  <c r="L391" i="2"/>
  <c r="F391" i="2"/>
  <c r="I391" i="2" s="1"/>
  <c r="N390" i="2"/>
  <c r="F390" i="2"/>
  <c r="N389" i="2"/>
  <c r="F389" i="2"/>
  <c r="I389" i="2" s="1"/>
  <c r="N388" i="2"/>
  <c r="L388" i="2"/>
  <c r="F388" i="2"/>
  <c r="I388" i="2" s="1"/>
  <c r="N387" i="2"/>
  <c r="L387" i="2"/>
  <c r="F387" i="2"/>
  <c r="I387" i="2" s="1"/>
  <c r="N386" i="2"/>
  <c r="F386" i="2"/>
  <c r="N385" i="2"/>
  <c r="F385" i="2"/>
  <c r="I385" i="2" s="1"/>
  <c r="N384" i="2"/>
  <c r="L384" i="2"/>
  <c r="F384" i="2"/>
  <c r="I384" i="2" s="1"/>
  <c r="N383" i="2"/>
  <c r="L383" i="2"/>
  <c r="F383" i="2"/>
  <c r="I383" i="2" s="1"/>
  <c r="N382" i="2"/>
  <c r="F382" i="2"/>
  <c r="N381" i="2"/>
  <c r="L381" i="2" s="1"/>
  <c r="F381" i="2"/>
  <c r="I381" i="2" s="1"/>
  <c r="N380" i="2"/>
  <c r="L380" i="2" s="1"/>
  <c r="F380" i="2"/>
  <c r="I380" i="2" s="1"/>
  <c r="N379" i="2"/>
  <c r="L379" i="2"/>
  <c r="F379" i="2"/>
  <c r="I379" i="2" s="1"/>
  <c r="N378" i="2"/>
  <c r="F378" i="2"/>
  <c r="N377" i="2"/>
  <c r="L377" i="2" s="1"/>
  <c r="F377" i="2"/>
  <c r="I377" i="2" s="1"/>
  <c r="N376" i="2"/>
  <c r="L376" i="2" s="1"/>
  <c r="F376" i="2"/>
  <c r="I376" i="2" s="1"/>
  <c r="N375" i="2"/>
  <c r="L375" i="2"/>
  <c r="F375" i="2"/>
  <c r="I375" i="2" s="1"/>
  <c r="N374" i="2"/>
  <c r="F374" i="2"/>
  <c r="N373" i="2"/>
  <c r="L373" i="2" s="1"/>
  <c r="F373" i="2"/>
  <c r="I373" i="2" s="1"/>
  <c r="N372" i="2"/>
  <c r="L372" i="2" s="1"/>
  <c r="F372" i="2"/>
  <c r="I372" i="2" s="1"/>
  <c r="N371" i="2"/>
  <c r="L371" i="2" s="1"/>
  <c r="F371" i="2"/>
  <c r="I371" i="2" s="1"/>
  <c r="N370" i="2"/>
  <c r="L370" i="2" s="1"/>
  <c r="F370" i="2"/>
  <c r="I370" i="2" s="1"/>
  <c r="N369" i="2"/>
  <c r="L369" i="2" s="1"/>
  <c r="F369" i="2"/>
  <c r="I369" i="2" s="1"/>
  <c r="N368" i="2"/>
  <c r="L368" i="2" s="1"/>
  <c r="F368" i="2"/>
  <c r="I368" i="2" s="1"/>
  <c r="N367" i="2"/>
  <c r="L367" i="2" s="1"/>
  <c r="F367" i="2"/>
  <c r="I367" i="2" s="1"/>
  <c r="N366" i="2"/>
  <c r="L366" i="2" s="1"/>
  <c r="F366" i="2"/>
  <c r="I366" i="2" s="1"/>
  <c r="N365" i="2"/>
  <c r="L365" i="2" s="1"/>
  <c r="F365" i="2"/>
  <c r="I365" i="2" s="1"/>
  <c r="N364" i="2"/>
  <c r="L364" i="2" s="1"/>
  <c r="F364" i="2"/>
  <c r="I364" i="2" s="1"/>
  <c r="N363" i="2"/>
  <c r="L363" i="2" s="1"/>
  <c r="F363" i="2"/>
  <c r="I363" i="2" s="1"/>
  <c r="N362" i="2"/>
  <c r="L362" i="2" s="1"/>
  <c r="F362" i="2"/>
  <c r="I362" i="2" s="1"/>
  <c r="N361" i="2"/>
  <c r="L361" i="2" s="1"/>
  <c r="F361" i="2"/>
  <c r="I361" i="2" s="1"/>
  <c r="N360" i="2"/>
  <c r="L360" i="2" s="1"/>
  <c r="F360" i="2"/>
  <c r="I360" i="2" s="1"/>
  <c r="N359" i="2"/>
  <c r="L359" i="2" s="1"/>
  <c r="F359" i="2"/>
  <c r="I359" i="2" s="1"/>
  <c r="N358" i="2"/>
  <c r="L358" i="2" s="1"/>
  <c r="F358" i="2"/>
  <c r="I358" i="2" s="1"/>
  <c r="N357" i="2"/>
  <c r="L357" i="2" s="1"/>
  <c r="F357" i="2"/>
  <c r="I357" i="2" s="1"/>
  <c r="N356" i="2"/>
  <c r="L356" i="2" s="1"/>
  <c r="F356" i="2"/>
  <c r="I356" i="2" s="1"/>
  <c r="N355" i="2"/>
  <c r="L355" i="2" s="1"/>
  <c r="F355" i="2"/>
  <c r="I355" i="2" s="1"/>
  <c r="N354" i="2"/>
  <c r="L354" i="2" s="1"/>
  <c r="F354" i="2"/>
  <c r="I354" i="2" s="1"/>
  <c r="N353" i="2"/>
  <c r="L353" i="2" s="1"/>
  <c r="F353" i="2"/>
  <c r="I353" i="2" s="1"/>
  <c r="N352" i="2"/>
  <c r="L352" i="2" s="1"/>
  <c r="F352" i="2"/>
  <c r="I352" i="2" s="1"/>
  <c r="N351" i="2"/>
  <c r="L351" i="2" s="1"/>
  <c r="F351" i="2"/>
  <c r="I351" i="2" s="1"/>
  <c r="N350" i="2"/>
  <c r="L350" i="2" s="1"/>
  <c r="F350" i="2"/>
  <c r="I350" i="2" s="1"/>
  <c r="N349" i="2"/>
  <c r="L349" i="2" s="1"/>
  <c r="F349" i="2"/>
  <c r="I349" i="2" s="1"/>
  <c r="N348" i="2"/>
  <c r="L348" i="2" s="1"/>
  <c r="F348" i="2"/>
  <c r="I348" i="2" s="1"/>
  <c r="N347" i="2"/>
  <c r="L347" i="2" s="1"/>
  <c r="F347" i="2"/>
  <c r="I347" i="2" s="1"/>
  <c r="N346" i="2"/>
  <c r="L346" i="2" s="1"/>
  <c r="F346" i="2"/>
  <c r="I346" i="2" s="1"/>
  <c r="N345" i="2"/>
  <c r="L345" i="2" s="1"/>
  <c r="F345" i="2"/>
  <c r="I345" i="2" s="1"/>
  <c r="N344" i="2"/>
  <c r="L344" i="2" s="1"/>
  <c r="F344" i="2"/>
  <c r="I344" i="2" s="1"/>
  <c r="N343" i="2"/>
  <c r="L343" i="2" s="1"/>
  <c r="F343" i="2"/>
  <c r="I343" i="2" s="1"/>
  <c r="N342" i="2"/>
  <c r="L342" i="2" s="1"/>
  <c r="F342" i="2"/>
  <c r="I342" i="2" s="1"/>
  <c r="N341" i="2"/>
  <c r="L341" i="2" s="1"/>
  <c r="F341" i="2"/>
  <c r="I341" i="2" s="1"/>
  <c r="N340" i="2"/>
  <c r="L340" i="2" s="1"/>
  <c r="F340" i="2"/>
  <c r="I340" i="2" s="1"/>
  <c r="N339" i="2"/>
  <c r="L339" i="2" s="1"/>
  <c r="F339" i="2"/>
  <c r="I339" i="2" s="1"/>
  <c r="N338" i="2"/>
  <c r="L338" i="2" s="1"/>
  <c r="F338" i="2"/>
  <c r="I338" i="2" s="1"/>
  <c r="A338" i="2"/>
  <c r="N337" i="2"/>
  <c r="L337" i="2" s="1"/>
  <c r="F337" i="2"/>
  <c r="I337" i="2" s="1"/>
  <c r="A337" i="2"/>
  <c r="N336" i="2"/>
  <c r="L336" i="2"/>
  <c r="I336" i="2"/>
  <c r="F336" i="2"/>
  <c r="A336" i="2"/>
  <c r="N335" i="2"/>
  <c r="L335" i="2"/>
  <c r="I335" i="2"/>
  <c r="F335" i="2"/>
  <c r="A335" i="2"/>
  <c r="N334" i="2"/>
  <c r="L334" i="2" s="1"/>
  <c r="F334" i="2"/>
  <c r="I334" i="2" s="1"/>
  <c r="A334" i="2"/>
  <c r="N333" i="2"/>
  <c r="L333" i="2" s="1"/>
  <c r="F333" i="2"/>
  <c r="I333" i="2" s="1"/>
  <c r="A333" i="2"/>
  <c r="N332" i="2"/>
  <c r="L332" i="2"/>
  <c r="I332" i="2"/>
  <c r="F332" i="2"/>
  <c r="A332" i="2"/>
  <c r="N331" i="2"/>
  <c r="L331" i="2"/>
  <c r="I331" i="2"/>
  <c r="F331" i="2"/>
  <c r="A331" i="2"/>
  <c r="N330" i="2"/>
  <c r="L330" i="2" s="1"/>
  <c r="F330" i="2"/>
  <c r="I330" i="2" s="1"/>
  <c r="A330" i="2"/>
  <c r="N329" i="2"/>
  <c r="L329" i="2" s="1"/>
  <c r="F329" i="2"/>
  <c r="I329" i="2" s="1"/>
  <c r="A329" i="2"/>
  <c r="N328" i="2"/>
  <c r="L328" i="2"/>
  <c r="I328" i="2"/>
  <c r="F328" i="2"/>
  <c r="A328" i="2"/>
  <c r="N327" i="2"/>
  <c r="L327" i="2"/>
  <c r="I327" i="2"/>
  <c r="F327" i="2"/>
  <c r="A327" i="2"/>
  <c r="N326" i="2"/>
  <c r="L326" i="2" s="1"/>
  <c r="F326" i="2"/>
  <c r="I326" i="2" s="1"/>
  <c r="A326" i="2"/>
  <c r="N325" i="2"/>
  <c r="L325" i="2" s="1"/>
  <c r="F325" i="2"/>
  <c r="I325" i="2" s="1"/>
  <c r="A325" i="2"/>
  <c r="N324" i="2"/>
  <c r="L324" i="2"/>
  <c r="I324" i="2"/>
  <c r="F324" i="2"/>
  <c r="A324" i="2"/>
  <c r="N323" i="2"/>
  <c r="L323" i="2"/>
  <c r="I323" i="2"/>
  <c r="F323" i="2"/>
  <c r="A323" i="2"/>
  <c r="N322" i="2"/>
  <c r="L322" i="2" s="1"/>
  <c r="F322" i="2"/>
  <c r="I322" i="2" s="1"/>
  <c r="A322" i="2"/>
  <c r="N321" i="2"/>
  <c r="L321" i="2" s="1"/>
  <c r="F321" i="2"/>
  <c r="I321" i="2" s="1"/>
  <c r="A321" i="2"/>
  <c r="N320" i="2"/>
  <c r="L320" i="2"/>
  <c r="I320" i="2"/>
  <c r="F320" i="2"/>
  <c r="A320" i="2"/>
  <c r="N319" i="2"/>
  <c r="L319" i="2"/>
  <c r="I319" i="2"/>
  <c r="F319" i="2"/>
  <c r="A319" i="2"/>
  <c r="N318" i="2"/>
  <c r="L318" i="2" s="1"/>
  <c r="F318" i="2"/>
  <c r="I318" i="2" s="1"/>
  <c r="A318" i="2"/>
  <c r="N317" i="2"/>
  <c r="L317" i="2" s="1"/>
  <c r="F317" i="2"/>
  <c r="I317" i="2" s="1"/>
  <c r="A317" i="2"/>
  <c r="N316" i="2"/>
  <c r="L316" i="2"/>
  <c r="I316" i="2"/>
  <c r="F316" i="2"/>
  <c r="A316" i="2"/>
  <c r="N315" i="2"/>
  <c r="L315" i="2"/>
  <c r="I315" i="2"/>
  <c r="F315" i="2"/>
  <c r="A315" i="2"/>
  <c r="N314" i="2"/>
  <c r="L314" i="2" s="1"/>
  <c r="F314" i="2"/>
  <c r="I314" i="2" s="1"/>
  <c r="A314" i="2"/>
  <c r="N313" i="2"/>
  <c r="L313" i="2" s="1"/>
  <c r="F313" i="2"/>
  <c r="I313" i="2" s="1"/>
  <c r="A313" i="2"/>
  <c r="N312" i="2"/>
  <c r="L312" i="2"/>
  <c r="I312" i="2"/>
  <c r="F312" i="2"/>
  <c r="A312" i="2"/>
  <c r="N311" i="2"/>
  <c r="L311" i="2"/>
  <c r="I311" i="2"/>
  <c r="F311" i="2"/>
  <c r="A311" i="2"/>
  <c r="N310" i="2"/>
  <c r="L310" i="2" s="1"/>
  <c r="F310" i="2"/>
  <c r="I310" i="2" s="1"/>
  <c r="A310" i="2"/>
  <c r="N309" i="2"/>
  <c r="L309" i="2" s="1"/>
  <c r="F309" i="2"/>
  <c r="I309" i="2" s="1"/>
  <c r="A309" i="2"/>
  <c r="N308" i="2"/>
  <c r="L308" i="2"/>
  <c r="I308" i="2"/>
  <c r="F308" i="2"/>
  <c r="A308" i="2"/>
  <c r="N307" i="2"/>
  <c r="L307" i="2"/>
  <c r="I307" i="2"/>
  <c r="F307" i="2"/>
  <c r="A307" i="2"/>
  <c r="N306" i="2"/>
  <c r="L306" i="2" s="1"/>
  <c r="F306" i="2"/>
  <c r="I306" i="2" s="1"/>
  <c r="A306" i="2"/>
  <c r="N305" i="2"/>
  <c r="L305" i="2" s="1"/>
  <c r="F305" i="2"/>
  <c r="I305" i="2" s="1"/>
  <c r="A305" i="2"/>
  <c r="N304" i="2"/>
  <c r="L304" i="2"/>
  <c r="I304" i="2"/>
  <c r="F304" i="2"/>
  <c r="A304" i="2"/>
  <c r="N303" i="2"/>
  <c r="L303" i="2"/>
  <c r="I303" i="2"/>
  <c r="F303" i="2"/>
  <c r="A303" i="2"/>
  <c r="N302" i="2"/>
  <c r="L302" i="2" s="1"/>
  <c r="F302" i="2"/>
  <c r="I302" i="2" s="1"/>
  <c r="A302" i="2"/>
  <c r="N301" i="2"/>
  <c r="L301" i="2" s="1"/>
  <c r="F301" i="2"/>
  <c r="I301" i="2" s="1"/>
  <c r="A301" i="2"/>
  <c r="N300" i="2"/>
  <c r="I300" i="2"/>
  <c r="F300" i="2"/>
  <c r="L300" i="2" s="1"/>
  <c r="A300" i="2"/>
  <c r="N299" i="2"/>
  <c r="L299" i="2"/>
  <c r="I299" i="2"/>
  <c r="F299" i="2"/>
  <c r="A299" i="2"/>
  <c r="N298" i="2"/>
  <c r="L298" i="2" s="1"/>
  <c r="F298" i="2"/>
  <c r="I298" i="2" s="1"/>
  <c r="A298" i="2"/>
  <c r="N297" i="2"/>
  <c r="L297" i="2" s="1"/>
  <c r="F297" i="2"/>
  <c r="I297" i="2" s="1"/>
  <c r="A297" i="2"/>
  <c r="N296" i="2"/>
  <c r="I296" i="2"/>
  <c r="F296" i="2"/>
  <c r="L296" i="2" s="1"/>
  <c r="A296" i="2"/>
  <c r="N295" i="2"/>
  <c r="L295" i="2"/>
  <c r="I295" i="2"/>
  <c r="F295" i="2"/>
  <c r="A295" i="2"/>
  <c r="N294" i="2"/>
  <c r="L294" i="2" s="1"/>
  <c r="F294" i="2"/>
  <c r="I294" i="2" s="1"/>
  <c r="A294" i="2"/>
  <c r="N293" i="2"/>
  <c r="L293" i="2" s="1"/>
  <c r="F293" i="2"/>
  <c r="I293" i="2" s="1"/>
  <c r="A293" i="2"/>
  <c r="N292" i="2"/>
  <c r="I292" i="2"/>
  <c r="F292" i="2"/>
  <c r="L292" i="2" s="1"/>
  <c r="A292" i="2"/>
  <c r="N291" i="2"/>
  <c r="L291" i="2"/>
  <c r="I291" i="2"/>
  <c r="F291" i="2"/>
  <c r="A291" i="2"/>
  <c r="N290" i="2"/>
  <c r="L290" i="2" s="1"/>
  <c r="F290" i="2"/>
  <c r="I290" i="2" s="1"/>
  <c r="A290" i="2"/>
  <c r="N289" i="2"/>
  <c r="L289" i="2" s="1"/>
  <c r="F289" i="2"/>
  <c r="I289" i="2" s="1"/>
  <c r="A289" i="2"/>
  <c r="N288" i="2"/>
  <c r="I288" i="2"/>
  <c r="F288" i="2"/>
  <c r="L288" i="2" s="1"/>
  <c r="A288" i="2"/>
  <c r="N287" i="2"/>
  <c r="L287" i="2"/>
  <c r="I287" i="2"/>
  <c r="F287" i="2"/>
  <c r="A287" i="2"/>
  <c r="N286" i="2"/>
  <c r="L286" i="2" s="1"/>
  <c r="F286" i="2"/>
  <c r="I286" i="2" s="1"/>
  <c r="A286" i="2"/>
  <c r="N285" i="2"/>
  <c r="L285" i="2" s="1"/>
  <c r="F285" i="2"/>
  <c r="I285" i="2" s="1"/>
  <c r="A285" i="2"/>
  <c r="N284" i="2"/>
  <c r="I284" i="2"/>
  <c r="F284" i="2"/>
  <c r="L284" i="2" s="1"/>
  <c r="A284" i="2"/>
  <c r="N283" i="2"/>
  <c r="L283" i="2"/>
  <c r="I283" i="2"/>
  <c r="F283" i="2"/>
  <c r="A283" i="2"/>
  <c r="N282" i="2"/>
  <c r="L282" i="2" s="1"/>
  <c r="F282" i="2"/>
  <c r="I282" i="2" s="1"/>
  <c r="A282" i="2"/>
  <c r="N281" i="2"/>
  <c r="L281" i="2" s="1"/>
  <c r="F281" i="2"/>
  <c r="I281" i="2" s="1"/>
  <c r="A281" i="2"/>
  <c r="N280" i="2"/>
  <c r="I280" i="2"/>
  <c r="F280" i="2"/>
  <c r="L280" i="2" s="1"/>
  <c r="A280" i="2"/>
  <c r="N279" i="2"/>
  <c r="L279" i="2"/>
  <c r="I279" i="2"/>
  <c r="F279" i="2"/>
  <c r="A279" i="2"/>
  <c r="N278" i="2"/>
  <c r="L278" i="2" s="1"/>
  <c r="F278" i="2"/>
  <c r="I278" i="2" s="1"/>
  <c r="A278" i="2"/>
  <c r="N277" i="2"/>
  <c r="L277" i="2" s="1"/>
  <c r="F277" i="2"/>
  <c r="I277" i="2" s="1"/>
  <c r="A277" i="2"/>
  <c r="N276" i="2"/>
  <c r="I276" i="2"/>
  <c r="F276" i="2"/>
  <c r="L276" i="2" s="1"/>
  <c r="A276" i="2"/>
  <c r="N275" i="2"/>
  <c r="L275" i="2"/>
  <c r="I275" i="2"/>
  <c r="F275" i="2"/>
  <c r="A275" i="2"/>
  <c r="N274" i="2"/>
  <c r="L274" i="2" s="1"/>
  <c r="F274" i="2"/>
  <c r="I274" i="2" s="1"/>
  <c r="A274" i="2"/>
  <c r="N273" i="2"/>
  <c r="L273" i="2" s="1"/>
  <c r="F273" i="2"/>
  <c r="I273" i="2" s="1"/>
  <c r="A273" i="2"/>
  <c r="N272" i="2"/>
  <c r="I272" i="2"/>
  <c r="F272" i="2"/>
  <c r="L272" i="2" s="1"/>
  <c r="A272" i="2"/>
  <c r="N271" i="2"/>
  <c r="L271" i="2"/>
  <c r="I271" i="2"/>
  <c r="F271" i="2"/>
  <c r="A271" i="2"/>
  <c r="N270" i="2"/>
  <c r="L270" i="2" s="1"/>
  <c r="F270" i="2"/>
  <c r="I270" i="2" s="1"/>
  <c r="A270" i="2"/>
  <c r="N269" i="2"/>
  <c r="L269" i="2" s="1"/>
  <c r="F269" i="2"/>
  <c r="I269" i="2" s="1"/>
  <c r="A269" i="2"/>
  <c r="N268" i="2"/>
  <c r="I268" i="2"/>
  <c r="F268" i="2"/>
  <c r="L268" i="2" s="1"/>
  <c r="A268" i="2"/>
  <c r="N267" i="2"/>
  <c r="L267" i="2"/>
  <c r="I267" i="2"/>
  <c r="F267" i="2"/>
  <c r="A267" i="2"/>
  <c r="N266" i="2"/>
  <c r="L266" i="2" s="1"/>
  <c r="F266" i="2"/>
  <c r="I266" i="2" s="1"/>
  <c r="A266" i="2"/>
  <c r="N265" i="2"/>
  <c r="L265" i="2" s="1"/>
  <c r="I265" i="2"/>
  <c r="F265" i="2"/>
  <c r="A265" i="2"/>
  <c r="N264" i="2"/>
  <c r="F264" i="2"/>
  <c r="L264" i="2" s="1"/>
  <c r="A264" i="2"/>
  <c r="N263" i="2"/>
  <c r="L263" i="2" s="1"/>
  <c r="I263" i="2"/>
  <c r="F263" i="2"/>
  <c r="A263" i="2"/>
  <c r="N262" i="2"/>
  <c r="F262" i="2"/>
  <c r="A262" i="2"/>
  <c r="N261" i="2"/>
  <c r="F261" i="2"/>
  <c r="I261" i="2" s="1"/>
  <c r="A261" i="2"/>
  <c r="N260" i="2"/>
  <c r="L260" i="2"/>
  <c r="I260" i="2"/>
  <c r="F260" i="2"/>
  <c r="A260" i="2"/>
  <c r="N259" i="2"/>
  <c r="L259" i="2"/>
  <c r="I259" i="2"/>
  <c r="F259" i="2"/>
  <c r="A259" i="2"/>
  <c r="N258" i="2"/>
  <c r="L258" i="2" s="1"/>
  <c r="F258" i="2"/>
  <c r="I258" i="2" s="1"/>
  <c r="A258" i="2"/>
  <c r="N257" i="2"/>
  <c r="L257" i="2" s="1"/>
  <c r="I257" i="2"/>
  <c r="F257" i="2"/>
  <c r="A257" i="2"/>
  <c r="N256" i="2"/>
  <c r="F256" i="2"/>
  <c r="L256" i="2" s="1"/>
  <c r="A256" i="2"/>
  <c r="N255" i="2"/>
  <c r="L255" i="2" s="1"/>
  <c r="I255" i="2"/>
  <c r="F255" i="2"/>
  <c r="A255" i="2"/>
  <c r="N254" i="2"/>
  <c r="F254" i="2"/>
  <c r="A254" i="2"/>
  <c r="N253" i="2"/>
  <c r="F253" i="2"/>
  <c r="I253" i="2" s="1"/>
  <c r="A253" i="2"/>
  <c r="N252" i="2"/>
  <c r="L252" i="2"/>
  <c r="I252" i="2"/>
  <c r="F252" i="2"/>
  <c r="A252" i="2"/>
  <c r="N251" i="2"/>
  <c r="L251" i="2"/>
  <c r="I251" i="2"/>
  <c r="F251" i="2"/>
  <c r="A251" i="2"/>
  <c r="N250" i="2"/>
  <c r="L250" i="2" s="1"/>
  <c r="F250" i="2"/>
  <c r="I250" i="2" s="1"/>
  <c r="A250" i="2"/>
  <c r="N249" i="2"/>
  <c r="L249" i="2" s="1"/>
  <c r="I249" i="2"/>
  <c r="F249" i="2"/>
  <c r="A249" i="2"/>
  <c r="N248" i="2"/>
  <c r="F248" i="2"/>
  <c r="L248" i="2" s="1"/>
  <c r="A248" i="2"/>
  <c r="N247" i="2"/>
  <c r="L247" i="2" s="1"/>
  <c r="I247" i="2"/>
  <c r="F247" i="2"/>
  <c r="A247" i="2"/>
  <c r="N246" i="2"/>
  <c r="F246" i="2"/>
  <c r="A246" i="2"/>
  <c r="N245" i="2"/>
  <c r="F245" i="2"/>
  <c r="I245" i="2" s="1"/>
  <c r="A245" i="2"/>
  <c r="N244" i="2"/>
  <c r="L244" i="2"/>
  <c r="I244" i="2"/>
  <c r="F244" i="2"/>
  <c r="A244" i="2"/>
  <c r="N243" i="2"/>
  <c r="L243" i="2"/>
  <c r="I243" i="2"/>
  <c r="F243" i="2"/>
  <c r="A243" i="2"/>
  <c r="N242" i="2"/>
  <c r="L242" i="2" s="1"/>
  <c r="F242" i="2"/>
  <c r="I242" i="2" s="1"/>
  <c r="A242" i="2"/>
  <c r="N241" i="2"/>
  <c r="L241" i="2" s="1"/>
  <c r="I241" i="2"/>
  <c r="F241" i="2"/>
  <c r="A241" i="2"/>
  <c r="N240" i="2"/>
  <c r="F240" i="2"/>
  <c r="L240" i="2" s="1"/>
  <c r="A240" i="2"/>
  <c r="N239" i="2"/>
  <c r="L239" i="2" s="1"/>
  <c r="I239" i="2"/>
  <c r="F239" i="2"/>
  <c r="A239" i="2"/>
  <c r="N238" i="2"/>
  <c r="F238" i="2"/>
  <c r="A238" i="2"/>
  <c r="N237" i="2"/>
  <c r="F237" i="2"/>
  <c r="I237" i="2" s="1"/>
  <c r="A237" i="2"/>
  <c r="N236" i="2"/>
  <c r="L236" i="2"/>
  <c r="I236" i="2"/>
  <c r="F236" i="2"/>
  <c r="A236" i="2"/>
  <c r="N235" i="2"/>
  <c r="L235" i="2"/>
  <c r="I235" i="2"/>
  <c r="F235" i="2"/>
  <c r="A235" i="2"/>
  <c r="N234" i="2"/>
  <c r="L234" i="2" s="1"/>
  <c r="F234" i="2"/>
  <c r="I234" i="2" s="1"/>
  <c r="A234" i="2"/>
  <c r="N233" i="2"/>
  <c r="L233" i="2" s="1"/>
  <c r="I233" i="2"/>
  <c r="F233" i="2"/>
  <c r="A233" i="2"/>
  <c r="N232" i="2"/>
  <c r="F232" i="2"/>
  <c r="L232" i="2" s="1"/>
  <c r="A232" i="2"/>
  <c r="N231" i="2"/>
  <c r="L231" i="2" s="1"/>
  <c r="I231" i="2"/>
  <c r="F231" i="2"/>
  <c r="A231" i="2"/>
  <c r="N230" i="2"/>
  <c r="F230" i="2"/>
  <c r="A230" i="2"/>
  <c r="N229" i="2"/>
  <c r="F229" i="2"/>
  <c r="I229" i="2" s="1"/>
  <c r="A229" i="2"/>
  <c r="N228" i="2"/>
  <c r="L228" i="2"/>
  <c r="I228" i="2"/>
  <c r="F228" i="2"/>
  <c r="A228" i="2"/>
  <c r="N227" i="2"/>
  <c r="L227" i="2"/>
  <c r="I227" i="2"/>
  <c r="F227" i="2"/>
  <c r="A227" i="2"/>
  <c r="N226" i="2"/>
  <c r="L226" i="2" s="1"/>
  <c r="F226" i="2"/>
  <c r="I226" i="2" s="1"/>
  <c r="A226" i="2"/>
  <c r="N225" i="2"/>
  <c r="L225" i="2" s="1"/>
  <c r="I225" i="2"/>
  <c r="F225" i="2"/>
  <c r="A225" i="2"/>
  <c r="N224" i="2"/>
  <c r="F224" i="2"/>
  <c r="L224" i="2" s="1"/>
  <c r="A224" i="2"/>
  <c r="N223" i="2"/>
  <c r="L223" i="2" s="1"/>
  <c r="I223" i="2"/>
  <c r="F223" i="2"/>
  <c r="A223" i="2"/>
  <c r="N222" i="2"/>
  <c r="F222" i="2"/>
  <c r="A222" i="2"/>
  <c r="N221" i="2"/>
  <c r="F221" i="2"/>
  <c r="I221" i="2" s="1"/>
  <c r="A221" i="2"/>
  <c r="N220" i="2"/>
  <c r="L220" i="2"/>
  <c r="I220" i="2"/>
  <c r="F220" i="2"/>
  <c r="A220" i="2"/>
  <c r="N219" i="2"/>
  <c r="L219" i="2"/>
  <c r="I219" i="2"/>
  <c r="F219" i="2"/>
  <c r="A219" i="2"/>
  <c r="N218" i="2"/>
  <c r="L218" i="2" s="1"/>
  <c r="F218" i="2"/>
  <c r="I218" i="2" s="1"/>
  <c r="A218" i="2"/>
  <c r="N217" i="2"/>
  <c r="L217" i="2" s="1"/>
  <c r="I217" i="2"/>
  <c r="F217" i="2"/>
  <c r="A217" i="2"/>
  <c r="N216" i="2"/>
  <c r="F216" i="2"/>
  <c r="L216" i="2" s="1"/>
  <c r="A216" i="2"/>
  <c r="N215" i="2"/>
  <c r="L215" i="2" s="1"/>
  <c r="I215" i="2"/>
  <c r="F215" i="2"/>
  <c r="A215" i="2"/>
  <c r="N214" i="2"/>
  <c r="F214" i="2"/>
  <c r="A214" i="2"/>
  <c r="N213" i="2"/>
  <c r="F213" i="2"/>
  <c r="I213" i="2" s="1"/>
  <c r="A213" i="2"/>
  <c r="N212" i="2"/>
  <c r="L212" i="2"/>
  <c r="I212" i="2"/>
  <c r="F212" i="2"/>
  <c r="A212" i="2"/>
  <c r="N211" i="2"/>
  <c r="L211" i="2"/>
  <c r="I211" i="2"/>
  <c r="F211" i="2"/>
  <c r="A211" i="2"/>
  <c r="N210" i="2"/>
  <c r="L210" i="2" s="1"/>
  <c r="F210" i="2"/>
  <c r="I210" i="2" s="1"/>
  <c r="A210" i="2"/>
  <c r="N209" i="2"/>
  <c r="L209" i="2" s="1"/>
  <c r="I209" i="2"/>
  <c r="F209" i="2"/>
  <c r="A209" i="2"/>
  <c r="N208" i="2"/>
  <c r="F208" i="2"/>
  <c r="L208" i="2" s="1"/>
  <c r="A208" i="2"/>
  <c r="N207" i="2"/>
  <c r="L207" i="2" s="1"/>
  <c r="I207" i="2"/>
  <c r="F207" i="2"/>
  <c r="A207" i="2"/>
  <c r="N206" i="2"/>
  <c r="F206" i="2"/>
  <c r="A206" i="2"/>
  <c r="N205" i="2"/>
  <c r="F205" i="2"/>
  <c r="I205" i="2" s="1"/>
  <c r="A205" i="2"/>
  <c r="N204" i="2"/>
  <c r="L204" i="2"/>
  <c r="I204" i="2"/>
  <c r="F204" i="2"/>
  <c r="A204" i="2"/>
  <c r="N203" i="2"/>
  <c r="L203" i="2"/>
  <c r="I203" i="2"/>
  <c r="F203" i="2"/>
  <c r="A203" i="2"/>
  <c r="N202" i="2"/>
  <c r="L202" i="2" s="1"/>
  <c r="F202" i="2"/>
  <c r="I202" i="2" s="1"/>
  <c r="A202" i="2"/>
  <c r="N201" i="2"/>
  <c r="L201" i="2" s="1"/>
  <c r="I201" i="2"/>
  <c r="F201" i="2"/>
  <c r="A201" i="2"/>
  <c r="N200" i="2"/>
  <c r="F200" i="2"/>
  <c r="L200" i="2" s="1"/>
  <c r="A200" i="2"/>
  <c r="N199" i="2"/>
  <c r="L199" i="2" s="1"/>
  <c r="I199" i="2"/>
  <c r="F199" i="2"/>
  <c r="A199" i="2"/>
  <c r="N198" i="2"/>
  <c r="F198" i="2"/>
  <c r="A198" i="2"/>
  <c r="N197" i="2"/>
  <c r="F197" i="2"/>
  <c r="I197" i="2" s="1"/>
  <c r="A197" i="2"/>
  <c r="N196" i="2"/>
  <c r="L196" i="2"/>
  <c r="I196" i="2"/>
  <c r="F196" i="2"/>
  <c r="A196" i="2"/>
  <c r="N195" i="2"/>
  <c r="L195" i="2"/>
  <c r="I195" i="2"/>
  <c r="F195" i="2"/>
  <c r="A195" i="2"/>
  <c r="N194" i="2"/>
  <c r="L194" i="2" s="1"/>
  <c r="F194" i="2"/>
  <c r="I194" i="2" s="1"/>
  <c r="A194" i="2"/>
  <c r="N193" i="2"/>
  <c r="L193" i="2" s="1"/>
  <c r="I193" i="2"/>
  <c r="F193" i="2"/>
  <c r="A193" i="2"/>
  <c r="N192" i="2"/>
  <c r="F192" i="2"/>
  <c r="L192" i="2" s="1"/>
  <c r="A192" i="2"/>
  <c r="N191" i="2"/>
  <c r="L191" i="2" s="1"/>
  <c r="I191" i="2"/>
  <c r="F191" i="2"/>
  <c r="A191" i="2"/>
  <c r="N190" i="2"/>
  <c r="F190" i="2"/>
  <c r="A190" i="2"/>
  <c r="N189" i="2"/>
  <c r="F189" i="2"/>
  <c r="I189" i="2" s="1"/>
  <c r="A189" i="2"/>
  <c r="N188" i="2"/>
  <c r="L188" i="2"/>
  <c r="I188" i="2"/>
  <c r="F188" i="2"/>
  <c r="A188" i="2"/>
  <c r="N187" i="2"/>
  <c r="L187" i="2"/>
  <c r="I187" i="2"/>
  <c r="F187" i="2"/>
  <c r="A187" i="2"/>
  <c r="N186" i="2"/>
  <c r="L186" i="2" s="1"/>
  <c r="F186" i="2"/>
  <c r="I186" i="2" s="1"/>
  <c r="A186" i="2"/>
  <c r="N185" i="2"/>
  <c r="L185" i="2" s="1"/>
  <c r="I185" i="2"/>
  <c r="F185" i="2"/>
  <c r="A185" i="2"/>
  <c r="N184" i="2"/>
  <c r="F184" i="2"/>
  <c r="L184" i="2" s="1"/>
  <c r="A184" i="2"/>
  <c r="N183" i="2"/>
  <c r="L183" i="2" s="1"/>
  <c r="I183" i="2"/>
  <c r="F183" i="2"/>
  <c r="A183" i="2"/>
  <c r="N182" i="2"/>
  <c r="F182" i="2"/>
  <c r="A182" i="2"/>
  <c r="N181" i="2"/>
  <c r="F181" i="2"/>
  <c r="I181" i="2" s="1"/>
  <c r="A181" i="2"/>
  <c r="N180" i="2"/>
  <c r="L180" i="2"/>
  <c r="I180" i="2"/>
  <c r="F180" i="2"/>
  <c r="A180" i="2"/>
  <c r="N179" i="2"/>
  <c r="L179" i="2"/>
  <c r="I179" i="2"/>
  <c r="F179" i="2"/>
  <c r="A179" i="2"/>
  <c r="N178" i="2"/>
  <c r="L178" i="2" s="1"/>
  <c r="F178" i="2"/>
  <c r="I178" i="2" s="1"/>
  <c r="A178" i="2"/>
  <c r="N177" i="2"/>
  <c r="L177" i="2" s="1"/>
  <c r="I177" i="2"/>
  <c r="F177" i="2"/>
  <c r="A177" i="2"/>
  <c r="N176" i="2"/>
  <c r="F176" i="2"/>
  <c r="L176" i="2" s="1"/>
  <c r="A176" i="2"/>
  <c r="N175" i="2"/>
  <c r="L175" i="2" s="1"/>
  <c r="I175" i="2"/>
  <c r="F175" i="2"/>
  <c r="A175" i="2"/>
  <c r="N174" i="2"/>
  <c r="F174" i="2"/>
  <c r="A174" i="2"/>
  <c r="N173" i="2"/>
  <c r="F173" i="2"/>
  <c r="I173" i="2" s="1"/>
  <c r="A173" i="2"/>
  <c r="N172" i="2"/>
  <c r="L172" i="2"/>
  <c r="I172" i="2"/>
  <c r="F172" i="2"/>
  <c r="A172" i="2"/>
  <c r="N171" i="2"/>
  <c r="L171" i="2"/>
  <c r="I171" i="2"/>
  <c r="F171" i="2"/>
  <c r="A171" i="2"/>
  <c r="N170" i="2"/>
  <c r="L170" i="2" s="1"/>
  <c r="F170" i="2"/>
  <c r="I170" i="2" s="1"/>
  <c r="N169" i="2"/>
  <c r="L169" i="2"/>
  <c r="F169" i="2"/>
  <c r="I169" i="2" s="1"/>
  <c r="N168" i="2"/>
  <c r="F168" i="2"/>
  <c r="N167" i="2"/>
  <c r="L167" i="2" s="1"/>
  <c r="F167" i="2"/>
  <c r="I167" i="2" s="1"/>
  <c r="N166" i="2"/>
  <c r="L166" i="2" s="1"/>
  <c r="F166" i="2"/>
  <c r="I166" i="2" s="1"/>
  <c r="N165" i="2"/>
  <c r="L165" i="2"/>
  <c r="F165" i="2"/>
  <c r="I165" i="2" s="1"/>
  <c r="N164" i="2"/>
  <c r="F164" i="2"/>
  <c r="N163" i="2"/>
  <c r="L163" i="2" s="1"/>
  <c r="F163" i="2"/>
  <c r="I163" i="2" s="1"/>
  <c r="N162" i="2"/>
  <c r="L162" i="2" s="1"/>
  <c r="F162" i="2"/>
  <c r="I162" i="2" s="1"/>
  <c r="N161" i="2"/>
  <c r="L161" i="2"/>
  <c r="F161" i="2"/>
  <c r="I161" i="2" s="1"/>
  <c r="N160" i="2"/>
  <c r="F160" i="2"/>
  <c r="N159" i="2"/>
  <c r="L159" i="2" s="1"/>
  <c r="F159" i="2"/>
  <c r="I159" i="2" s="1"/>
  <c r="N158" i="2"/>
  <c r="L158" i="2" s="1"/>
  <c r="F158" i="2"/>
  <c r="I158" i="2" s="1"/>
  <c r="N157" i="2"/>
  <c r="L157" i="2"/>
  <c r="F157" i="2"/>
  <c r="I157" i="2" s="1"/>
  <c r="N156" i="2"/>
  <c r="F156" i="2"/>
  <c r="N155" i="2"/>
  <c r="L155" i="2" s="1"/>
  <c r="F155" i="2"/>
  <c r="I155" i="2" s="1"/>
  <c r="N154" i="2"/>
  <c r="L154" i="2" s="1"/>
  <c r="F154" i="2"/>
  <c r="I154" i="2" s="1"/>
  <c r="N153" i="2"/>
  <c r="L153" i="2"/>
  <c r="F153" i="2"/>
  <c r="I153" i="2" s="1"/>
  <c r="N152" i="2"/>
  <c r="F152" i="2"/>
  <c r="N151" i="2"/>
  <c r="L151" i="2" s="1"/>
  <c r="F151" i="2"/>
  <c r="I151" i="2" s="1"/>
  <c r="N150" i="2"/>
  <c r="L150" i="2" s="1"/>
  <c r="F150" i="2"/>
  <c r="I150" i="2" s="1"/>
  <c r="N149" i="2"/>
  <c r="L149" i="2"/>
  <c r="F149" i="2"/>
  <c r="I149" i="2" s="1"/>
  <c r="N148" i="2"/>
  <c r="F148" i="2"/>
  <c r="N147" i="2"/>
  <c r="L147" i="2" s="1"/>
  <c r="F147" i="2"/>
  <c r="I147" i="2" s="1"/>
  <c r="N146" i="2"/>
  <c r="L146" i="2" s="1"/>
  <c r="F146" i="2"/>
  <c r="I146" i="2" s="1"/>
  <c r="N145" i="2"/>
  <c r="L145" i="2"/>
  <c r="F145" i="2"/>
  <c r="I145" i="2" s="1"/>
  <c r="N144" i="2"/>
  <c r="F144" i="2"/>
  <c r="N143" i="2"/>
  <c r="L143" i="2" s="1"/>
  <c r="F143" i="2"/>
  <c r="I143" i="2" s="1"/>
  <c r="N142" i="2"/>
  <c r="L142" i="2" s="1"/>
  <c r="F142" i="2"/>
  <c r="I142" i="2" s="1"/>
  <c r="N141" i="2"/>
  <c r="L141" i="2"/>
  <c r="F141" i="2"/>
  <c r="I141" i="2" s="1"/>
  <c r="N140" i="2"/>
  <c r="F140" i="2"/>
  <c r="N139" i="2"/>
  <c r="L139" i="2" s="1"/>
  <c r="F139" i="2"/>
  <c r="I139" i="2" s="1"/>
  <c r="N138" i="2"/>
  <c r="L138" i="2" s="1"/>
  <c r="F138" i="2"/>
  <c r="I138" i="2" s="1"/>
  <c r="N137" i="2"/>
  <c r="L137" i="2"/>
  <c r="F137" i="2"/>
  <c r="I137" i="2" s="1"/>
  <c r="N136" i="2"/>
  <c r="F136" i="2"/>
  <c r="N135" i="2"/>
  <c r="L135" i="2" s="1"/>
  <c r="F135" i="2"/>
  <c r="I135" i="2" s="1"/>
  <c r="N134" i="2"/>
  <c r="L134" i="2" s="1"/>
  <c r="F134" i="2"/>
  <c r="I134" i="2" s="1"/>
  <c r="N133" i="2"/>
  <c r="L133" i="2" s="1"/>
  <c r="F133" i="2"/>
  <c r="I133" i="2" s="1"/>
  <c r="N132" i="2"/>
  <c r="L132" i="2" s="1"/>
  <c r="F132" i="2"/>
  <c r="I132" i="2" s="1"/>
  <c r="N131" i="2"/>
  <c r="L131" i="2" s="1"/>
  <c r="F131" i="2"/>
  <c r="I131" i="2" s="1"/>
  <c r="N130" i="2"/>
  <c r="L130" i="2" s="1"/>
  <c r="F130" i="2"/>
  <c r="I130" i="2" s="1"/>
  <c r="N129" i="2"/>
  <c r="L129" i="2" s="1"/>
  <c r="F129" i="2"/>
  <c r="I129" i="2" s="1"/>
  <c r="N128" i="2"/>
  <c r="L128" i="2" s="1"/>
  <c r="F128" i="2"/>
  <c r="I128" i="2" s="1"/>
  <c r="N127" i="2"/>
  <c r="L127" i="2" s="1"/>
  <c r="F127" i="2"/>
  <c r="I127" i="2" s="1"/>
  <c r="N126" i="2"/>
  <c r="L126" i="2" s="1"/>
  <c r="F126" i="2"/>
  <c r="I126" i="2" s="1"/>
  <c r="N125" i="2"/>
  <c r="L125" i="2" s="1"/>
  <c r="F125" i="2"/>
  <c r="I125" i="2" s="1"/>
  <c r="N124" i="2"/>
  <c r="L124" i="2" s="1"/>
  <c r="F124" i="2"/>
  <c r="I124" i="2" s="1"/>
  <c r="N123" i="2"/>
  <c r="L123" i="2" s="1"/>
  <c r="F123" i="2"/>
  <c r="I123" i="2" s="1"/>
  <c r="N122" i="2"/>
  <c r="L122" i="2" s="1"/>
  <c r="F122" i="2"/>
  <c r="I122" i="2" s="1"/>
  <c r="N121" i="2"/>
  <c r="L121" i="2" s="1"/>
  <c r="F121" i="2"/>
  <c r="I121" i="2" s="1"/>
  <c r="N120" i="2"/>
  <c r="L120" i="2" s="1"/>
  <c r="F120" i="2"/>
  <c r="I120" i="2" s="1"/>
  <c r="N119" i="2"/>
  <c r="L119" i="2" s="1"/>
  <c r="F119" i="2"/>
  <c r="I119" i="2" s="1"/>
  <c r="N118" i="2"/>
  <c r="L118" i="2" s="1"/>
  <c r="F118" i="2"/>
  <c r="I118" i="2" s="1"/>
  <c r="N117" i="2"/>
  <c r="L117" i="2" s="1"/>
  <c r="F117" i="2"/>
  <c r="I117" i="2" s="1"/>
  <c r="N116" i="2"/>
  <c r="L116" i="2" s="1"/>
  <c r="F116" i="2"/>
  <c r="I116" i="2" s="1"/>
  <c r="N115" i="2"/>
  <c r="L115" i="2" s="1"/>
  <c r="F115" i="2"/>
  <c r="I115" i="2" s="1"/>
  <c r="N114" i="2"/>
  <c r="L114" i="2" s="1"/>
  <c r="F114" i="2"/>
  <c r="I114" i="2" s="1"/>
  <c r="N113" i="2"/>
  <c r="L113" i="2" s="1"/>
  <c r="F113" i="2"/>
  <c r="I113" i="2" s="1"/>
  <c r="N112" i="2"/>
  <c r="L112" i="2" s="1"/>
  <c r="F112" i="2"/>
  <c r="I112" i="2" s="1"/>
  <c r="N111" i="2"/>
  <c r="L111" i="2" s="1"/>
  <c r="F111" i="2"/>
  <c r="I111" i="2" s="1"/>
  <c r="N110" i="2"/>
  <c r="L110" i="2" s="1"/>
  <c r="F110" i="2"/>
  <c r="I110" i="2" s="1"/>
  <c r="N109" i="2"/>
  <c r="L109" i="2" s="1"/>
  <c r="F109" i="2"/>
  <c r="I109" i="2" s="1"/>
  <c r="N108" i="2"/>
  <c r="L108" i="2" s="1"/>
  <c r="F108" i="2"/>
  <c r="I108" i="2" s="1"/>
  <c r="N107" i="2"/>
  <c r="L107" i="2" s="1"/>
  <c r="F107" i="2"/>
  <c r="I107" i="2" s="1"/>
  <c r="N106" i="2"/>
  <c r="L106" i="2" s="1"/>
  <c r="F106" i="2"/>
  <c r="I106" i="2" s="1"/>
  <c r="N105" i="2"/>
  <c r="L105" i="2" s="1"/>
  <c r="F105" i="2"/>
  <c r="I105" i="2" s="1"/>
  <c r="N104" i="2"/>
  <c r="L104" i="2" s="1"/>
  <c r="F104" i="2"/>
  <c r="I104" i="2" s="1"/>
  <c r="N103" i="2"/>
  <c r="L103" i="2" s="1"/>
  <c r="F103" i="2"/>
  <c r="I103" i="2" s="1"/>
  <c r="N102" i="2"/>
  <c r="L102" i="2" s="1"/>
  <c r="F102" i="2"/>
  <c r="I102" i="2" s="1"/>
  <c r="N101" i="2"/>
  <c r="L101" i="2" s="1"/>
  <c r="F101" i="2"/>
  <c r="I101" i="2" s="1"/>
  <c r="N100" i="2"/>
  <c r="L100" i="2" s="1"/>
  <c r="F100" i="2"/>
  <c r="I100" i="2" s="1"/>
  <c r="N99" i="2"/>
  <c r="L99" i="2" s="1"/>
  <c r="F99" i="2"/>
  <c r="I99" i="2" s="1"/>
  <c r="N98" i="2"/>
  <c r="L98" i="2" s="1"/>
  <c r="F98" i="2"/>
  <c r="I98" i="2" s="1"/>
  <c r="N97" i="2"/>
  <c r="L97" i="2" s="1"/>
  <c r="F97" i="2"/>
  <c r="I97" i="2" s="1"/>
  <c r="N96" i="2"/>
  <c r="L96" i="2" s="1"/>
  <c r="F96" i="2"/>
  <c r="I96" i="2" s="1"/>
  <c r="N95" i="2"/>
  <c r="L95" i="2" s="1"/>
  <c r="F95" i="2"/>
  <c r="I95" i="2" s="1"/>
  <c r="N94" i="2"/>
  <c r="L94" i="2" s="1"/>
  <c r="F94" i="2"/>
  <c r="I94" i="2" s="1"/>
  <c r="N93" i="2"/>
  <c r="L93" i="2" s="1"/>
  <c r="F93" i="2"/>
  <c r="I93" i="2" s="1"/>
  <c r="N92" i="2"/>
  <c r="L92" i="2" s="1"/>
  <c r="F92" i="2"/>
  <c r="I92" i="2" s="1"/>
  <c r="N91" i="2"/>
  <c r="L91" i="2" s="1"/>
  <c r="F91" i="2"/>
  <c r="I91" i="2" s="1"/>
  <c r="N90" i="2"/>
  <c r="L90" i="2" s="1"/>
  <c r="F90" i="2"/>
  <c r="I90" i="2" s="1"/>
  <c r="N89" i="2"/>
  <c r="L89" i="2" s="1"/>
  <c r="F89" i="2"/>
  <c r="I89" i="2" s="1"/>
  <c r="N88" i="2"/>
  <c r="F88" i="2"/>
  <c r="I88" i="2" s="1"/>
  <c r="N87" i="2"/>
  <c r="F87" i="2"/>
  <c r="I87" i="2" s="1"/>
  <c r="N86" i="2"/>
  <c r="F86" i="2"/>
  <c r="I86" i="2" s="1"/>
  <c r="N85" i="2"/>
  <c r="F85" i="2"/>
  <c r="I85" i="2" s="1"/>
  <c r="N84" i="2"/>
  <c r="F84" i="2"/>
  <c r="I84" i="2" s="1"/>
  <c r="N83" i="2"/>
  <c r="F83" i="2"/>
  <c r="I83" i="2" s="1"/>
  <c r="N82" i="2"/>
  <c r="F82" i="2"/>
  <c r="I82" i="2" s="1"/>
  <c r="N81" i="2"/>
  <c r="F81" i="2"/>
  <c r="I81" i="2" s="1"/>
  <c r="N80" i="2"/>
  <c r="F80" i="2"/>
  <c r="I80" i="2" s="1"/>
  <c r="N79" i="2"/>
  <c r="F79" i="2"/>
  <c r="I79" i="2" s="1"/>
  <c r="N78" i="2"/>
  <c r="F78" i="2"/>
  <c r="I78" i="2" s="1"/>
  <c r="N77" i="2"/>
  <c r="F77" i="2"/>
  <c r="I77" i="2" s="1"/>
  <c r="N76" i="2"/>
  <c r="F76" i="2"/>
  <c r="I76" i="2" s="1"/>
  <c r="N75" i="2"/>
  <c r="F75" i="2"/>
  <c r="I75" i="2" s="1"/>
  <c r="N74" i="2"/>
  <c r="F74" i="2"/>
  <c r="I74" i="2" s="1"/>
  <c r="N73" i="2"/>
  <c r="F73" i="2"/>
  <c r="I73" i="2" s="1"/>
  <c r="N72" i="2"/>
  <c r="F72" i="2"/>
  <c r="I72" i="2" s="1"/>
  <c r="N71" i="2"/>
  <c r="F71" i="2"/>
  <c r="I71" i="2" s="1"/>
  <c r="N70" i="2"/>
  <c r="F70" i="2"/>
  <c r="I70" i="2" s="1"/>
  <c r="N69" i="2"/>
  <c r="F69" i="2"/>
  <c r="I69" i="2" s="1"/>
  <c r="N68" i="2"/>
  <c r="F68" i="2"/>
  <c r="I68" i="2" s="1"/>
  <c r="N67" i="2"/>
  <c r="F67" i="2"/>
  <c r="I67" i="2" s="1"/>
  <c r="N66" i="2"/>
  <c r="F66" i="2"/>
  <c r="I66" i="2" s="1"/>
  <c r="N65" i="2"/>
  <c r="F65" i="2"/>
  <c r="I65" i="2" s="1"/>
  <c r="N64" i="2"/>
  <c r="F64" i="2"/>
  <c r="I64" i="2" s="1"/>
  <c r="N63" i="2"/>
  <c r="F63" i="2"/>
  <c r="I63" i="2" s="1"/>
  <c r="N62" i="2"/>
  <c r="F62" i="2"/>
  <c r="I62" i="2" s="1"/>
  <c r="N61" i="2"/>
  <c r="F61" i="2"/>
  <c r="I61" i="2" s="1"/>
  <c r="N60" i="2"/>
  <c r="F60" i="2"/>
  <c r="I60" i="2" s="1"/>
  <c r="N59" i="2"/>
  <c r="F59" i="2"/>
  <c r="I59" i="2" s="1"/>
  <c r="N58" i="2"/>
  <c r="F58" i="2"/>
  <c r="I58" i="2" s="1"/>
  <c r="N57" i="2"/>
  <c r="F57" i="2"/>
  <c r="I57" i="2" s="1"/>
  <c r="N56" i="2"/>
  <c r="F56" i="2"/>
  <c r="I56" i="2" s="1"/>
  <c r="N55" i="2"/>
  <c r="F55" i="2"/>
  <c r="I55" i="2" s="1"/>
  <c r="N54" i="2"/>
  <c r="F54" i="2"/>
  <c r="I54" i="2" s="1"/>
  <c r="N53" i="2"/>
  <c r="F53" i="2"/>
  <c r="I53" i="2" s="1"/>
  <c r="N52" i="2"/>
  <c r="F52" i="2"/>
  <c r="I52" i="2" s="1"/>
  <c r="N51" i="2"/>
  <c r="F51" i="2"/>
  <c r="I51" i="2" s="1"/>
  <c r="N50" i="2"/>
  <c r="F50" i="2"/>
  <c r="I50" i="2" s="1"/>
  <c r="N49" i="2"/>
  <c r="F49" i="2"/>
  <c r="I49" i="2" s="1"/>
  <c r="N48" i="2"/>
  <c r="F48" i="2"/>
  <c r="I48" i="2" s="1"/>
  <c r="N47" i="2"/>
  <c r="F47" i="2"/>
  <c r="I47" i="2" s="1"/>
  <c r="N46" i="2"/>
  <c r="F46" i="2"/>
  <c r="I46" i="2" s="1"/>
  <c r="N45" i="2"/>
  <c r="F45" i="2"/>
  <c r="I45" i="2" s="1"/>
  <c r="N44" i="2"/>
  <c r="F44" i="2"/>
  <c r="I44" i="2" s="1"/>
  <c r="N43" i="2"/>
  <c r="F43" i="2"/>
  <c r="I43" i="2" s="1"/>
  <c r="N42" i="2"/>
  <c r="F42" i="2"/>
  <c r="I42" i="2" s="1"/>
  <c r="N41" i="2"/>
  <c r="F41" i="2"/>
  <c r="I41" i="2" s="1"/>
  <c r="N40" i="2"/>
  <c r="F40" i="2"/>
  <c r="I40" i="2" s="1"/>
  <c r="N39" i="2"/>
  <c r="F39" i="2"/>
  <c r="I39" i="2" s="1"/>
  <c r="N38" i="2"/>
  <c r="F38" i="2"/>
  <c r="I38" i="2" s="1"/>
  <c r="N37" i="2"/>
  <c r="F37" i="2"/>
  <c r="I37" i="2" s="1"/>
  <c r="N36" i="2"/>
  <c r="F36" i="2"/>
  <c r="I36" i="2" s="1"/>
  <c r="N35" i="2"/>
  <c r="F35" i="2"/>
  <c r="I35" i="2" s="1"/>
  <c r="N34" i="2"/>
  <c r="F34" i="2"/>
  <c r="I34" i="2" s="1"/>
  <c r="N33" i="2"/>
  <c r="F33" i="2"/>
  <c r="I33" i="2" s="1"/>
  <c r="N32" i="2"/>
  <c r="F32" i="2"/>
  <c r="I32" i="2" s="1"/>
  <c r="N31" i="2"/>
  <c r="F31" i="2"/>
  <c r="I31" i="2" s="1"/>
  <c r="N30" i="2"/>
  <c r="F30" i="2"/>
  <c r="I30" i="2" s="1"/>
  <c r="N29" i="2"/>
  <c r="F29" i="2"/>
  <c r="I29" i="2" s="1"/>
  <c r="N28" i="2"/>
  <c r="F28" i="2"/>
  <c r="I28" i="2" s="1"/>
  <c r="N27" i="2"/>
  <c r="F27" i="2"/>
  <c r="I27" i="2" s="1"/>
  <c r="N26" i="2"/>
  <c r="F26" i="2"/>
  <c r="I26" i="2" s="1"/>
  <c r="N25" i="2"/>
  <c r="F25" i="2"/>
  <c r="I25" i="2" s="1"/>
  <c r="N24" i="2"/>
  <c r="F24" i="2"/>
  <c r="I24" i="2" s="1"/>
  <c r="N23" i="2"/>
  <c r="F23" i="2"/>
  <c r="I23" i="2" s="1"/>
  <c r="N22" i="2"/>
  <c r="F22" i="2"/>
  <c r="I22" i="2" s="1"/>
  <c r="N21" i="2"/>
  <c r="F21" i="2"/>
  <c r="I21" i="2" s="1"/>
  <c r="N20" i="2"/>
  <c r="F20" i="2"/>
  <c r="I20" i="2" s="1"/>
  <c r="N19" i="2"/>
  <c r="F19" i="2"/>
  <c r="I19" i="2" s="1"/>
  <c r="N18" i="2"/>
  <c r="F18" i="2"/>
  <c r="I18" i="2" s="1"/>
  <c r="N17" i="2"/>
  <c r="F17" i="2"/>
  <c r="I17" i="2" s="1"/>
  <c r="N16" i="2"/>
  <c r="F16" i="2"/>
  <c r="I16" i="2" s="1"/>
  <c r="N15" i="2"/>
  <c r="F15" i="2"/>
  <c r="I15" i="2" s="1"/>
  <c r="N14" i="2"/>
  <c r="F14" i="2"/>
  <c r="I14" i="2" s="1"/>
  <c r="N13" i="2"/>
  <c r="F13" i="2"/>
  <c r="I13" i="2" s="1"/>
  <c r="N12" i="2"/>
  <c r="F12" i="2"/>
  <c r="I12" i="2" s="1"/>
  <c r="N11" i="2"/>
  <c r="F11" i="2"/>
  <c r="I11" i="2" s="1"/>
  <c r="N10" i="2"/>
  <c r="F10" i="2"/>
  <c r="I10" i="2" s="1"/>
  <c r="N9" i="2"/>
  <c r="F9" i="2"/>
  <c r="I9" i="2" s="1"/>
  <c r="N8" i="2"/>
  <c r="F8" i="2"/>
  <c r="I8" i="2" s="1"/>
  <c r="N7" i="2"/>
  <c r="F7" i="2"/>
  <c r="I7" i="2" s="1"/>
  <c r="N6" i="2"/>
  <c r="F6" i="2"/>
  <c r="I6" i="2" s="1"/>
  <c r="N5" i="2"/>
  <c r="L5" i="2"/>
  <c r="F5" i="2"/>
  <c r="I5" i="2" s="1"/>
  <c r="N4" i="2"/>
  <c r="F4" i="2"/>
  <c r="I4" i="2" s="1"/>
  <c r="N3" i="2"/>
  <c r="F3" i="2"/>
  <c r="I3" i="2" s="1"/>
  <c r="N506" i="1"/>
  <c r="F506" i="1"/>
  <c r="L506" i="1" s="1"/>
  <c r="N505" i="1"/>
  <c r="F505" i="1"/>
  <c r="L505" i="1" s="1"/>
  <c r="N504" i="1"/>
  <c r="F504" i="1"/>
  <c r="L504" i="1" s="1"/>
  <c r="N503" i="1"/>
  <c r="F503" i="1"/>
  <c r="L503" i="1" s="1"/>
  <c r="N502" i="1"/>
  <c r="F502" i="1"/>
  <c r="L502" i="1" s="1"/>
  <c r="N501" i="1"/>
  <c r="F501" i="1"/>
  <c r="L501" i="1" s="1"/>
  <c r="N500" i="1"/>
  <c r="F500" i="1"/>
  <c r="L500" i="1" s="1"/>
  <c r="N499" i="1"/>
  <c r="L499" i="1" s="1"/>
  <c r="F499" i="1"/>
  <c r="I499" i="1" s="1"/>
  <c r="N498" i="1"/>
  <c r="L498" i="1" s="1"/>
  <c r="F498" i="1"/>
  <c r="I498" i="1" s="1"/>
  <c r="N497" i="1"/>
  <c r="L497" i="1" s="1"/>
  <c r="F497" i="1"/>
  <c r="I497" i="1" s="1"/>
  <c r="N496" i="1"/>
  <c r="L496" i="1" s="1"/>
  <c r="F496" i="1"/>
  <c r="I496" i="1" s="1"/>
  <c r="N495" i="1"/>
  <c r="L495" i="1" s="1"/>
  <c r="F495" i="1"/>
  <c r="I495" i="1" s="1"/>
  <c r="N494" i="1"/>
  <c r="L494" i="1" s="1"/>
  <c r="F494" i="1"/>
  <c r="I494" i="1" s="1"/>
  <c r="N493" i="1"/>
  <c r="L493" i="1" s="1"/>
  <c r="F493" i="1"/>
  <c r="I493" i="1" s="1"/>
  <c r="N492" i="1"/>
  <c r="L492" i="1" s="1"/>
  <c r="F492" i="1"/>
  <c r="I492" i="1" s="1"/>
  <c r="N491" i="1"/>
  <c r="L491" i="1" s="1"/>
  <c r="F491" i="1"/>
  <c r="I491" i="1" s="1"/>
  <c r="N490" i="1"/>
  <c r="L490" i="1" s="1"/>
  <c r="F490" i="1"/>
  <c r="I490" i="1" s="1"/>
  <c r="N489" i="1"/>
  <c r="L489" i="1" s="1"/>
  <c r="F489" i="1"/>
  <c r="I489" i="1" s="1"/>
  <c r="N488" i="1"/>
  <c r="L488" i="1" s="1"/>
  <c r="F488" i="1"/>
  <c r="I488" i="1" s="1"/>
  <c r="N487" i="1"/>
  <c r="L487" i="1" s="1"/>
  <c r="F487" i="1"/>
  <c r="I487" i="1" s="1"/>
  <c r="N486" i="1"/>
  <c r="L486" i="1" s="1"/>
  <c r="F486" i="1"/>
  <c r="I486" i="1" s="1"/>
  <c r="N485" i="1"/>
  <c r="L485" i="1" s="1"/>
  <c r="F485" i="1"/>
  <c r="I485" i="1" s="1"/>
  <c r="N484" i="1"/>
  <c r="L484" i="1" s="1"/>
  <c r="F484" i="1"/>
  <c r="I484" i="1" s="1"/>
  <c r="N483" i="1"/>
  <c r="L483" i="1" s="1"/>
  <c r="F483" i="1"/>
  <c r="I483" i="1" s="1"/>
  <c r="N482" i="1"/>
  <c r="L482" i="1" s="1"/>
  <c r="F482" i="1"/>
  <c r="I482" i="1" s="1"/>
  <c r="N481" i="1"/>
  <c r="L481" i="1" s="1"/>
  <c r="F481" i="1"/>
  <c r="I481" i="1" s="1"/>
  <c r="N480" i="1"/>
  <c r="L480" i="1" s="1"/>
  <c r="F480" i="1"/>
  <c r="I480" i="1" s="1"/>
  <c r="N479" i="1"/>
  <c r="L479" i="1" s="1"/>
  <c r="F479" i="1"/>
  <c r="I479" i="1" s="1"/>
  <c r="N478" i="1"/>
  <c r="L478" i="1" s="1"/>
  <c r="F478" i="1"/>
  <c r="I478" i="1" s="1"/>
  <c r="N477" i="1"/>
  <c r="L477" i="1" s="1"/>
  <c r="F477" i="1"/>
  <c r="I477" i="1" s="1"/>
  <c r="N476" i="1"/>
  <c r="L476" i="1" s="1"/>
  <c r="F476" i="1"/>
  <c r="I476" i="1" s="1"/>
  <c r="N475" i="1"/>
  <c r="L475" i="1" s="1"/>
  <c r="F475" i="1"/>
  <c r="I475" i="1" s="1"/>
  <c r="N474" i="1"/>
  <c r="L474" i="1" s="1"/>
  <c r="F474" i="1"/>
  <c r="I474" i="1" s="1"/>
  <c r="N473" i="1"/>
  <c r="L473" i="1" s="1"/>
  <c r="F473" i="1"/>
  <c r="I473" i="1" s="1"/>
  <c r="N472" i="1"/>
  <c r="L472" i="1" s="1"/>
  <c r="F472" i="1"/>
  <c r="I472" i="1" s="1"/>
  <c r="N471" i="1"/>
  <c r="L471" i="1" s="1"/>
  <c r="F471" i="1"/>
  <c r="I471" i="1" s="1"/>
  <c r="N470" i="1"/>
  <c r="L470" i="1" s="1"/>
  <c r="F470" i="1"/>
  <c r="I470" i="1" s="1"/>
  <c r="N469" i="1"/>
  <c r="L469" i="1" s="1"/>
  <c r="F469" i="1"/>
  <c r="I469" i="1" s="1"/>
  <c r="N468" i="1"/>
  <c r="L468" i="1" s="1"/>
  <c r="F468" i="1"/>
  <c r="I468" i="1" s="1"/>
  <c r="N467" i="1"/>
  <c r="L467" i="1" s="1"/>
  <c r="F467" i="1"/>
  <c r="I467" i="1" s="1"/>
  <c r="N466" i="1"/>
  <c r="L466" i="1" s="1"/>
  <c r="F466" i="1"/>
  <c r="I466" i="1" s="1"/>
  <c r="N465" i="1"/>
  <c r="L465" i="1" s="1"/>
  <c r="F465" i="1"/>
  <c r="I465" i="1" s="1"/>
  <c r="N464" i="1"/>
  <c r="L464" i="1" s="1"/>
  <c r="F464" i="1"/>
  <c r="I464" i="1" s="1"/>
  <c r="N463" i="1"/>
  <c r="L463" i="1" s="1"/>
  <c r="F463" i="1"/>
  <c r="I463" i="1" s="1"/>
  <c r="N462" i="1"/>
  <c r="L462" i="1" s="1"/>
  <c r="F462" i="1"/>
  <c r="I462" i="1" s="1"/>
  <c r="N461" i="1"/>
  <c r="L461" i="1" s="1"/>
  <c r="F461" i="1"/>
  <c r="I461" i="1" s="1"/>
  <c r="N460" i="1"/>
  <c r="L460" i="1" s="1"/>
  <c r="F460" i="1"/>
  <c r="I460" i="1" s="1"/>
  <c r="N459" i="1"/>
  <c r="L459" i="1" s="1"/>
  <c r="F459" i="1"/>
  <c r="I459" i="1" s="1"/>
  <c r="N458" i="1"/>
  <c r="L458" i="1" s="1"/>
  <c r="F458" i="1"/>
  <c r="I458" i="1" s="1"/>
  <c r="N457" i="1"/>
  <c r="L457" i="1" s="1"/>
  <c r="F457" i="1"/>
  <c r="I457" i="1" s="1"/>
  <c r="N456" i="1"/>
  <c r="L456" i="1" s="1"/>
  <c r="F456" i="1"/>
  <c r="I456" i="1" s="1"/>
  <c r="N455" i="1"/>
  <c r="L455" i="1" s="1"/>
  <c r="F455" i="1"/>
  <c r="I455" i="1" s="1"/>
  <c r="N454" i="1"/>
  <c r="L454" i="1" s="1"/>
  <c r="F454" i="1"/>
  <c r="I454" i="1" s="1"/>
  <c r="N453" i="1"/>
  <c r="L453" i="1" s="1"/>
  <c r="F453" i="1"/>
  <c r="I453" i="1" s="1"/>
  <c r="N452" i="1"/>
  <c r="L452" i="1" s="1"/>
  <c r="F452" i="1"/>
  <c r="I452" i="1" s="1"/>
  <c r="N451" i="1"/>
  <c r="L451" i="1" s="1"/>
  <c r="F451" i="1"/>
  <c r="I451" i="1" s="1"/>
  <c r="N450" i="1"/>
  <c r="L450" i="1" s="1"/>
  <c r="F450" i="1"/>
  <c r="I450" i="1" s="1"/>
  <c r="N449" i="1"/>
  <c r="L449" i="1" s="1"/>
  <c r="F449" i="1"/>
  <c r="I449" i="1" s="1"/>
  <c r="N448" i="1"/>
  <c r="L448" i="1" s="1"/>
  <c r="F448" i="1"/>
  <c r="I448" i="1" s="1"/>
  <c r="N447" i="1"/>
  <c r="L447" i="1" s="1"/>
  <c r="F447" i="1"/>
  <c r="I447" i="1" s="1"/>
  <c r="N446" i="1"/>
  <c r="L446" i="1" s="1"/>
  <c r="F446" i="1"/>
  <c r="I446" i="1" s="1"/>
  <c r="N445" i="1"/>
  <c r="L445" i="1" s="1"/>
  <c r="F445" i="1"/>
  <c r="I445" i="1" s="1"/>
  <c r="N444" i="1"/>
  <c r="L444" i="1" s="1"/>
  <c r="F444" i="1"/>
  <c r="I444" i="1" s="1"/>
  <c r="N443" i="1"/>
  <c r="L443" i="1" s="1"/>
  <c r="F443" i="1"/>
  <c r="I443" i="1" s="1"/>
  <c r="N442" i="1"/>
  <c r="L442" i="1" s="1"/>
  <c r="F442" i="1"/>
  <c r="I442" i="1" s="1"/>
  <c r="N441" i="1"/>
  <c r="L441" i="1" s="1"/>
  <c r="F441" i="1"/>
  <c r="I441" i="1" s="1"/>
  <c r="N440" i="1"/>
  <c r="L440" i="1" s="1"/>
  <c r="F440" i="1"/>
  <c r="I440" i="1" s="1"/>
  <c r="N439" i="1"/>
  <c r="L439" i="1" s="1"/>
  <c r="F439" i="1"/>
  <c r="I439" i="1" s="1"/>
  <c r="N438" i="1"/>
  <c r="L438" i="1" s="1"/>
  <c r="F438" i="1"/>
  <c r="I438" i="1" s="1"/>
  <c r="N437" i="1"/>
  <c r="L437" i="1" s="1"/>
  <c r="F437" i="1"/>
  <c r="I437" i="1" s="1"/>
  <c r="N436" i="1"/>
  <c r="L436" i="1" s="1"/>
  <c r="F436" i="1"/>
  <c r="I436" i="1" s="1"/>
  <c r="N435" i="1"/>
  <c r="L435" i="1" s="1"/>
  <c r="F435" i="1"/>
  <c r="I435" i="1" s="1"/>
  <c r="N434" i="1"/>
  <c r="L434" i="1" s="1"/>
  <c r="F434" i="1"/>
  <c r="I434" i="1" s="1"/>
  <c r="N433" i="1"/>
  <c r="L433" i="1" s="1"/>
  <c r="F433" i="1"/>
  <c r="I433" i="1" s="1"/>
  <c r="N432" i="1"/>
  <c r="L432" i="1" s="1"/>
  <c r="F432" i="1"/>
  <c r="I432" i="1" s="1"/>
  <c r="N431" i="1"/>
  <c r="L431" i="1" s="1"/>
  <c r="F431" i="1"/>
  <c r="I431" i="1" s="1"/>
  <c r="N430" i="1"/>
  <c r="L430" i="1" s="1"/>
  <c r="F430" i="1"/>
  <c r="I430" i="1" s="1"/>
  <c r="N429" i="1"/>
  <c r="L429" i="1" s="1"/>
  <c r="F429" i="1"/>
  <c r="I429" i="1" s="1"/>
  <c r="N428" i="1"/>
  <c r="L428" i="1" s="1"/>
  <c r="F428" i="1"/>
  <c r="I428" i="1" s="1"/>
  <c r="N427" i="1"/>
  <c r="L427" i="1" s="1"/>
  <c r="F427" i="1"/>
  <c r="I427" i="1" s="1"/>
  <c r="N426" i="1"/>
  <c r="L426" i="1" s="1"/>
  <c r="F426" i="1"/>
  <c r="I426" i="1" s="1"/>
  <c r="N425" i="1"/>
  <c r="L425" i="1" s="1"/>
  <c r="F425" i="1"/>
  <c r="I425" i="1" s="1"/>
  <c r="N424" i="1"/>
  <c r="L424" i="1" s="1"/>
  <c r="F424" i="1"/>
  <c r="I424" i="1" s="1"/>
  <c r="N423" i="1"/>
  <c r="L423" i="1" s="1"/>
  <c r="F423" i="1"/>
  <c r="I423" i="1" s="1"/>
  <c r="N422" i="1"/>
  <c r="L422" i="1" s="1"/>
  <c r="F422" i="1"/>
  <c r="I422" i="1" s="1"/>
  <c r="N421" i="1"/>
  <c r="L421" i="1" s="1"/>
  <c r="F421" i="1"/>
  <c r="I421" i="1" s="1"/>
  <c r="N420" i="1"/>
  <c r="L420" i="1" s="1"/>
  <c r="F420" i="1"/>
  <c r="I420" i="1" s="1"/>
  <c r="N419" i="1"/>
  <c r="L419" i="1" s="1"/>
  <c r="F419" i="1"/>
  <c r="I419" i="1" s="1"/>
  <c r="N418" i="1"/>
  <c r="L418" i="1" s="1"/>
  <c r="F418" i="1"/>
  <c r="I418" i="1" s="1"/>
  <c r="N417" i="1"/>
  <c r="L417" i="1" s="1"/>
  <c r="F417" i="1"/>
  <c r="I417" i="1" s="1"/>
  <c r="N416" i="1"/>
  <c r="L416" i="1" s="1"/>
  <c r="F416" i="1"/>
  <c r="I416" i="1" s="1"/>
  <c r="N415" i="1"/>
  <c r="L415" i="1" s="1"/>
  <c r="F415" i="1"/>
  <c r="I415" i="1" s="1"/>
  <c r="N414" i="1"/>
  <c r="L414" i="1" s="1"/>
  <c r="F414" i="1"/>
  <c r="I414" i="1" s="1"/>
  <c r="N413" i="1"/>
  <c r="L413" i="1" s="1"/>
  <c r="F413" i="1"/>
  <c r="I413" i="1" s="1"/>
  <c r="N412" i="1"/>
  <c r="L412" i="1" s="1"/>
  <c r="F412" i="1"/>
  <c r="I412" i="1" s="1"/>
  <c r="N411" i="1"/>
  <c r="L411" i="1" s="1"/>
  <c r="F411" i="1"/>
  <c r="I411" i="1" s="1"/>
  <c r="N410" i="1"/>
  <c r="L410" i="1" s="1"/>
  <c r="F410" i="1"/>
  <c r="I410" i="1" s="1"/>
  <c r="N409" i="1"/>
  <c r="L409" i="1" s="1"/>
  <c r="F409" i="1"/>
  <c r="I409" i="1" s="1"/>
  <c r="N408" i="1"/>
  <c r="L408" i="1" s="1"/>
  <c r="F408" i="1"/>
  <c r="I408" i="1" s="1"/>
  <c r="N407" i="1"/>
  <c r="L407" i="1" s="1"/>
  <c r="F407" i="1"/>
  <c r="I407" i="1" s="1"/>
  <c r="N406" i="1"/>
  <c r="L406" i="1" s="1"/>
  <c r="F406" i="1"/>
  <c r="I406" i="1" s="1"/>
  <c r="N405" i="1"/>
  <c r="L405" i="1" s="1"/>
  <c r="F405" i="1"/>
  <c r="I405" i="1" s="1"/>
  <c r="N404" i="1"/>
  <c r="L404" i="1" s="1"/>
  <c r="F404" i="1"/>
  <c r="I404" i="1" s="1"/>
  <c r="N403" i="1"/>
  <c r="L403" i="1" s="1"/>
  <c r="F403" i="1"/>
  <c r="I403" i="1" s="1"/>
  <c r="N402" i="1"/>
  <c r="L402" i="1" s="1"/>
  <c r="F402" i="1"/>
  <c r="I402" i="1" s="1"/>
  <c r="N401" i="1"/>
  <c r="L401" i="1" s="1"/>
  <c r="F401" i="1"/>
  <c r="I401" i="1" s="1"/>
  <c r="N400" i="1"/>
  <c r="L400" i="1" s="1"/>
  <c r="F400" i="1"/>
  <c r="I400" i="1" s="1"/>
  <c r="N399" i="1"/>
  <c r="L399" i="1" s="1"/>
  <c r="F399" i="1"/>
  <c r="I399" i="1" s="1"/>
  <c r="N398" i="1"/>
  <c r="L398" i="1" s="1"/>
  <c r="F398" i="1"/>
  <c r="I398" i="1" s="1"/>
  <c r="N397" i="1"/>
  <c r="L397" i="1" s="1"/>
  <c r="F397" i="1"/>
  <c r="I397" i="1" s="1"/>
  <c r="N396" i="1"/>
  <c r="L396" i="1" s="1"/>
  <c r="F396" i="1"/>
  <c r="I396" i="1" s="1"/>
  <c r="N395" i="1"/>
  <c r="L395" i="1" s="1"/>
  <c r="F395" i="1"/>
  <c r="I395" i="1" s="1"/>
  <c r="N394" i="1"/>
  <c r="L394" i="1" s="1"/>
  <c r="F394" i="1"/>
  <c r="I394" i="1" s="1"/>
  <c r="N393" i="1"/>
  <c r="L393" i="1" s="1"/>
  <c r="F393" i="1"/>
  <c r="I393" i="1" s="1"/>
  <c r="N392" i="1"/>
  <c r="L392" i="1" s="1"/>
  <c r="F392" i="1"/>
  <c r="I392" i="1" s="1"/>
  <c r="N391" i="1"/>
  <c r="L391" i="1" s="1"/>
  <c r="F391" i="1"/>
  <c r="I391" i="1" s="1"/>
  <c r="N390" i="1"/>
  <c r="L390" i="1" s="1"/>
  <c r="F390" i="1"/>
  <c r="I390" i="1" s="1"/>
  <c r="N389" i="1"/>
  <c r="L389" i="1" s="1"/>
  <c r="F389" i="1"/>
  <c r="I389" i="1" s="1"/>
  <c r="N388" i="1"/>
  <c r="L388" i="1" s="1"/>
  <c r="F388" i="1"/>
  <c r="I388" i="1" s="1"/>
  <c r="N387" i="1"/>
  <c r="L387" i="1" s="1"/>
  <c r="F387" i="1"/>
  <c r="I387" i="1" s="1"/>
  <c r="N386" i="1"/>
  <c r="L386" i="1" s="1"/>
  <c r="F386" i="1"/>
  <c r="I386" i="1" s="1"/>
  <c r="N385" i="1"/>
  <c r="L385" i="1" s="1"/>
  <c r="F385" i="1"/>
  <c r="I385" i="1" s="1"/>
  <c r="N384" i="1"/>
  <c r="L384" i="1" s="1"/>
  <c r="F384" i="1"/>
  <c r="I384" i="1" s="1"/>
  <c r="N383" i="1"/>
  <c r="L383" i="1" s="1"/>
  <c r="F383" i="1"/>
  <c r="I383" i="1" s="1"/>
  <c r="N382" i="1"/>
  <c r="L382" i="1" s="1"/>
  <c r="F382" i="1"/>
  <c r="I382" i="1" s="1"/>
  <c r="N381" i="1"/>
  <c r="L381" i="1" s="1"/>
  <c r="F381" i="1"/>
  <c r="I381" i="1" s="1"/>
  <c r="N380" i="1"/>
  <c r="L380" i="1" s="1"/>
  <c r="F380" i="1"/>
  <c r="I380" i="1" s="1"/>
  <c r="N379" i="1"/>
  <c r="F379" i="1"/>
  <c r="L379" i="1" s="1"/>
  <c r="N378" i="1"/>
  <c r="F378" i="1"/>
  <c r="L378" i="1" s="1"/>
  <c r="N377" i="1"/>
  <c r="F377" i="1"/>
  <c r="L377" i="1" s="1"/>
  <c r="N376" i="1"/>
  <c r="F376" i="1"/>
  <c r="L376" i="1" s="1"/>
  <c r="N375" i="1"/>
  <c r="F375" i="1"/>
  <c r="L375" i="1" s="1"/>
  <c r="N374" i="1"/>
  <c r="F374" i="1"/>
  <c r="L374" i="1" s="1"/>
  <c r="N373" i="1"/>
  <c r="L373" i="1" s="1"/>
  <c r="F373" i="1"/>
  <c r="I373" i="1" s="1"/>
  <c r="N372" i="1"/>
  <c r="L372" i="1" s="1"/>
  <c r="F372" i="1"/>
  <c r="I372" i="1" s="1"/>
  <c r="N371" i="1"/>
  <c r="L371" i="1" s="1"/>
  <c r="F371" i="1"/>
  <c r="I371" i="1" s="1"/>
  <c r="N370" i="1"/>
  <c r="L370" i="1" s="1"/>
  <c r="F370" i="1"/>
  <c r="I370" i="1" s="1"/>
  <c r="N369" i="1"/>
  <c r="L369" i="1" s="1"/>
  <c r="F369" i="1"/>
  <c r="I369" i="1" s="1"/>
  <c r="N368" i="1"/>
  <c r="L368" i="1" s="1"/>
  <c r="F368" i="1"/>
  <c r="I368" i="1" s="1"/>
  <c r="N367" i="1"/>
  <c r="L367" i="1" s="1"/>
  <c r="F367" i="1"/>
  <c r="I367" i="1" s="1"/>
  <c r="N366" i="1"/>
  <c r="L366" i="1" s="1"/>
  <c r="F366" i="1"/>
  <c r="I366" i="1" s="1"/>
  <c r="N365" i="1"/>
  <c r="L365" i="1" s="1"/>
  <c r="F365" i="1"/>
  <c r="I365" i="1" s="1"/>
  <c r="N364" i="1"/>
  <c r="L364" i="1" s="1"/>
  <c r="F364" i="1"/>
  <c r="I364" i="1" s="1"/>
  <c r="N363" i="1"/>
  <c r="L363" i="1" s="1"/>
  <c r="F363" i="1"/>
  <c r="I363" i="1" s="1"/>
  <c r="N362" i="1"/>
  <c r="L362" i="1" s="1"/>
  <c r="F362" i="1"/>
  <c r="I362" i="1" s="1"/>
  <c r="N361" i="1"/>
  <c r="L361" i="1" s="1"/>
  <c r="F361" i="1"/>
  <c r="I361" i="1" s="1"/>
  <c r="N360" i="1"/>
  <c r="L360" i="1" s="1"/>
  <c r="F360" i="1"/>
  <c r="I360" i="1" s="1"/>
  <c r="N359" i="1"/>
  <c r="L359" i="1" s="1"/>
  <c r="F359" i="1"/>
  <c r="I359" i="1" s="1"/>
  <c r="N358" i="1"/>
  <c r="L358" i="1" s="1"/>
  <c r="F358" i="1"/>
  <c r="I358" i="1" s="1"/>
  <c r="N357" i="1"/>
  <c r="L357" i="1" s="1"/>
  <c r="F357" i="1"/>
  <c r="I357" i="1" s="1"/>
  <c r="N356" i="1"/>
  <c r="L356" i="1" s="1"/>
  <c r="F356" i="1"/>
  <c r="I356" i="1" s="1"/>
  <c r="N355" i="1"/>
  <c r="L355" i="1" s="1"/>
  <c r="F355" i="1"/>
  <c r="I355" i="1" s="1"/>
  <c r="N354" i="1"/>
  <c r="L354" i="1" s="1"/>
  <c r="F354" i="1"/>
  <c r="I354" i="1" s="1"/>
  <c r="N353" i="1"/>
  <c r="L353" i="1" s="1"/>
  <c r="F353" i="1"/>
  <c r="I353" i="1" s="1"/>
  <c r="N352" i="1"/>
  <c r="L352" i="1" s="1"/>
  <c r="F352" i="1"/>
  <c r="I352" i="1" s="1"/>
  <c r="N351" i="1"/>
  <c r="L351" i="1" s="1"/>
  <c r="F351" i="1"/>
  <c r="I351" i="1" s="1"/>
  <c r="N350" i="1"/>
  <c r="L350" i="1" s="1"/>
  <c r="F350" i="1"/>
  <c r="I350" i="1" s="1"/>
  <c r="N349" i="1"/>
  <c r="L349" i="1" s="1"/>
  <c r="F349" i="1"/>
  <c r="I349" i="1" s="1"/>
  <c r="N348" i="1"/>
  <c r="L348" i="1" s="1"/>
  <c r="F348" i="1"/>
  <c r="I348" i="1" s="1"/>
  <c r="N347" i="1"/>
  <c r="L347" i="1" s="1"/>
  <c r="F347" i="1"/>
  <c r="I347" i="1" s="1"/>
  <c r="N346" i="1"/>
  <c r="L346" i="1" s="1"/>
  <c r="F346" i="1"/>
  <c r="I346" i="1" s="1"/>
  <c r="N345" i="1"/>
  <c r="L345" i="1" s="1"/>
  <c r="F345" i="1"/>
  <c r="I345" i="1" s="1"/>
  <c r="N344" i="1"/>
  <c r="L344" i="1" s="1"/>
  <c r="F344" i="1"/>
  <c r="I344" i="1" s="1"/>
  <c r="N343" i="1"/>
  <c r="L343" i="1" s="1"/>
  <c r="F343" i="1"/>
  <c r="I343" i="1" s="1"/>
  <c r="N342" i="1"/>
  <c r="L342" i="1" s="1"/>
  <c r="F342" i="1"/>
  <c r="I342" i="1" s="1"/>
  <c r="N341" i="1"/>
  <c r="L341" i="1" s="1"/>
  <c r="F341" i="1"/>
  <c r="I341" i="1" s="1"/>
  <c r="N340" i="1"/>
  <c r="L340" i="1" s="1"/>
  <c r="F340" i="1"/>
  <c r="I340" i="1" s="1"/>
  <c r="N339" i="1"/>
  <c r="L339" i="1" s="1"/>
  <c r="F339" i="1"/>
  <c r="I339" i="1" s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N338" i="1"/>
  <c r="L338" i="1" s="1"/>
  <c r="F338" i="1"/>
  <c r="I338" i="1" s="1"/>
  <c r="N337" i="1"/>
  <c r="L337" i="1" s="1"/>
  <c r="F337" i="1"/>
  <c r="I337" i="1" s="1"/>
  <c r="N336" i="1"/>
  <c r="L336" i="1" s="1"/>
  <c r="F336" i="1"/>
  <c r="I336" i="1" s="1"/>
  <c r="N335" i="1"/>
  <c r="L335" i="1" s="1"/>
  <c r="F335" i="1"/>
  <c r="I335" i="1" s="1"/>
  <c r="N334" i="1"/>
  <c r="L334" i="1" s="1"/>
  <c r="F334" i="1"/>
  <c r="I334" i="1" s="1"/>
  <c r="N333" i="1"/>
  <c r="L333" i="1" s="1"/>
  <c r="F333" i="1"/>
  <c r="I333" i="1" s="1"/>
  <c r="N332" i="1"/>
  <c r="L332" i="1" s="1"/>
  <c r="F332" i="1"/>
  <c r="I332" i="1" s="1"/>
  <c r="N331" i="1"/>
  <c r="L331" i="1" s="1"/>
  <c r="F331" i="1"/>
  <c r="I331" i="1" s="1"/>
  <c r="N330" i="1"/>
  <c r="L330" i="1" s="1"/>
  <c r="F330" i="1"/>
  <c r="I330" i="1" s="1"/>
  <c r="N329" i="1"/>
  <c r="L329" i="1" s="1"/>
  <c r="F329" i="1"/>
  <c r="I329" i="1" s="1"/>
  <c r="N328" i="1"/>
  <c r="L328" i="1" s="1"/>
  <c r="F328" i="1"/>
  <c r="I328" i="1" s="1"/>
  <c r="N327" i="1"/>
  <c r="L327" i="1" s="1"/>
  <c r="F327" i="1"/>
  <c r="I327" i="1" s="1"/>
  <c r="N326" i="1"/>
  <c r="L326" i="1" s="1"/>
  <c r="F326" i="1"/>
  <c r="I326" i="1" s="1"/>
  <c r="N325" i="1"/>
  <c r="L325" i="1" s="1"/>
  <c r="F325" i="1"/>
  <c r="I325" i="1" s="1"/>
  <c r="N324" i="1"/>
  <c r="L324" i="1" s="1"/>
  <c r="F324" i="1"/>
  <c r="I324" i="1" s="1"/>
  <c r="N323" i="1"/>
  <c r="L323" i="1" s="1"/>
  <c r="F323" i="1"/>
  <c r="I323" i="1" s="1"/>
  <c r="N322" i="1"/>
  <c r="L322" i="1" s="1"/>
  <c r="F322" i="1"/>
  <c r="I322" i="1" s="1"/>
  <c r="N321" i="1"/>
  <c r="L321" i="1" s="1"/>
  <c r="F321" i="1"/>
  <c r="I321" i="1" s="1"/>
  <c r="N320" i="1"/>
  <c r="L320" i="1" s="1"/>
  <c r="F320" i="1"/>
  <c r="I320" i="1" s="1"/>
  <c r="N319" i="1"/>
  <c r="L319" i="1" s="1"/>
  <c r="F319" i="1"/>
  <c r="I319" i="1" s="1"/>
  <c r="N318" i="1"/>
  <c r="L318" i="1" s="1"/>
  <c r="F318" i="1"/>
  <c r="I318" i="1" s="1"/>
  <c r="N317" i="1"/>
  <c r="L317" i="1" s="1"/>
  <c r="F317" i="1"/>
  <c r="I317" i="1" s="1"/>
  <c r="N316" i="1"/>
  <c r="L316" i="1" s="1"/>
  <c r="F316" i="1"/>
  <c r="I316" i="1" s="1"/>
  <c r="N315" i="1"/>
  <c r="L315" i="1" s="1"/>
  <c r="F315" i="1"/>
  <c r="I315" i="1" s="1"/>
  <c r="N314" i="1"/>
  <c r="L314" i="1" s="1"/>
  <c r="F314" i="1"/>
  <c r="I314" i="1" s="1"/>
  <c r="N313" i="1"/>
  <c r="L313" i="1" s="1"/>
  <c r="F313" i="1"/>
  <c r="I313" i="1" s="1"/>
  <c r="N312" i="1"/>
  <c r="L312" i="1" s="1"/>
  <c r="F312" i="1"/>
  <c r="I312" i="1" s="1"/>
  <c r="N311" i="1"/>
  <c r="L311" i="1" s="1"/>
  <c r="F311" i="1"/>
  <c r="I311" i="1" s="1"/>
  <c r="N310" i="1"/>
  <c r="L310" i="1" s="1"/>
  <c r="F310" i="1"/>
  <c r="I310" i="1" s="1"/>
  <c r="N309" i="1"/>
  <c r="L309" i="1" s="1"/>
  <c r="F309" i="1"/>
  <c r="I309" i="1" s="1"/>
  <c r="N308" i="1"/>
  <c r="L308" i="1" s="1"/>
  <c r="F308" i="1"/>
  <c r="I308" i="1" s="1"/>
  <c r="N307" i="1"/>
  <c r="L307" i="1" s="1"/>
  <c r="F307" i="1"/>
  <c r="I307" i="1" s="1"/>
  <c r="N306" i="1"/>
  <c r="L306" i="1" s="1"/>
  <c r="F306" i="1"/>
  <c r="I306" i="1" s="1"/>
  <c r="N305" i="1"/>
  <c r="L305" i="1" s="1"/>
  <c r="F305" i="1"/>
  <c r="I305" i="1" s="1"/>
  <c r="N304" i="1"/>
  <c r="L304" i="1" s="1"/>
  <c r="F304" i="1"/>
  <c r="I304" i="1" s="1"/>
  <c r="N303" i="1"/>
  <c r="L303" i="1" s="1"/>
  <c r="F303" i="1"/>
  <c r="I303" i="1" s="1"/>
  <c r="N302" i="1"/>
  <c r="L302" i="1" s="1"/>
  <c r="F302" i="1"/>
  <c r="I302" i="1" s="1"/>
  <c r="N301" i="1"/>
  <c r="L301" i="1" s="1"/>
  <c r="F301" i="1"/>
  <c r="I301" i="1" s="1"/>
  <c r="N300" i="1"/>
  <c r="L300" i="1" s="1"/>
  <c r="F300" i="1"/>
  <c r="I300" i="1" s="1"/>
  <c r="N299" i="1"/>
  <c r="L299" i="1" s="1"/>
  <c r="F299" i="1"/>
  <c r="I299" i="1" s="1"/>
  <c r="N298" i="1"/>
  <c r="L298" i="1" s="1"/>
  <c r="F298" i="1"/>
  <c r="I298" i="1" s="1"/>
  <c r="N297" i="1"/>
  <c r="L297" i="1" s="1"/>
  <c r="F297" i="1"/>
  <c r="I297" i="1" s="1"/>
  <c r="N296" i="1"/>
  <c r="L296" i="1" s="1"/>
  <c r="F296" i="1"/>
  <c r="I296" i="1" s="1"/>
  <c r="N295" i="1"/>
  <c r="L295" i="1" s="1"/>
  <c r="F295" i="1"/>
  <c r="I295" i="1" s="1"/>
  <c r="N294" i="1"/>
  <c r="L294" i="1" s="1"/>
  <c r="F294" i="1"/>
  <c r="I294" i="1" s="1"/>
  <c r="N293" i="1"/>
  <c r="L293" i="1" s="1"/>
  <c r="F293" i="1"/>
  <c r="I293" i="1" s="1"/>
  <c r="N292" i="1"/>
  <c r="L292" i="1" s="1"/>
  <c r="F292" i="1"/>
  <c r="I292" i="1" s="1"/>
  <c r="N291" i="1"/>
  <c r="L291" i="1" s="1"/>
  <c r="F291" i="1"/>
  <c r="I291" i="1" s="1"/>
  <c r="N290" i="1"/>
  <c r="L290" i="1" s="1"/>
  <c r="F290" i="1"/>
  <c r="I290" i="1" s="1"/>
  <c r="N289" i="1"/>
  <c r="F289" i="1"/>
  <c r="L289" i="1" s="1"/>
  <c r="N288" i="1"/>
  <c r="F288" i="1"/>
  <c r="L288" i="1" s="1"/>
  <c r="N287" i="1"/>
  <c r="F287" i="1"/>
  <c r="L287" i="1" s="1"/>
  <c r="N286" i="1"/>
  <c r="F286" i="1"/>
  <c r="L286" i="1" s="1"/>
  <c r="N285" i="1"/>
  <c r="F285" i="1"/>
  <c r="L285" i="1" s="1"/>
  <c r="N284" i="1"/>
  <c r="F284" i="1"/>
  <c r="L284" i="1" s="1"/>
  <c r="N283" i="1"/>
  <c r="F283" i="1"/>
  <c r="L283" i="1" s="1"/>
  <c r="N282" i="1"/>
  <c r="L282" i="1" s="1"/>
  <c r="F282" i="1"/>
  <c r="I282" i="1" s="1"/>
  <c r="N281" i="1"/>
  <c r="L281" i="1" s="1"/>
  <c r="F281" i="1"/>
  <c r="I281" i="1" s="1"/>
  <c r="N280" i="1"/>
  <c r="L280" i="1" s="1"/>
  <c r="F280" i="1"/>
  <c r="I280" i="1" s="1"/>
  <c r="N279" i="1"/>
  <c r="L279" i="1" s="1"/>
  <c r="F279" i="1"/>
  <c r="I279" i="1" s="1"/>
  <c r="N278" i="1"/>
  <c r="L278" i="1" s="1"/>
  <c r="F278" i="1"/>
  <c r="I278" i="1" s="1"/>
  <c r="N277" i="1"/>
  <c r="L277" i="1" s="1"/>
  <c r="F277" i="1"/>
  <c r="I277" i="1" s="1"/>
  <c r="N276" i="1"/>
  <c r="L276" i="1" s="1"/>
  <c r="F276" i="1"/>
  <c r="I276" i="1" s="1"/>
  <c r="N275" i="1"/>
  <c r="L275" i="1" s="1"/>
  <c r="F275" i="1"/>
  <c r="I275" i="1" s="1"/>
  <c r="N274" i="1"/>
  <c r="L274" i="1" s="1"/>
  <c r="F274" i="1"/>
  <c r="I274" i="1" s="1"/>
  <c r="N273" i="1"/>
  <c r="L273" i="1" s="1"/>
  <c r="F273" i="1"/>
  <c r="I273" i="1" s="1"/>
  <c r="N272" i="1"/>
  <c r="L272" i="1" s="1"/>
  <c r="F272" i="1"/>
  <c r="I272" i="1" s="1"/>
  <c r="N271" i="1"/>
  <c r="L271" i="1" s="1"/>
  <c r="F271" i="1"/>
  <c r="I271" i="1" s="1"/>
  <c r="N270" i="1"/>
  <c r="L270" i="1" s="1"/>
  <c r="F270" i="1"/>
  <c r="I270" i="1" s="1"/>
  <c r="N269" i="1"/>
  <c r="L269" i="1" s="1"/>
  <c r="F269" i="1"/>
  <c r="I269" i="1" s="1"/>
  <c r="N268" i="1"/>
  <c r="L268" i="1" s="1"/>
  <c r="F268" i="1"/>
  <c r="I268" i="1" s="1"/>
  <c r="N267" i="1"/>
  <c r="L267" i="1" s="1"/>
  <c r="F267" i="1"/>
  <c r="I267" i="1" s="1"/>
  <c r="N266" i="1"/>
  <c r="L266" i="1" s="1"/>
  <c r="F266" i="1"/>
  <c r="I266" i="1" s="1"/>
  <c r="N265" i="1"/>
  <c r="L265" i="1" s="1"/>
  <c r="F265" i="1"/>
  <c r="I265" i="1" s="1"/>
  <c r="N264" i="1"/>
  <c r="L264" i="1" s="1"/>
  <c r="F264" i="1"/>
  <c r="I264" i="1" s="1"/>
  <c r="N263" i="1"/>
  <c r="L263" i="1" s="1"/>
  <c r="F263" i="1"/>
  <c r="I263" i="1" s="1"/>
  <c r="N262" i="1"/>
  <c r="L262" i="1" s="1"/>
  <c r="F262" i="1"/>
  <c r="I262" i="1" s="1"/>
  <c r="N261" i="1"/>
  <c r="L261" i="1" s="1"/>
  <c r="F261" i="1"/>
  <c r="I261" i="1" s="1"/>
  <c r="N260" i="1"/>
  <c r="L260" i="1" s="1"/>
  <c r="F260" i="1"/>
  <c r="I260" i="1" s="1"/>
  <c r="N259" i="1"/>
  <c r="L259" i="1" s="1"/>
  <c r="F259" i="1"/>
  <c r="I259" i="1" s="1"/>
  <c r="N258" i="1"/>
  <c r="L258" i="1" s="1"/>
  <c r="F258" i="1"/>
  <c r="I258" i="1" s="1"/>
  <c r="N257" i="1"/>
  <c r="L257" i="1" s="1"/>
  <c r="F257" i="1"/>
  <c r="I257" i="1" s="1"/>
  <c r="N256" i="1"/>
  <c r="L256" i="1" s="1"/>
  <c r="F256" i="1"/>
  <c r="I256" i="1" s="1"/>
  <c r="N255" i="1"/>
  <c r="L255" i="1" s="1"/>
  <c r="F255" i="1"/>
  <c r="I255" i="1" s="1"/>
  <c r="N254" i="1"/>
  <c r="L254" i="1" s="1"/>
  <c r="F254" i="1"/>
  <c r="I254" i="1" s="1"/>
  <c r="N253" i="1"/>
  <c r="L253" i="1" s="1"/>
  <c r="F253" i="1"/>
  <c r="I253" i="1" s="1"/>
  <c r="N252" i="1"/>
  <c r="L252" i="1" s="1"/>
  <c r="F252" i="1"/>
  <c r="I252" i="1" s="1"/>
  <c r="N251" i="1"/>
  <c r="L251" i="1" s="1"/>
  <c r="F251" i="1"/>
  <c r="I251" i="1" s="1"/>
  <c r="N250" i="1"/>
  <c r="L250" i="1" s="1"/>
  <c r="F250" i="1"/>
  <c r="I250" i="1" s="1"/>
  <c r="N249" i="1"/>
  <c r="L249" i="1" s="1"/>
  <c r="F249" i="1"/>
  <c r="I249" i="1" s="1"/>
  <c r="N248" i="1"/>
  <c r="L248" i="1" s="1"/>
  <c r="F248" i="1"/>
  <c r="I248" i="1" s="1"/>
  <c r="N247" i="1"/>
  <c r="L247" i="1" s="1"/>
  <c r="F247" i="1"/>
  <c r="I247" i="1" s="1"/>
  <c r="N246" i="1"/>
  <c r="L246" i="1" s="1"/>
  <c r="F246" i="1"/>
  <c r="I246" i="1" s="1"/>
  <c r="N245" i="1"/>
  <c r="L245" i="1" s="1"/>
  <c r="F245" i="1"/>
  <c r="I245" i="1" s="1"/>
  <c r="N244" i="1"/>
  <c r="L244" i="1" s="1"/>
  <c r="F244" i="1"/>
  <c r="I244" i="1" s="1"/>
  <c r="N243" i="1"/>
  <c r="L243" i="1" s="1"/>
  <c r="F243" i="1"/>
  <c r="I243" i="1" s="1"/>
  <c r="N242" i="1"/>
  <c r="L242" i="1" s="1"/>
  <c r="F242" i="1"/>
  <c r="I242" i="1" s="1"/>
  <c r="N241" i="1"/>
  <c r="L241" i="1" s="1"/>
  <c r="F241" i="1"/>
  <c r="I241" i="1" s="1"/>
  <c r="N240" i="1"/>
  <c r="L240" i="1" s="1"/>
  <c r="F240" i="1"/>
  <c r="I240" i="1" s="1"/>
  <c r="N239" i="1"/>
  <c r="L239" i="1" s="1"/>
  <c r="F239" i="1"/>
  <c r="I239" i="1" s="1"/>
  <c r="N238" i="1"/>
  <c r="L238" i="1" s="1"/>
  <c r="F238" i="1"/>
  <c r="I238" i="1" s="1"/>
  <c r="N237" i="1"/>
  <c r="L237" i="1" s="1"/>
  <c r="F237" i="1"/>
  <c r="I237" i="1" s="1"/>
  <c r="N236" i="1"/>
  <c r="L236" i="1" s="1"/>
  <c r="F236" i="1"/>
  <c r="I236" i="1" s="1"/>
  <c r="N235" i="1"/>
  <c r="L235" i="1" s="1"/>
  <c r="F235" i="1"/>
  <c r="I235" i="1" s="1"/>
  <c r="N234" i="1"/>
  <c r="L234" i="1" s="1"/>
  <c r="F234" i="1"/>
  <c r="I234" i="1" s="1"/>
  <c r="N233" i="1"/>
  <c r="L233" i="1" s="1"/>
  <c r="F233" i="1"/>
  <c r="I233" i="1" s="1"/>
  <c r="N232" i="1"/>
  <c r="L232" i="1" s="1"/>
  <c r="F232" i="1"/>
  <c r="I232" i="1" s="1"/>
  <c r="N231" i="1"/>
  <c r="L231" i="1" s="1"/>
  <c r="F231" i="1"/>
  <c r="I231" i="1" s="1"/>
  <c r="N230" i="1"/>
  <c r="L230" i="1" s="1"/>
  <c r="F230" i="1"/>
  <c r="I230" i="1" s="1"/>
  <c r="N229" i="1"/>
  <c r="L229" i="1" s="1"/>
  <c r="F229" i="1"/>
  <c r="I229" i="1" s="1"/>
  <c r="N228" i="1"/>
  <c r="L228" i="1" s="1"/>
  <c r="F228" i="1"/>
  <c r="I228" i="1" s="1"/>
  <c r="N227" i="1"/>
  <c r="L227" i="1" s="1"/>
  <c r="F227" i="1"/>
  <c r="I227" i="1" s="1"/>
  <c r="N226" i="1"/>
  <c r="L226" i="1" s="1"/>
  <c r="F226" i="1"/>
  <c r="I226" i="1" s="1"/>
  <c r="N225" i="1"/>
  <c r="F225" i="1"/>
  <c r="L225" i="1" s="1"/>
  <c r="N224" i="1"/>
  <c r="F224" i="1"/>
  <c r="L224" i="1" s="1"/>
  <c r="N223" i="1"/>
  <c r="F223" i="1"/>
  <c r="L223" i="1" s="1"/>
  <c r="N222" i="1"/>
  <c r="F222" i="1"/>
  <c r="L222" i="1" s="1"/>
  <c r="N221" i="1"/>
  <c r="F221" i="1"/>
  <c r="L221" i="1" s="1"/>
  <c r="N220" i="1"/>
  <c r="L220" i="1" s="1"/>
  <c r="F220" i="1"/>
  <c r="I220" i="1" s="1"/>
  <c r="N219" i="1"/>
  <c r="L219" i="1"/>
  <c r="F219" i="1"/>
  <c r="I219" i="1" s="1"/>
  <c r="N218" i="1"/>
  <c r="L218" i="1"/>
  <c r="F218" i="1"/>
  <c r="I218" i="1" s="1"/>
  <c r="N217" i="1"/>
  <c r="L217" i="1"/>
  <c r="F217" i="1"/>
  <c r="I217" i="1" s="1"/>
  <c r="N216" i="1"/>
  <c r="L216" i="1"/>
  <c r="F216" i="1"/>
  <c r="I216" i="1" s="1"/>
  <c r="N215" i="1"/>
  <c r="L215" i="1"/>
  <c r="F215" i="1"/>
  <c r="I215" i="1" s="1"/>
  <c r="N214" i="1"/>
  <c r="L214" i="1"/>
  <c r="F214" i="1"/>
  <c r="I214" i="1" s="1"/>
  <c r="N213" i="1"/>
  <c r="L213" i="1"/>
  <c r="F213" i="1"/>
  <c r="I213" i="1" s="1"/>
  <c r="N212" i="1"/>
  <c r="L212" i="1" s="1"/>
  <c r="F212" i="1"/>
  <c r="I212" i="1" s="1"/>
  <c r="N211" i="1"/>
  <c r="L211" i="1" s="1"/>
  <c r="F211" i="1"/>
  <c r="I211" i="1" s="1"/>
  <c r="N210" i="1"/>
  <c r="L210" i="1" s="1"/>
  <c r="F210" i="1"/>
  <c r="I210" i="1" s="1"/>
  <c r="N209" i="1"/>
  <c r="L209" i="1" s="1"/>
  <c r="F209" i="1"/>
  <c r="I209" i="1" s="1"/>
  <c r="N208" i="1"/>
  <c r="L208" i="1" s="1"/>
  <c r="F208" i="1"/>
  <c r="I208" i="1" s="1"/>
  <c r="N207" i="1"/>
  <c r="L207" i="1" s="1"/>
  <c r="F207" i="1"/>
  <c r="I207" i="1" s="1"/>
  <c r="N206" i="1"/>
  <c r="L206" i="1" s="1"/>
  <c r="F206" i="1"/>
  <c r="I206" i="1" s="1"/>
  <c r="N205" i="1"/>
  <c r="F205" i="1"/>
  <c r="L205" i="1" s="1"/>
  <c r="N204" i="1"/>
  <c r="F204" i="1"/>
  <c r="L204" i="1" s="1"/>
  <c r="N203" i="1"/>
  <c r="F203" i="1"/>
  <c r="L203" i="1" s="1"/>
  <c r="N202" i="1"/>
  <c r="F202" i="1"/>
  <c r="L202" i="1" s="1"/>
  <c r="N201" i="1"/>
  <c r="F201" i="1"/>
  <c r="L201" i="1" s="1"/>
  <c r="N200" i="1"/>
  <c r="F200" i="1"/>
  <c r="L200" i="1" s="1"/>
  <c r="N199" i="1"/>
  <c r="F199" i="1"/>
  <c r="L199" i="1" s="1"/>
  <c r="N198" i="1"/>
  <c r="L198" i="1" s="1"/>
  <c r="F198" i="1"/>
  <c r="I198" i="1" s="1"/>
  <c r="N197" i="1"/>
  <c r="L197" i="1" s="1"/>
  <c r="F197" i="1"/>
  <c r="I197" i="1" s="1"/>
  <c r="N196" i="1"/>
  <c r="L196" i="1" s="1"/>
  <c r="F196" i="1"/>
  <c r="I196" i="1" s="1"/>
  <c r="N195" i="1"/>
  <c r="L195" i="1" s="1"/>
  <c r="F195" i="1"/>
  <c r="I195" i="1" s="1"/>
  <c r="N194" i="1"/>
  <c r="L194" i="1" s="1"/>
  <c r="F194" i="1"/>
  <c r="I194" i="1" s="1"/>
  <c r="N193" i="1"/>
  <c r="L193" i="1" s="1"/>
  <c r="F193" i="1"/>
  <c r="I193" i="1" s="1"/>
  <c r="N192" i="1"/>
  <c r="L192" i="1" s="1"/>
  <c r="F192" i="1"/>
  <c r="I192" i="1" s="1"/>
  <c r="N191" i="1"/>
  <c r="L191" i="1" s="1"/>
  <c r="F191" i="1"/>
  <c r="I191" i="1" s="1"/>
  <c r="N190" i="1"/>
  <c r="L190" i="1" s="1"/>
  <c r="F190" i="1"/>
  <c r="I190" i="1" s="1"/>
  <c r="N189" i="1"/>
  <c r="L189" i="1" s="1"/>
  <c r="F189" i="1"/>
  <c r="I189" i="1" s="1"/>
  <c r="N188" i="1"/>
  <c r="L188" i="1" s="1"/>
  <c r="F188" i="1"/>
  <c r="I188" i="1" s="1"/>
  <c r="N187" i="1"/>
  <c r="L187" i="1" s="1"/>
  <c r="F187" i="1"/>
  <c r="I187" i="1" s="1"/>
  <c r="N186" i="1"/>
  <c r="L186" i="1" s="1"/>
  <c r="F186" i="1"/>
  <c r="I186" i="1" s="1"/>
  <c r="N185" i="1"/>
  <c r="L185" i="1" s="1"/>
  <c r="F185" i="1"/>
  <c r="I185" i="1" s="1"/>
  <c r="N184" i="1"/>
  <c r="F184" i="1"/>
  <c r="L184" i="1" s="1"/>
  <c r="N183" i="1"/>
  <c r="F183" i="1"/>
  <c r="L183" i="1" s="1"/>
  <c r="N182" i="1"/>
  <c r="F182" i="1"/>
  <c r="L182" i="1" s="1"/>
  <c r="N181" i="1"/>
  <c r="F181" i="1"/>
  <c r="L181" i="1" s="1"/>
  <c r="N180" i="1"/>
  <c r="F180" i="1"/>
  <c r="L180" i="1" s="1"/>
  <c r="N179" i="1"/>
  <c r="F179" i="1"/>
  <c r="L179" i="1" s="1"/>
  <c r="N178" i="1"/>
  <c r="F178" i="1"/>
  <c r="L178" i="1" s="1"/>
  <c r="N177" i="1"/>
  <c r="L177" i="1" s="1"/>
  <c r="F177" i="1"/>
  <c r="I177" i="1" s="1"/>
  <c r="N176" i="1"/>
  <c r="L176" i="1" s="1"/>
  <c r="F176" i="1"/>
  <c r="I176" i="1" s="1"/>
  <c r="N175" i="1"/>
  <c r="L175" i="1" s="1"/>
  <c r="F175" i="1"/>
  <c r="I175" i="1" s="1"/>
  <c r="N174" i="1"/>
  <c r="L174" i="1" s="1"/>
  <c r="F174" i="1"/>
  <c r="I174" i="1" s="1"/>
  <c r="N173" i="1"/>
  <c r="L173" i="1" s="1"/>
  <c r="F173" i="1"/>
  <c r="I173" i="1" s="1"/>
  <c r="N172" i="1"/>
  <c r="L172" i="1" s="1"/>
  <c r="F172" i="1"/>
  <c r="I172" i="1" s="1"/>
  <c r="N171" i="1"/>
  <c r="L171" i="1" s="1"/>
  <c r="F171" i="1"/>
  <c r="I171" i="1" s="1"/>
  <c r="A171" i="1"/>
  <c r="N170" i="1"/>
  <c r="L170" i="1" s="1"/>
  <c r="F170" i="1"/>
  <c r="I170" i="1" s="1"/>
  <c r="N169" i="1"/>
  <c r="L169" i="1" s="1"/>
  <c r="F169" i="1"/>
  <c r="I169" i="1" s="1"/>
  <c r="N168" i="1"/>
  <c r="L168" i="1" s="1"/>
  <c r="F168" i="1"/>
  <c r="I168" i="1" s="1"/>
  <c r="N167" i="1"/>
  <c r="L167" i="1" s="1"/>
  <c r="F167" i="1"/>
  <c r="I167" i="1" s="1"/>
  <c r="N166" i="1"/>
  <c r="L166" i="1" s="1"/>
  <c r="F166" i="1"/>
  <c r="I166" i="1" s="1"/>
  <c r="N165" i="1"/>
  <c r="L165" i="1" s="1"/>
  <c r="F165" i="1"/>
  <c r="I165" i="1" s="1"/>
  <c r="N164" i="1"/>
  <c r="L164" i="1" s="1"/>
  <c r="F164" i="1"/>
  <c r="I164" i="1" s="1"/>
  <c r="N163" i="1"/>
  <c r="L163" i="1" s="1"/>
  <c r="F163" i="1"/>
  <c r="I163" i="1" s="1"/>
  <c r="N162" i="1"/>
  <c r="L162" i="1" s="1"/>
  <c r="F162" i="1"/>
  <c r="I162" i="1" s="1"/>
  <c r="N161" i="1"/>
  <c r="L161" i="1" s="1"/>
  <c r="F161" i="1"/>
  <c r="I161" i="1" s="1"/>
  <c r="N160" i="1"/>
  <c r="L160" i="1" s="1"/>
  <c r="F160" i="1"/>
  <c r="I160" i="1" s="1"/>
  <c r="N159" i="1"/>
  <c r="L159" i="1" s="1"/>
  <c r="F159" i="1"/>
  <c r="I159" i="1" s="1"/>
  <c r="N158" i="1"/>
  <c r="L158" i="1" s="1"/>
  <c r="F158" i="1"/>
  <c r="I158" i="1" s="1"/>
  <c r="N157" i="1"/>
  <c r="L157" i="1" s="1"/>
  <c r="F157" i="1"/>
  <c r="I157" i="1" s="1"/>
  <c r="N156" i="1"/>
  <c r="L156" i="1" s="1"/>
  <c r="F156" i="1"/>
  <c r="I156" i="1" s="1"/>
  <c r="N155" i="1"/>
  <c r="L155" i="1" s="1"/>
  <c r="F155" i="1"/>
  <c r="I155" i="1" s="1"/>
  <c r="N154" i="1"/>
  <c r="L154" i="1" s="1"/>
  <c r="F154" i="1"/>
  <c r="I154" i="1" s="1"/>
  <c r="N153" i="1"/>
  <c r="L153" i="1" s="1"/>
  <c r="F153" i="1"/>
  <c r="I153" i="1" s="1"/>
  <c r="N152" i="1"/>
  <c r="L152" i="1" s="1"/>
  <c r="F152" i="1"/>
  <c r="I152" i="1" s="1"/>
  <c r="N151" i="1"/>
  <c r="L151" i="1" s="1"/>
  <c r="F151" i="1"/>
  <c r="I151" i="1" s="1"/>
  <c r="N150" i="1"/>
  <c r="L150" i="1" s="1"/>
  <c r="F150" i="1"/>
  <c r="I150" i="1" s="1"/>
  <c r="N149" i="1"/>
  <c r="L149" i="1" s="1"/>
  <c r="F149" i="1"/>
  <c r="I149" i="1" s="1"/>
  <c r="N148" i="1"/>
  <c r="L148" i="1" s="1"/>
  <c r="F148" i="1"/>
  <c r="I148" i="1" s="1"/>
  <c r="N147" i="1"/>
  <c r="L147" i="1" s="1"/>
  <c r="F147" i="1"/>
  <c r="I147" i="1" s="1"/>
  <c r="N146" i="1"/>
  <c r="L146" i="1" s="1"/>
  <c r="F146" i="1"/>
  <c r="I146" i="1" s="1"/>
  <c r="N145" i="1"/>
  <c r="L145" i="1" s="1"/>
  <c r="F145" i="1"/>
  <c r="I145" i="1" s="1"/>
  <c r="N144" i="1"/>
  <c r="L144" i="1" s="1"/>
  <c r="F144" i="1"/>
  <c r="I144" i="1" s="1"/>
  <c r="N143" i="1"/>
  <c r="L143" i="1" s="1"/>
  <c r="F143" i="1"/>
  <c r="I143" i="1" s="1"/>
  <c r="N142" i="1"/>
  <c r="L142" i="1" s="1"/>
  <c r="F142" i="1"/>
  <c r="I142" i="1" s="1"/>
  <c r="N141" i="1"/>
  <c r="L141" i="1" s="1"/>
  <c r="F141" i="1"/>
  <c r="I141" i="1" s="1"/>
  <c r="N140" i="1"/>
  <c r="L140" i="1" s="1"/>
  <c r="F140" i="1"/>
  <c r="I140" i="1" s="1"/>
  <c r="N139" i="1"/>
  <c r="L139" i="1" s="1"/>
  <c r="F139" i="1"/>
  <c r="I139" i="1" s="1"/>
  <c r="N138" i="1"/>
  <c r="L138" i="1" s="1"/>
  <c r="F138" i="1"/>
  <c r="I138" i="1" s="1"/>
  <c r="N137" i="1"/>
  <c r="L137" i="1" s="1"/>
  <c r="F137" i="1"/>
  <c r="I137" i="1" s="1"/>
  <c r="N136" i="1"/>
  <c r="L136" i="1" s="1"/>
  <c r="F136" i="1"/>
  <c r="I136" i="1" s="1"/>
  <c r="N135" i="1"/>
  <c r="L135" i="1" s="1"/>
  <c r="F135" i="1"/>
  <c r="I135" i="1" s="1"/>
  <c r="N134" i="1"/>
  <c r="L134" i="1" s="1"/>
  <c r="F134" i="1"/>
  <c r="I134" i="1" s="1"/>
  <c r="N133" i="1"/>
  <c r="L133" i="1" s="1"/>
  <c r="F133" i="1"/>
  <c r="I133" i="1" s="1"/>
  <c r="N132" i="1"/>
  <c r="L132" i="1" s="1"/>
  <c r="F132" i="1"/>
  <c r="I132" i="1" s="1"/>
  <c r="N131" i="1"/>
  <c r="L131" i="1" s="1"/>
  <c r="F131" i="1"/>
  <c r="I131" i="1" s="1"/>
  <c r="N130" i="1"/>
  <c r="L130" i="1" s="1"/>
  <c r="F130" i="1"/>
  <c r="I130" i="1" s="1"/>
  <c r="N129" i="1"/>
  <c r="L129" i="1" s="1"/>
  <c r="F129" i="1"/>
  <c r="I129" i="1" s="1"/>
  <c r="N128" i="1"/>
  <c r="F128" i="1"/>
  <c r="L128" i="1" s="1"/>
  <c r="N127" i="1"/>
  <c r="F127" i="1"/>
  <c r="L127" i="1" s="1"/>
  <c r="N126" i="1"/>
  <c r="F126" i="1"/>
  <c r="L126" i="1" s="1"/>
  <c r="N125" i="1"/>
  <c r="F125" i="1"/>
  <c r="L125" i="1" s="1"/>
  <c r="N124" i="1"/>
  <c r="F124" i="1"/>
  <c r="L124" i="1" s="1"/>
  <c r="N123" i="1"/>
  <c r="F123" i="1"/>
  <c r="L123" i="1" s="1"/>
  <c r="N122" i="1"/>
  <c r="F122" i="1"/>
  <c r="L122" i="1" s="1"/>
  <c r="N121" i="1"/>
  <c r="L121" i="1" s="1"/>
  <c r="F121" i="1"/>
  <c r="I121" i="1" s="1"/>
  <c r="N120" i="1"/>
  <c r="L120" i="1" s="1"/>
  <c r="F120" i="1"/>
  <c r="I120" i="1" s="1"/>
  <c r="N119" i="1"/>
  <c r="L119" i="1" s="1"/>
  <c r="F119" i="1"/>
  <c r="I119" i="1" s="1"/>
  <c r="N118" i="1"/>
  <c r="L118" i="1" s="1"/>
  <c r="F118" i="1"/>
  <c r="I118" i="1" s="1"/>
  <c r="N117" i="1"/>
  <c r="L117" i="1" s="1"/>
  <c r="F117" i="1"/>
  <c r="I117" i="1" s="1"/>
  <c r="N116" i="1"/>
  <c r="L116" i="1" s="1"/>
  <c r="F116" i="1"/>
  <c r="I116" i="1" s="1"/>
  <c r="N115" i="1"/>
  <c r="L115" i="1" s="1"/>
  <c r="F115" i="1"/>
  <c r="I115" i="1" s="1"/>
  <c r="N114" i="1"/>
  <c r="F114" i="1"/>
  <c r="L114" i="1" s="1"/>
  <c r="N113" i="1"/>
  <c r="F113" i="1"/>
  <c r="L113" i="1" s="1"/>
  <c r="N112" i="1"/>
  <c r="F112" i="1"/>
  <c r="L112" i="1" s="1"/>
  <c r="N111" i="1"/>
  <c r="F111" i="1"/>
  <c r="L111" i="1" s="1"/>
  <c r="N110" i="1"/>
  <c r="F110" i="1"/>
  <c r="L110" i="1" s="1"/>
  <c r="N109" i="1"/>
  <c r="F109" i="1"/>
  <c r="L109" i="1" s="1"/>
  <c r="N108" i="1"/>
  <c r="F108" i="1"/>
  <c r="L108" i="1" s="1"/>
  <c r="N107" i="1"/>
  <c r="L107" i="1" s="1"/>
  <c r="F107" i="1"/>
  <c r="I107" i="1" s="1"/>
  <c r="N106" i="1"/>
  <c r="L106" i="1" s="1"/>
  <c r="F106" i="1"/>
  <c r="I106" i="1" s="1"/>
  <c r="N105" i="1"/>
  <c r="L105" i="1" s="1"/>
  <c r="F105" i="1"/>
  <c r="I105" i="1" s="1"/>
  <c r="N104" i="1"/>
  <c r="L104" i="1" s="1"/>
  <c r="F104" i="1"/>
  <c r="I104" i="1" s="1"/>
  <c r="N103" i="1"/>
  <c r="L103" i="1" s="1"/>
  <c r="F103" i="1"/>
  <c r="I103" i="1" s="1"/>
  <c r="N102" i="1"/>
  <c r="L102" i="1" s="1"/>
  <c r="F102" i="1"/>
  <c r="I102" i="1" s="1"/>
  <c r="N101" i="1"/>
  <c r="L101" i="1" s="1"/>
  <c r="F101" i="1"/>
  <c r="I101" i="1" s="1"/>
  <c r="N100" i="1"/>
  <c r="L100" i="1" s="1"/>
  <c r="F100" i="1"/>
  <c r="I100" i="1" s="1"/>
  <c r="N99" i="1"/>
  <c r="F99" i="1"/>
  <c r="L99" i="1" s="1"/>
  <c r="N98" i="1"/>
  <c r="F98" i="1"/>
  <c r="L98" i="1" s="1"/>
  <c r="N97" i="1"/>
  <c r="F97" i="1"/>
  <c r="L97" i="1" s="1"/>
  <c r="N96" i="1"/>
  <c r="F96" i="1"/>
  <c r="L96" i="1" s="1"/>
  <c r="N95" i="1"/>
  <c r="F95" i="1"/>
  <c r="L95" i="1" s="1"/>
  <c r="N94" i="1"/>
  <c r="L94" i="1" s="1"/>
  <c r="F94" i="1"/>
  <c r="I94" i="1" s="1"/>
  <c r="N93" i="1"/>
  <c r="L93" i="1" s="1"/>
  <c r="F93" i="1"/>
  <c r="I93" i="1" s="1"/>
  <c r="N92" i="1"/>
  <c r="L92" i="1" s="1"/>
  <c r="F92" i="1"/>
  <c r="I92" i="1" s="1"/>
  <c r="N91" i="1"/>
  <c r="L91" i="1" s="1"/>
  <c r="F91" i="1"/>
  <c r="I91" i="1" s="1"/>
  <c r="N90" i="1"/>
  <c r="L90" i="1" s="1"/>
  <c r="F90" i="1"/>
  <c r="I90" i="1" s="1"/>
  <c r="N89" i="1"/>
  <c r="L89" i="1" s="1"/>
  <c r="F89" i="1"/>
  <c r="I89" i="1" s="1"/>
  <c r="N88" i="1"/>
  <c r="L88" i="1" s="1"/>
  <c r="F88" i="1"/>
  <c r="I88" i="1" s="1"/>
  <c r="N87" i="1"/>
  <c r="L87" i="1" s="1"/>
  <c r="F87" i="1"/>
  <c r="I87" i="1" s="1"/>
  <c r="N86" i="1"/>
  <c r="L86" i="1" s="1"/>
  <c r="F86" i="1"/>
  <c r="I86" i="1" s="1"/>
  <c r="N85" i="1"/>
  <c r="L85" i="1" s="1"/>
  <c r="F85" i="1"/>
  <c r="I85" i="1" s="1"/>
  <c r="N84" i="1"/>
  <c r="L84" i="1" s="1"/>
  <c r="F84" i="1"/>
  <c r="I84" i="1" s="1"/>
  <c r="N83" i="1"/>
  <c r="L83" i="1" s="1"/>
  <c r="F83" i="1"/>
  <c r="I83" i="1" s="1"/>
  <c r="N82" i="1"/>
  <c r="L82" i="1" s="1"/>
  <c r="F82" i="1"/>
  <c r="I82" i="1" s="1"/>
  <c r="N81" i="1"/>
  <c r="L81" i="1" s="1"/>
  <c r="F81" i="1"/>
  <c r="I81" i="1" s="1"/>
  <c r="N80" i="1"/>
  <c r="L80" i="1" s="1"/>
  <c r="F80" i="1"/>
  <c r="I80" i="1" s="1"/>
  <c r="N79" i="1"/>
  <c r="L79" i="1" s="1"/>
  <c r="F79" i="1"/>
  <c r="I79" i="1" s="1"/>
  <c r="N78" i="1"/>
  <c r="L78" i="1" s="1"/>
  <c r="F78" i="1"/>
  <c r="I78" i="1" s="1"/>
  <c r="N77" i="1"/>
  <c r="L77" i="1" s="1"/>
  <c r="F77" i="1"/>
  <c r="I77" i="1" s="1"/>
  <c r="N76" i="1"/>
  <c r="L76" i="1" s="1"/>
  <c r="F76" i="1"/>
  <c r="I76" i="1" s="1"/>
  <c r="N75" i="1"/>
  <c r="L75" i="1" s="1"/>
  <c r="F75" i="1"/>
  <c r="I75" i="1" s="1"/>
  <c r="N74" i="1"/>
  <c r="L74" i="1" s="1"/>
  <c r="F74" i="1"/>
  <c r="I74" i="1" s="1"/>
  <c r="N73" i="1"/>
  <c r="L73" i="1" s="1"/>
  <c r="F73" i="1"/>
  <c r="I73" i="1" s="1"/>
  <c r="N72" i="1"/>
  <c r="L72" i="1" s="1"/>
  <c r="F72" i="1"/>
  <c r="I72" i="1" s="1"/>
  <c r="N71" i="1"/>
  <c r="L71" i="1" s="1"/>
  <c r="F71" i="1"/>
  <c r="I71" i="1" s="1"/>
  <c r="N70" i="1"/>
  <c r="L70" i="1" s="1"/>
  <c r="F70" i="1"/>
  <c r="I70" i="1" s="1"/>
  <c r="N69" i="1"/>
  <c r="L69" i="1" s="1"/>
  <c r="F69" i="1"/>
  <c r="I69" i="1" s="1"/>
  <c r="N68" i="1"/>
  <c r="L68" i="1" s="1"/>
  <c r="F68" i="1"/>
  <c r="I68" i="1" s="1"/>
  <c r="N67" i="1"/>
  <c r="L67" i="1" s="1"/>
  <c r="F67" i="1"/>
  <c r="I67" i="1" s="1"/>
  <c r="N66" i="1"/>
  <c r="L66" i="1" s="1"/>
  <c r="F66" i="1"/>
  <c r="I66" i="1" s="1"/>
  <c r="N65" i="1"/>
  <c r="L65" i="1" s="1"/>
  <c r="F65" i="1"/>
  <c r="I65" i="1" s="1"/>
  <c r="N64" i="1"/>
  <c r="L64" i="1" s="1"/>
  <c r="F64" i="1"/>
  <c r="I64" i="1" s="1"/>
  <c r="N63" i="1"/>
  <c r="L63" i="1" s="1"/>
  <c r="F63" i="1"/>
  <c r="I63" i="1" s="1"/>
  <c r="N62" i="1"/>
  <c r="L62" i="1" s="1"/>
  <c r="F62" i="1"/>
  <c r="I62" i="1" s="1"/>
  <c r="N61" i="1"/>
  <c r="L61" i="1" s="1"/>
  <c r="F61" i="1"/>
  <c r="I61" i="1" s="1"/>
  <c r="N60" i="1"/>
  <c r="L60" i="1" s="1"/>
  <c r="F60" i="1"/>
  <c r="I60" i="1" s="1"/>
  <c r="N59" i="1"/>
  <c r="L59" i="1" s="1"/>
  <c r="F59" i="1"/>
  <c r="I59" i="1" s="1"/>
  <c r="N58" i="1"/>
  <c r="L58" i="1" s="1"/>
  <c r="F58" i="1"/>
  <c r="I58" i="1" s="1"/>
  <c r="N57" i="1"/>
  <c r="L57" i="1" s="1"/>
  <c r="F57" i="1"/>
  <c r="I57" i="1" s="1"/>
  <c r="N56" i="1"/>
  <c r="L56" i="1" s="1"/>
  <c r="F56" i="1"/>
  <c r="I56" i="1" s="1"/>
  <c r="N55" i="1"/>
  <c r="L55" i="1" s="1"/>
  <c r="F55" i="1"/>
  <c r="I55" i="1" s="1"/>
  <c r="N54" i="1"/>
  <c r="L54" i="1" s="1"/>
  <c r="F54" i="1"/>
  <c r="I54" i="1" s="1"/>
  <c r="N53" i="1"/>
  <c r="L53" i="1" s="1"/>
  <c r="F53" i="1"/>
  <c r="I53" i="1" s="1"/>
  <c r="N52" i="1"/>
  <c r="L52" i="1" s="1"/>
  <c r="F52" i="1"/>
  <c r="I52" i="1" s="1"/>
  <c r="N51" i="1"/>
  <c r="L51" i="1" s="1"/>
  <c r="F51" i="1"/>
  <c r="I51" i="1" s="1"/>
  <c r="N50" i="1"/>
  <c r="L50" i="1" s="1"/>
  <c r="F50" i="1"/>
  <c r="I50" i="1" s="1"/>
  <c r="N49" i="1"/>
  <c r="L49" i="1" s="1"/>
  <c r="F49" i="1"/>
  <c r="I49" i="1" s="1"/>
  <c r="N48" i="1"/>
  <c r="L48" i="1" s="1"/>
  <c r="F48" i="1"/>
  <c r="I48" i="1" s="1"/>
  <c r="N47" i="1"/>
  <c r="L47" i="1" s="1"/>
  <c r="F47" i="1"/>
  <c r="I47" i="1" s="1"/>
  <c r="N46" i="1"/>
  <c r="L46" i="1" s="1"/>
  <c r="F46" i="1"/>
  <c r="I46" i="1" s="1"/>
  <c r="N45" i="1"/>
  <c r="L45" i="1" s="1"/>
  <c r="F45" i="1"/>
  <c r="I45" i="1" s="1"/>
  <c r="N44" i="1"/>
  <c r="L44" i="1" s="1"/>
  <c r="F44" i="1"/>
  <c r="I44" i="1" s="1"/>
  <c r="N43" i="1"/>
  <c r="L43" i="1" s="1"/>
  <c r="F43" i="1"/>
  <c r="I43" i="1" s="1"/>
  <c r="N42" i="1"/>
  <c r="L42" i="1" s="1"/>
  <c r="F42" i="1"/>
  <c r="I42" i="1" s="1"/>
  <c r="N41" i="1"/>
  <c r="L41" i="1" s="1"/>
  <c r="F41" i="1"/>
  <c r="I41" i="1" s="1"/>
  <c r="N40" i="1"/>
  <c r="L40" i="1" s="1"/>
  <c r="F40" i="1"/>
  <c r="I40" i="1" s="1"/>
  <c r="N39" i="1"/>
  <c r="L39" i="1" s="1"/>
  <c r="F39" i="1"/>
  <c r="I39" i="1" s="1"/>
  <c r="N38" i="1"/>
  <c r="L38" i="1" s="1"/>
  <c r="F38" i="1"/>
  <c r="I38" i="1" s="1"/>
  <c r="N37" i="1"/>
  <c r="F37" i="1"/>
  <c r="I37" i="1" s="1"/>
  <c r="N36" i="1"/>
  <c r="F36" i="1"/>
  <c r="I36" i="1" s="1"/>
  <c r="N35" i="1"/>
  <c r="F35" i="1"/>
  <c r="I35" i="1" s="1"/>
  <c r="N34" i="1"/>
  <c r="F34" i="1"/>
  <c r="I34" i="1" s="1"/>
  <c r="N33" i="1"/>
  <c r="F33" i="1"/>
  <c r="I33" i="1" s="1"/>
  <c r="N32" i="1"/>
  <c r="F32" i="1"/>
  <c r="I32" i="1" s="1"/>
  <c r="N31" i="1"/>
  <c r="F31" i="1"/>
  <c r="I31" i="1" s="1"/>
  <c r="N30" i="1"/>
  <c r="L30" i="1" s="1"/>
  <c r="F30" i="1"/>
  <c r="I30" i="1" s="1"/>
  <c r="N29" i="1"/>
  <c r="L29" i="1" s="1"/>
  <c r="F29" i="1"/>
  <c r="I29" i="1" s="1"/>
  <c r="N28" i="1"/>
  <c r="L28" i="1" s="1"/>
  <c r="F28" i="1"/>
  <c r="I28" i="1" s="1"/>
  <c r="N27" i="1"/>
  <c r="L27" i="1" s="1"/>
  <c r="F27" i="1"/>
  <c r="I27" i="1" s="1"/>
  <c r="N26" i="1"/>
  <c r="L26" i="1" s="1"/>
  <c r="F26" i="1"/>
  <c r="I26" i="1" s="1"/>
  <c r="N25" i="1"/>
  <c r="L25" i="1" s="1"/>
  <c r="F25" i="1"/>
  <c r="I25" i="1" s="1"/>
  <c r="N24" i="1"/>
  <c r="L24" i="1" s="1"/>
  <c r="F24" i="1"/>
  <c r="I24" i="1" s="1"/>
  <c r="N23" i="1"/>
  <c r="L23" i="1" s="1"/>
  <c r="F23" i="1"/>
  <c r="I23" i="1" s="1"/>
  <c r="N22" i="1"/>
  <c r="L22" i="1" s="1"/>
  <c r="F22" i="1"/>
  <c r="I22" i="1" s="1"/>
  <c r="N21" i="1"/>
  <c r="L21" i="1" s="1"/>
  <c r="F21" i="1"/>
  <c r="I21" i="1" s="1"/>
  <c r="N20" i="1"/>
  <c r="L20" i="1" s="1"/>
  <c r="F20" i="1"/>
  <c r="I20" i="1" s="1"/>
  <c r="N19" i="1"/>
  <c r="L19" i="1" s="1"/>
  <c r="F19" i="1"/>
  <c r="I19" i="1" s="1"/>
  <c r="N18" i="1"/>
  <c r="L18" i="1" s="1"/>
  <c r="F18" i="1"/>
  <c r="I18" i="1" s="1"/>
  <c r="N17" i="1"/>
  <c r="L17" i="1" s="1"/>
  <c r="F17" i="1"/>
  <c r="I17" i="1" s="1"/>
  <c r="N16" i="1"/>
  <c r="L16" i="1" s="1"/>
  <c r="F16" i="1"/>
  <c r="I16" i="1" s="1"/>
  <c r="N15" i="1"/>
  <c r="L15" i="1" s="1"/>
  <c r="F15" i="1"/>
  <c r="I15" i="1" s="1"/>
  <c r="N14" i="1"/>
  <c r="L14" i="1" s="1"/>
  <c r="F14" i="1"/>
  <c r="I14" i="1" s="1"/>
  <c r="N13" i="1"/>
  <c r="L13" i="1" s="1"/>
  <c r="F13" i="1"/>
  <c r="I13" i="1" s="1"/>
  <c r="N12" i="1"/>
  <c r="L12" i="1" s="1"/>
  <c r="F12" i="1"/>
  <c r="I12" i="1" s="1"/>
  <c r="N11" i="1"/>
  <c r="L11" i="1" s="1"/>
  <c r="F11" i="1"/>
  <c r="I11" i="1" s="1"/>
  <c r="N10" i="1"/>
  <c r="L10" i="1" s="1"/>
  <c r="F10" i="1"/>
  <c r="I10" i="1" s="1"/>
  <c r="N9" i="1"/>
  <c r="L9" i="1" s="1"/>
  <c r="F9" i="1"/>
  <c r="I9" i="1" s="1"/>
  <c r="N8" i="1"/>
  <c r="L8" i="1" s="1"/>
  <c r="F8" i="1"/>
  <c r="I8" i="1" s="1"/>
  <c r="N7" i="1"/>
  <c r="L7" i="1" s="1"/>
  <c r="F7" i="1"/>
  <c r="I7" i="1" s="1"/>
  <c r="N6" i="1"/>
  <c r="L6" i="1" s="1"/>
  <c r="F6" i="1"/>
  <c r="I6" i="1" s="1"/>
  <c r="N5" i="1"/>
  <c r="L5" i="1" s="1"/>
  <c r="F5" i="1"/>
  <c r="I5" i="1" s="1"/>
  <c r="N4" i="1"/>
  <c r="L4" i="1" s="1"/>
  <c r="F4" i="1"/>
  <c r="I4" i="1" s="1"/>
  <c r="N3" i="1"/>
  <c r="L3" i="1" s="1"/>
  <c r="F3" i="1"/>
  <c r="I3" i="1" s="1"/>
  <c r="I160" i="2" l="1"/>
  <c r="L160" i="2"/>
  <c r="I144" i="2"/>
  <c r="L144" i="2"/>
  <c r="I390" i="2"/>
  <c r="L390" i="2"/>
  <c r="L9" i="2"/>
  <c r="L13" i="2"/>
  <c r="L17" i="2"/>
  <c r="L21" i="2"/>
  <c r="L25" i="2"/>
  <c r="L29" i="2"/>
  <c r="L31" i="2"/>
  <c r="L33" i="2"/>
  <c r="L37" i="2"/>
  <c r="L39" i="2"/>
  <c r="L41" i="2"/>
  <c r="L43" i="2"/>
  <c r="L45" i="2"/>
  <c r="L49" i="2"/>
  <c r="L51" i="2"/>
  <c r="L53" i="2"/>
  <c r="L55" i="2"/>
  <c r="L57" i="2"/>
  <c r="L59" i="2"/>
  <c r="L61" i="2"/>
  <c r="L63" i="2"/>
  <c r="L65" i="2"/>
  <c r="L67" i="2"/>
  <c r="L69" i="2"/>
  <c r="L71" i="2"/>
  <c r="L73" i="2"/>
  <c r="L75" i="2"/>
  <c r="L77" i="2"/>
  <c r="L79" i="2"/>
  <c r="L81" i="2"/>
  <c r="L83" i="2"/>
  <c r="L85" i="2"/>
  <c r="L87" i="2"/>
  <c r="I148" i="2"/>
  <c r="L148" i="2"/>
  <c r="I164" i="2"/>
  <c r="L164" i="2"/>
  <c r="I182" i="2"/>
  <c r="L182" i="2"/>
  <c r="I198" i="2"/>
  <c r="L198" i="2"/>
  <c r="I214" i="2"/>
  <c r="L214" i="2"/>
  <c r="I230" i="2"/>
  <c r="L230" i="2"/>
  <c r="I246" i="2"/>
  <c r="L246" i="2"/>
  <c r="I262" i="2"/>
  <c r="L262" i="2"/>
  <c r="I382" i="2"/>
  <c r="L382" i="2"/>
  <c r="I406" i="2"/>
  <c r="L406" i="2"/>
  <c r="I414" i="2"/>
  <c r="L414" i="2"/>
  <c r="L4" i="2"/>
  <c r="L7" i="2"/>
  <c r="L11" i="2"/>
  <c r="L15" i="2"/>
  <c r="L19" i="2"/>
  <c r="L23" i="2"/>
  <c r="L27" i="2"/>
  <c r="L47" i="2"/>
  <c r="L3" i="2"/>
  <c r="I136" i="2"/>
  <c r="L136" i="2"/>
  <c r="I152" i="2"/>
  <c r="L152" i="2"/>
  <c r="I168" i="2"/>
  <c r="L168" i="2"/>
  <c r="I398" i="2"/>
  <c r="L398" i="2"/>
  <c r="L35" i="2"/>
  <c r="L6" i="2"/>
  <c r="L8" i="2"/>
  <c r="L10" i="2"/>
  <c r="L12" i="2"/>
  <c r="L14" i="2"/>
  <c r="L16" i="2"/>
  <c r="L18" i="2"/>
  <c r="L20" i="2"/>
  <c r="L22" i="2"/>
  <c r="L24" i="2"/>
  <c r="L26" i="2"/>
  <c r="L28" i="2"/>
  <c r="L30" i="2"/>
  <c r="L32" i="2"/>
  <c r="L34" i="2"/>
  <c r="L36" i="2"/>
  <c r="L38" i="2"/>
  <c r="L40" i="2"/>
  <c r="L42" i="2"/>
  <c r="L44" i="2"/>
  <c r="L46" i="2"/>
  <c r="L48" i="2"/>
  <c r="L50" i="2"/>
  <c r="L52" i="2"/>
  <c r="L54" i="2"/>
  <c r="L56" i="2"/>
  <c r="L58" i="2"/>
  <c r="L60" i="2"/>
  <c r="L62" i="2"/>
  <c r="L64" i="2"/>
  <c r="L66" i="2"/>
  <c r="L68" i="2"/>
  <c r="L70" i="2"/>
  <c r="L72" i="2"/>
  <c r="L74" i="2"/>
  <c r="L76" i="2"/>
  <c r="L78" i="2"/>
  <c r="L80" i="2"/>
  <c r="L82" i="2"/>
  <c r="L84" i="2"/>
  <c r="L86" i="2"/>
  <c r="L88" i="2"/>
  <c r="I140" i="2"/>
  <c r="L140" i="2"/>
  <c r="I156" i="2"/>
  <c r="L156" i="2"/>
  <c r="I174" i="2"/>
  <c r="L174" i="2"/>
  <c r="I190" i="2"/>
  <c r="L190" i="2"/>
  <c r="I206" i="2"/>
  <c r="L206" i="2"/>
  <c r="I222" i="2"/>
  <c r="L222" i="2"/>
  <c r="I238" i="2"/>
  <c r="L238" i="2"/>
  <c r="I254" i="2"/>
  <c r="L254" i="2"/>
  <c r="L173" i="2"/>
  <c r="I176" i="2"/>
  <c r="L181" i="2"/>
  <c r="I184" i="2"/>
  <c r="L189" i="2"/>
  <c r="I192" i="2"/>
  <c r="L197" i="2"/>
  <c r="I200" i="2"/>
  <c r="L205" i="2"/>
  <c r="I208" i="2"/>
  <c r="L213" i="2"/>
  <c r="I216" i="2"/>
  <c r="L221" i="2"/>
  <c r="I224" i="2"/>
  <c r="L229" i="2"/>
  <c r="I232" i="2"/>
  <c r="L237" i="2"/>
  <c r="I240" i="2"/>
  <c r="L245" i="2"/>
  <c r="I248" i="2"/>
  <c r="L253" i="2"/>
  <c r="I256" i="2"/>
  <c r="L261" i="2"/>
  <c r="I264" i="2"/>
  <c r="I374" i="2"/>
  <c r="L374" i="2"/>
  <c r="I386" i="2"/>
  <c r="L386" i="2"/>
  <c r="I394" i="2"/>
  <c r="L394" i="2"/>
  <c r="I402" i="2"/>
  <c r="L402" i="2"/>
  <c r="I410" i="2"/>
  <c r="L410" i="2"/>
  <c r="I418" i="2"/>
  <c r="L418" i="2"/>
  <c r="I378" i="2"/>
  <c r="L378" i="2"/>
  <c r="L422" i="2"/>
  <c r="L430" i="2"/>
  <c r="L438" i="2"/>
  <c r="L446" i="2"/>
  <c r="L385" i="2"/>
  <c r="L389" i="2"/>
  <c r="L393" i="2"/>
  <c r="L397" i="2"/>
  <c r="L401" i="2"/>
  <c r="L405" i="2"/>
  <c r="L409" i="2"/>
  <c r="L413" i="2"/>
  <c r="L417" i="2"/>
  <c r="L421" i="2"/>
  <c r="L424" i="2"/>
  <c r="L432" i="2"/>
  <c r="L440" i="2"/>
  <c r="L425" i="2"/>
  <c r="L429" i="2"/>
  <c r="L433" i="2"/>
  <c r="L437" i="2"/>
  <c r="L441" i="2"/>
  <c r="L445" i="2"/>
  <c r="L449" i="2"/>
  <c r="L451" i="2"/>
  <c r="L453" i="2"/>
  <c r="L455" i="2"/>
  <c r="L457" i="2"/>
  <c r="L459" i="2"/>
  <c r="L461" i="2"/>
  <c r="L463" i="2"/>
  <c r="L465" i="2"/>
  <c r="L467" i="2"/>
  <c r="L469" i="2"/>
  <c r="L471" i="2"/>
  <c r="L473" i="2"/>
  <c r="L475" i="2"/>
  <c r="L477" i="2"/>
  <c r="L479" i="2"/>
  <c r="L481" i="2"/>
  <c r="L483" i="2"/>
  <c r="L485" i="2"/>
  <c r="L487" i="2"/>
  <c r="L489" i="2"/>
  <c r="L491" i="2"/>
  <c r="L493" i="2"/>
  <c r="L495" i="2"/>
  <c r="L497" i="2"/>
  <c r="L499" i="2"/>
  <c r="L501" i="2"/>
  <c r="L503" i="2"/>
  <c r="L505" i="2"/>
  <c r="L448" i="2"/>
  <c r="L450" i="2"/>
  <c r="L452" i="2"/>
  <c r="L454" i="2"/>
  <c r="L456" i="2"/>
  <c r="L458" i="2"/>
  <c r="L460" i="2"/>
  <c r="L462" i="2"/>
  <c r="L464" i="2"/>
  <c r="L466" i="2"/>
  <c r="L468" i="2"/>
  <c r="L470" i="2"/>
  <c r="L472" i="2"/>
  <c r="L474" i="2"/>
  <c r="L476" i="2"/>
  <c r="L478" i="2"/>
  <c r="L480" i="2"/>
  <c r="L482" i="2"/>
  <c r="L484" i="2"/>
  <c r="L486" i="2"/>
  <c r="L488" i="2"/>
  <c r="L490" i="2"/>
  <c r="L492" i="2"/>
  <c r="L494" i="2"/>
  <c r="L496" i="2"/>
  <c r="L498" i="2"/>
  <c r="L500" i="2"/>
  <c r="L502" i="2"/>
  <c r="L504" i="2"/>
  <c r="L506" i="2"/>
  <c r="I500" i="1"/>
  <c r="I501" i="1"/>
  <c r="I502" i="1"/>
  <c r="I503" i="1"/>
  <c r="I504" i="1"/>
  <c r="I505" i="1"/>
  <c r="I506" i="1"/>
  <c r="I374" i="1"/>
  <c r="I375" i="1"/>
  <c r="I376" i="1"/>
  <c r="I377" i="1"/>
  <c r="I378" i="1"/>
  <c r="I379" i="1"/>
  <c r="I283" i="1"/>
  <c r="I284" i="1"/>
  <c r="I285" i="1"/>
  <c r="I286" i="1"/>
  <c r="I287" i="1"/>
  <c r="I288" i="1"/>
  <c r="I289" i="1"/>
  <c r="I221" i="1"/>
  <c r="I222" i="1"/>
  <c r="I223" i="1"/>
  <c r="I224" i="1"/>
  <c r="I225" i="1"/>
  <c r="I199" i="1"/>
  <c r="I200" i="1"/>
  <c r="I201" i="1"/>
  <c r="I202" i="1"/>
  <c r="I203" i="1"/>
  <c r="I204" i="1"/>
  <c r="I205" i="1"/>
  <c r="I178" i="1"/>
  <c r="I179" i="1"/>
  <c r="I180" i="1"/>
  <c r="I181" i="1"/>
  <c r="I182" i="1"/>
  <c r="I183" i="1"/>
  <c r="I184" i="1"/>
  <c r="I122" i="1"/>
  <c r="I123" i="1"/>
  <c r="I124" i="1"/>
  <c r="I125" i="1"/>
  <c r="I126" i="1"/>
  <c r="I127" i="1"/>
  <c r="I128" i="1"/>
  <c r="I108" i="1"/>
  <c r="I109" i="1"/>
  <c r="I110" i="1"/>
  <c r="I111" i="1"/>
  <c r="I112" i="1"/>
  <c r="I113" i="1"/>
  <c r="I114" i="1"/>
  <c r="I95" i="1"/>
  <c r="I96" i="1"/>
  <c r="I97" i="1"/>
  <c r="I98" i="1"/>
  <c r="I99" i="1"/>
  <c r="L31" i="1"/>
  <c r="L32" i="1"/>
  <c r="L33" i="1"/>
  <c r="L34" i="1"/>
  <c r="L35" i="1"/>
  <c r="L36" i="1"/>
  <c r="L37" i="1"/>
</calcChain>
</file>

<file path=xl/sharedStrings.xml><?xml version="1.0" encoding="utf-8"?>
<sst xmlns="http://schemas.openxmlformats.org/spreadsheetml/2006/main" count="89" uniqueCount="30">
  <si>
    <t>φ</t>
  </si>
  <si>
    <t>L</t>
  </si>
  <si>
    <r>
      <t>A</t>
    </r>
    <r>
      <rPr>
        <vertAlign val="subscript"/>
        <sz val="11"/>
        <color rgb="FF000000"/>
        <rFont val="Times New Roman"/>
        <family val="1"/>
      </rPr>
      <t>w</t>
    </r>
    <r>
      <rPr>
        <sz val="11"/>
        <color rgb="FF000000"/>
        <rFont val="Times New Roman"/>
        <family val="1"/>
      </rPr>
      <t>x10</t>
    </r>
    <r>
      <rPr>
        <vertAlign val="superscript"/>
        <sz val="11"/>
        <color rgb="FF000000"/>
        <rFont val="Times New Roman"/>
        <family val="1"/>
      </rPr>
      <t>-4</t>
    </r>
  </si>
  <si>
    <r>
      <t>V</t>
    </r>
    <r>
      <rPr>
        <vertAlign val="subscript"/>
        <sz val="11"/>
        <color rgb="FF000000"/>
        <rFont val="Times New Roman"/>
        <family val="1"/>
      </rPr>
      <t>w</t>
    </r>
  </si>
  <si>
    <r>
      <t>hx10</t>
    </r>
    <r>
      <rPr>
        <vertAlign val="superscript"/>
        <sz val="11"/>
        <color rgb="FF000000"/>
        <rFont val="Times New Roman"/>
        <family val="1"/>
      </rPr>
      <t>-2</t>
    </r>
  </si>
  <si>
    <t>R/L</t>
  </si>
  <si>
    <t>Fr</t>
  </si>
  <si>
    <r>
      <t>d</t>
    </r>
    <r>
      <rPr>
        <vertAlign val="subscript"/>
        <sz val="11"/>
        <color rgb="FF000000"/>
        <rFont val="Times New Roman"/>
        <family val="1"/>
      </rPr>
      <t>A</t>
    </r>
    <r>
      <rPr>
        <sz val="11"/>
        <color rgb="FF000000"/>
        <rFont val="Times New Roman"/>
        <family val="1"/>
      </rPr>
      <t xml:space="preserve"> x 10</t>
    </r>
    <r>
      <rPr>
        <vertAlign val="superscript"/>
        <sz val="11"/>
        <color rgb="FF000000"/>
        <rFont val="Times New Roman"/>
        <family val="1"/>
      </rPr>
      <t>-2</t>
    </r>
  </si>
  <si>
    <r>
      <t>V</t>
    </r>
    <r>
      <rPr>
        <vertAlign val="subscript"/>
        <sz val="11"/>
        <color rgb="FF000000"/>
        <rFont val="Times New Roman"/>
        <family val="1"/>
      </rPr>
      <t>A</t>
    </r>
  </si>
  <si>
    <t>σ</t>
  </si>
  <si>
    <r>
      <t>P</t>
    </r>
    <r>
      <rPr>
        <vertAlign val="subscript"/>
        <sz val="11"/>
        <color theme="1"/>
        <rFont val="Times New Roman"/>
        <family val="1"/>
      </rPr>
      <t>a</t>
    </r>
  </si>
  <si>
    <r>
      <t>m</t>
    </r>
    <r>
      <rPr>
        <vertAlign val="superscript"/>
        <sz val="11"/>
        <color rgb="FF000000"/>
        <rFont val="Times New Roman"/>
        <family val="1"/>
      </rPr>
      <t>2</t>
    </r>
  </si>
  <si>
    <t>m</t>
  </si>
  <si>
    <t>(-)</t>
  </si>
  <si>
    <t>(m)</t>
  </si>
  <si>
    <t>Aspect Ratio</t>
  </si>
  <si>
    <r>
      <t>Q</t>
    </r>
    <r>
      <rPr>
        <vertAlign val="subscript"/>
        <sz val="11"/>
        <color rgb="FF000000"/>
        <rFont val="Times New Roman"/>
        <family val="1"/>
      </rPr>
      <t>W</t>
    </r>
    <r>
      <rPr>
        <sz val="11"/>
        <color rgb="FF000000"/>
        <rFont val="Times New Roman"/>
        <family val="1"/>
      </rPr>
      <t xml:space="preserve"> x 10</t>
    </r>
    <r>
      <rPr>
        <vertAlign val="superscript"/>
        <sz val="11"/>
        <color rgb="FF000000"/>
        <rFont val="Times New Roman"/>
        <family val="1"/>
      </rPr>
      <t>-3</t>
    </r>
    <r>
      <rPr>
        <sz val="11"/>
        <color rgb="FF000000"/>
        <rFont val="Times New Roman"/>
        <family val="1"/>
      </rPr>
      <t xml:space="preserve"> (m</t>
    </r>
    <r>
      <rPr>
        <vertAlign val="super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/s)</t>
    </r>
  </si>
  <si>
    <t>(m/s)</t>
  </si>
  <si>
    <r>
      <t>V</t>
    </r>
    <r>
      <rPr>
        <vertAlign val="subscript"/>
        <sz val="11"/>
        <color rgb="FF000000"/>
        <rFont val="Times New Roman"/>
        <family val="1"/>
      </rPr>
      <t>A</t>
    </r>
    <r>
      <rPr>
        <sz val="11"/>
        <color rgb="FF000000"/>
        <rFont val="Times New Roman"/>
        <family val="1"/>
      </rPr>
      <t>/Vw</t>
    </r>
  </si>
  <si>
    <r>
      <t>Qa x 10</t>
    </r>
    <r>
      <rPr>
        <vertAlign val="superscript"/>
        <sz val="11"/>
        <color rgb="FF000000"/>
        <rFont val="Times New Roman"/>
        <family val="1"/>
      </rPr>
      <t>-3</t>
    </r>
    <r>
      <rPr>
        <sz val="11"/>
        <color rgb="FF000000"/>
        <rFont val="Times New Roman"/>
        <family val="1"/>
      </rPr>
      <t xml:space="preserve"> </t>
    </r>
  </si>
  <si>
    <t>Qa/Qw</t>
  </si>
  <si>
    <t>R</t>
  </si>
  <si>
    <t>(m3/s)</t>
  </si>
  <si>
    <t>QW x 10-3 (m3/s)</t>
  </si>
  <si>
    <t xml:space="preserve">Qa x 10-3 </t>
  </si>
  <si>
    <t>Vw</t>
  </si>
  <si>
    <t>hx10-2</t>
  </si>
  <si>
    <t>Pa</t>
  </si>
  <si>
    <t>VA</t>
  </si>
  <si>
    <t>VA/Vw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</si>
</sst>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168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8ED3-57DE-4C2A-9DA4-D08ADD77D995}">
  <dimension ref="A1:N506"/>
  <sheetViews>
    <sheetView topLeftCell="C1" zoomScale="85" zoomScaleNormal="85" workbookViewId="0">
      <selection activeCell="I17" sqref="I17"/>
    </sheetView>
  </sheetViews>
  <sheetFormatPr defaultColWidth="12" defaultRowHeight="14.4" x14ac:dyDescent="0.3"/>
  <cols>
    <col min="2" max="2" width="9.77734375" customWidth="1"/>
  </cols>
  <sheetData>
    <row r="1" spans="1:14" ht="18" x14ac:dyDescent="0.3">
      <c r="A1" t="s">
        <v>15</v>
      </c>
      <c r="B1" t="s">
        <v>0</v>
      </c>
      <c r="C1" t="s">
        <v>1</v>
      </c>
      <c r="D1" s="18" t="s">
        <v>16</v>
      </c>
      <c r="E1" s="3" t="s">
        <v>2</v>
      </c>
      <c r="F1" s="4" t="s">
        <v>3</v>
      </c>
      <c r="G1" s="1" t="s">
        <v>4</v>
      </c>
      <c r="H1" s="1" t="s">
        <v>5</v>
      </c>
      <c r="I1" s="3" t="s">
        <v>6</v>
      </c>
      <c r="J1" s="1" t="s">
        <v>7</v>
      </c>
      <c r="K1" s="1" t="s">
        <v>8</v>
      </c>
      <c r="L1" s="5" t="s">
        <v>9</v>
      </c>
      <c r="N1" s="2" t="s">
        <v>10</v>
      </c>
    </row>
    <row r="2" spans="1:14" ht="16.8" x14ac:dyDescent="0.3">
      <c r="A2" t="s">
        <v>13</v>
      </c>
      <c r="B2" t="s">
        <v>13</v>
      </c>
      <c r="C2" t="s">
        <v>14</v>
      </c>
      <c r="D2" s="18"/>
      <c r="E2" s="3" t="s">
        <v>11</v>
      </c>
      <c r="F2" s="4" t="s">
        <v>17</v>
      </c>
      <c r="G2" s="1" t="s">
        <v>12</v>
      </c>
      <c r="H2" s="1" t="s">
        <v>13</v>
      </c>
      <c r="I2" s="3" t="s">
        <v>13</v>
      </c>
      <c r="J2" s="1" t="s">
        <v>14</v>
      </c>
      <c r="K2" s="1" t="s">
        <v>17</v>
      </c>
      <c r="L2" s="5" t="s">
        <v>13</v>
      </c>
      <c r="N2" s="2" t="s">
        <v>14</v>
      </c>
    </row>
    <row r="3" spans="1:14" x14ac:dyDescent="0.3">
      <c r="A3">
        <v>0.6</v>
      </c>
      <c r="B3">
        <v>10</v>
      </c>
      <c r="C3">
        <v>1</v>
      </c>
      <c r="D3" s="1">
        <v>0.95</v>
      </c>
      <c r="E3" s="3">
        <v>5.0759999999999996</v>
      </c>
      <c r="F3" s="8">
        <f>(D3*10^-3)/(E3*10^-4)</f>
        <v>1.8715524034672972</v>
      </c>
      <c r="G3" s="9">
        <v>0.94</v>
      </c>
      <c r="H3" s="10">
        <v>4.0000000000000001E-3</v>
      </c>
      <c r="I3" s="11">
        <f>(F3)/((9.81*G3*10^-2))^(1/2)</f>
        <v>6.1631616874318302</v>
      </c>
      <c r="J3" s="9">
        <v>3</v>
      </c>
      <c r="K3" s="9">
        <v>0</v>
      </c>
      <c r="L3" s="12">
        <f t="shared" ref="L3:L66" si="0">(10.33+N3-0.234)/((F3^2)/19.62)</f>
        <v>56.551530256083318</v>
      </c>
      <c r="M3" s="6"/>
      <c r="N3" s="2">
        <f>-(1.7*K3^2)/19.62</f>
        <v>0</v>
      </c>
    </row>
    <row r="4" spans="1:14" x14ac:dyDescent="0.3">
      <c r="A4">
        <v>0.6</v>
      </c>
      <c r="B4">
        <v>10</v>
      </c>
      <c r="C4">
        <v>1</v>
      </c>
      <c r="D4" s="1">
        <v>1.9</v>
      </c>
      <c r="E4" s="3">
        <v>5.0759999999999996</v>
      </c>
      <c r="F4" s="8">
        <f t="shared" ref="F4:F9" si="1">(D4*10^-3)/(E4*10^-4)</f>
        <v>3.7431048069345945</v>
      </c>
      <c r="G4" s="9">
        <v>0.94</v>
      </c>
      <c r="H4" s="10">
        <v>4.0000000000000001E-3</v>
      </c>
      <c r="I4" s="11">
        <f t="shared" ref="I4:I9" si="2">(F4)/((9.81*G4*10^-2))^(1/2)</f>
        <v>12.32632337486366</v>
      </c>
      <c r="J4" s="9">
        <v>4.5</v>
      </c>
      <c r="K4" s="9">
        <v>2.72</v>
      </c>
      <c r="L4" s="12">
        <f t="shared" si="0"/>
        <v>13.2402000732472</v>
      </c>
      <c r="M4" s="6"/>
      <c r="N4" s="2">
        <f t="shared" ref="N4:N9" si="3">-(1.7*K4^2)/19.62</f>
        <v>-0.64104383282364941</v>
      </c>
    </row>
    <row r="5" spans="1:14" x14ac:dyDescent="0.3">
      <c r="A5">
        <v>0.6</v>
      </c>
      <c r="B5">
        <v>10</v>
      </c>
      <c r="C5">
        <v>1</v>
      </c>
      <c r="D5" s="1">
        <v>2.85</v>
      </c>
      <c r="E5" s="3">
        <v>5.0759999999999996</v>
      </c>
      <c r="F5" s="8">
        <f t="shared" si="1"/>
        <v>5.6146572104018917</v>
      </c>
      <c r="G5" s="9">
        <v>0.94</v>
      </c>
      <c r="H5" s="10">
        <v>4.0000000000000001E-3</v>
      </c>
      <c r="I5" s="11">
        <f t="shared" si="2"/>
        <v>18.48948506229549</v>
      </c>
      <c r="J5" s="9">
        <v>4.5</v>
      </c>
      <c r="K5" s="9">
        <v>6.26</v>
      </c>
      <c r="L5" s="12">
        <f t="shared" si="0"/>
        <v>4.1702523059767316</v>
      </c>
      <c r="M5" s="6"/>
      <c r="N5" s="2">
        <f t="shared" si="3"/>
        <v>-3.3954597349643212</v>
      </c>
    </row>
    <row r="6" spans="1:14" x14ac:dyDescent="0.3">
      <c r="A6">
        <v>0.6</v>
      </c>
      <c r="B6">
        <v>10</v>
      </c>
      <c r="C6">
        <v>1</v>
      </c>
      <c r="D6" s="1">
        <v>3.8</v>
      </c>
      <c r="E6" s="3">
        <v>5.0759999999999996</v>
      </c>
      <c r="F6" s="8">
        <f t="shared" si="1"/>
        <v>7.4862096138691889</v>
      </c>
      <c r="G6" s="9">
        <v>0.94</v>
      </c>
      <c r="H6" s="10">
        <v>4.0000000000000001E-3</v>
      </c>
      <c r="I6" s="11">
        <f t="shared" si="2"/>
        <v>24.652646749727321</v>
      </c>
      <c r="J6" s="9">
        <v>4.5</v>
      </c>
      <c r="K6" s="9">
        <v>11.68</v>
      </c>
      <c r="L6" s="12">
        <f t="shared" si="0"/>
        <v>-0.60372139474969488</v>
      </c>
      <c r="M6" s="6"/>
      <c r="N6" s="2">
        <f t="shared" si="3"/>
        <v>-11.820493374108052</v>
      </c>
    </row>
    <row r="7" spans="1:14" x14ac:dyDescent="0.3">
      <c r="A7">
        <v>0.6</v>
      </c>
      <c r="B7">
        <v>10</v>
      </c>
      <c r="C7">
        <v>1</v>
      </c>
      <c r="D7" s="1">
        <v>4.75</v>
      </c>
      <c r="E7" s="3">
        <v>5.0759999999999996</v>
      </c>
      <c r="F7" s="8">
        <f t="shared" si="1"/>
        <v>9.3577620173364853</v>
      </c>
      <c r="G7" s="9">
        <v>0.94</v>
      </c>
      <c r="H7" s="10">
        <v>4.0000000000000001E-3</v>
      </c>
      <c r="I7" s="11">
        <f t="shared" si="2"/>
        <v>30.815808437159149</v>
      </c>
      <c r="J7" s="9">
        <v>4.5</v>
      </c>
      <c r="K7" s="9">
        <v>15.93</v>
      </c>
      <c r="L7" s="12">
        <f t="shared" si="0"/>
        <v>-2.6644160281416327</v>
      </c>
      <c r="M7" s="6"/>
      <c r="N7" s="2">
        <f t="shared" si="3"/>
        <v>-21.987784403669721</v>
      </c>
    </row>
    <row r="8" spans="1:14" x14ac:dyDescent="0.3">
      <c r="A8">
        <v>0.6</v>
      </c>
      <c r="B8">
        <v>10</v>
      </c>
      <c r="C8">
        <v>1</v>
      </c>
      <c r="D8" s="1">
        <v>5.65</v>
      </c>
      <c r="E8" s="3">
        <v>5.0759999999999996</v>
      </c>
      <c r="F8" s="8">
        <f t="shared" si="1"/>
        <v>11.130811662726558</v>
      </c>
      <c r="G8" s="9">
        <v>0.94</v>
      </c>
      <c r="H8" s="10">
        <v>4.0000000000000001E-3</v>
      </c>
      <c r="I8" s="11">
        <f t="shared" si="2"/>
        <v>36.654593193673513</v>
      </c>
      <c r="J8" s="9">
        <v>4.5</v>
      </c>
      <c r="K8" s="9">
        <v>19.579999999999998</v>
      </c>
      <c r="L8" s="12">
        <f t="shared" si="0"/>
        <v>-3.6616205349629114</v>
      </c>
      <c r="M8" s="6"/>
      <c r="N8" s="2">
        <f t="shared" si="3"/>
        <v>-33.21813863404688</v>
      </c>
    </row>
    <row r="9" spans="1:14" x14ac:dyDescent="0.3">
      <c r="A9">
        <v>0.6</v>
      </c>
      <c r="B9">
        <v>10</v>
      </c>
      <c r="C9">
        <v>1</v>
      </c>
      <c r="D9" s="9">
        <v>6.6</v>
      </c>
      <c r="E9" s="3">
        <v>5.0759999999999996</v>
      </c>
      <c r="F9" s="8">
        <f t="shared" si="1"/>
        <v>13.002364066193854</v>
      </c>
      <c r="G9" s="9">
        <v>0.94</v>
      </c>
      <c r="H9" s="10">
        <v>4.0000000000000001E-3</v>
      </c>
      <c r="I9" s="11">
        <f t="shared" si="2"/>
        <v>42.817754881105344</v>
      </c>
      <c r="J9" s="9">
        <v>4.5</v>
      </c>
      <c r="K9" s="9">
        <v>22.49</v>
      </c>
      <c r="L9" s="12">
        <f t="shared" si="0"/>
        <v>-3.9144143539785112</v>
      </c>
      <c r="M9" s="6"/>
      <c r="N9" s="2">
        <f t="shared" si="3"/>
        <v>-43.825696738022415</v>
      </c>
    </row>
    <row r="10" spans="1:14" x14ac:dyDescent="0.3">
      <c r="A10">
        <v>0.6</v>
      </c>
      <c r="B10">
        <v>10</v>
      </c>
      <c r="C10">
        <v>2</v>
      </c>
      <c r="D10" s="1">
        <v>0.95</v>
      </c>
      <c r="E10" s="3">
        <v>5.0759999999999996</v>
      </c>
      <c r="F10" s="8">
        <f>(D10*10^-3)/(E10*10^-4)</f>
        <v>1.8715524034672972</v>
      </c>
      <c r="G10" s="9">
        <v>0.94</v>
      </c>
      <c r="H10" s="10">
        <v>2E-3</v>
      </c>
      <c r="I10" s="11">
        <f>(F10)/((9.81*G10*10^-2))^(1/2)</f>
        <v>6.1631616874318302</v>
      </c>
      <c r="J10" s="9">
        <v>3</v>
      </c>
      <c r="K10" s="9">
        <v>0</v>
      </c>
      <c r="L10" s="14">
        <f t="shared" si="0"/>
        <v>56.551530256083318</v>
      </c>
      <c r="M10" s="6"/>
      <c r="N10" s="2">
        <f>-(1.7*K10^2)/19.62</f>
        <v>0</v>
      </c>
    </row>
    <row r="11" spans="1:14" x14ac:dyDescent="0.3">
      <c r="A11">
        <v>0.6</v>
      </c>
      <c r="B11">
        <v>10</v>
      </c>
      <c r="C11">
        <v>2</v>
      </c>
      <c r="D11" s="1">
        <v>1.9</v>
      </c>
      <c r="E11" s="3">
        <v>5.0759999999999996</v>
      </c>
      <c r="F11" s="8">
        <f t="shared" ref="F11:F16" si="4">(D11*10^-3)/(E11*10^-4)</f>
        <v>3.7431048069345945</v>
      </c>
      <c r="G11" s="9">
        <v>0.94</v>
      </c>
      <c r="H11" s="10">
        <v>2E-3</v>
      </c>
      <c r="I11" s="11">
        <f t="shared" ref="I11:I16" si="5">(F11)/((9.81*G11*10^-2))^(1/2)</f>
        <v>12.32632337486366</v>
      </c>
      <c r="J11" s="9">
        <v>4.5</v>
      </c>
      <c r="K11" s="9">
        <v>2.78</v>
      </c>
      <c r="L11" s="14">
        <f t="shared" si="0"/>
        <v>13.200159629103156</v>
      </c>
      <c r="M11" s="6"/>
      <c r="N11" s="2">
        <f t="shared" ref="N11:N16" si="6">-(1.7*K11^2)/19.62</f>
        <v>-0.66963710499490303</v>
      </c>
    </row>
    <row r="12" spans="1:14" x14ac:dyDescent="0.3">
      <c r="A12">
        <v>0.6</v>
      </c>
      <c r="B12">
        <v>10</v>
      </c>
      <c r="C12">
        <v>2</v>
      </c>
      <c r="D12" s="1">
        <v>2.85</v>
      </c>
      <c r="E12" s="3">
        <v>5.0759999999999996</v>
      </c>
      <c r="F12" s="8">
        <f t="shared" si="4"/>
        <v>5.6146572104018917</v>
      </c>
      <c r="G12" s="9">
        <v>0.94</v>
      </c>
      <c r="H12" s="10">
        <v>2E-3</v>
      </c>
      <c r="I12" s="11">
        <f t="shared" si="5"/>
        <v>18.48948506229549</v>
      </c>
      <c r="J12" s="9">
        <v>4.5</v>
      </c>
      <c r="K12" s="9">
        <v>5.78</v>
      </c>
      <c r="L12" s="14">
        <f t="shared" si="0"/>
        <v>4.4819044740538496</v>
      </c>
      <c r="M12" s="6"/>
      <c r="N12" s="2">
        <f t="shared" si="6"/>
        <v>-2.8947135575942915</v>
      </c>
    </row>
    <row r="13" spans="1:14" x14ac:dyDescent="0.3">
      <c r="A13">
        <v>0.6</v>
      </c>
      <c r="B13">
        <v>10</v>
      </c>
      <c r="C13">
        <v>2</v>
      </c>
      <c r="D13" s="1">
        <v>3.8</v>
      </c>
      <c r="E13" s="3">
        <v>5.0759999999999996</v>
      </c>
      <c r="F13" s="8">
        <f t="shared" si="4"/>
        <v>7.4862096138691889</v>
      </c>
      <c r="G13" s="9">
        <v>0.94</v>
      </c>
      <c r="H13" s="10">
        <v>2E-3</v>
      </c>
      <c r="I13" s="11">
        <f t="shared" si="5"/>
        <v>24.652646749727321</v>
      </c>
      <c r="J13" s="9">
        <v>4.5</v>
      </c>
      <c r="K13" s="9">
        <v>12.43</v>
      </c>
      <c r="L13" s="14">
        <f t="shared" si="0"/>
        <v>-1.1522299790183927</v>
      </c>
      <c r="M13" s="6"/>
      <c r="N13" s="2">
        <f t="shared" si="6"/>
        <v>-13.387274719673801</v>
      </c>
    </row>
    <row r="14" spans="1:14" x14ac:dyDescent="0.3">
      <c r="A14">
        <v>0.6</v>
      </c>
      <c r="B14">
        <v>10</v>
      </c>
      <c r="C14">
        <v>2</v>
      </c>
      <c r="D14" s="1">
        <v>4.75</v>
      </c>
      <c r="E14" s="3">
        <v>5.0759999999999996</v>
      </c>
      <c r="F14" s="8">
        <f t="shared" si="4"/>
        <v>9.3577620173364853</v>
      </c>
      <c r="G14" s="9">
        <v>0.94</v>
      </c>
      <c r="H14" s="10">
        <v>2E-3</v>
      </c>
      <c r="I14" s="11">
        <f t="shared" si="5"/>
        <v>30.815808437159149</v>
      </c>
      <c r="J14" s="9">
        <v>4.5</v>
      </c>
      <c r="K14" s="9">
        <v>18.98</v>
      </c>
      <c r="L14" s="14">
        <f t="shared" si="0"/>
        <v>-4.7314833301824537</v>
      </c>
      <c r="M14" s="6"/>
      <c r="N14" s="2">
        <f t="shared" si="6"/>
        <v>-31.213490316004076</v>
      </c>
    </row>
    <row r="15" spans="1:14" x14ac:dyDescent="0.3">
      <c r="A15">
        <v>0.6</v>
      </c>
      <c r="B15">
        <v>10</v>
      </c>
      <c r="C15">
        <v>2</v>
      </c>
      <c r="D15" s="1">
        <v>5.65</v>
      </c>
      <c r="E15" s="3">
        <v>5.0759999999999996</v>
      </c>
      <c r="F15" s="8">
        <f t="shared" si="4"/>
        <v>11.130811662726558</v>
      </c>
      <c r="G15" s="9">
        <v>0.94</v>
      </c>
      <c r="H15" s="10">
        <v>2E-3</v>
      </c>
      <c r="I15" s="11">
        <f t="shared" si="5"/>
        <v>36.654593193673513</v>
      </c>
      <c r="J15" s="9">
        <v>4.5</v>
      </c>
      <c r="K15" s="9">
        <v>23.32</v>
      </c>
      <c r="L15" s="14">
        <f t="shared" si="0"/>
        <v>-5.8631481983236133</v>
      </c>
      <c r="M15" s="6"/>
      <c r="N15" s="2">
        <f t="shared" si="6"/>
        <v>-47.120187563710495</v>
      </c>
    </row>
    <row r="16" spans="1:14" x14ac:dyDescent="0.3">
      <c r="A16">
        <v>0.6</v>
      </c>
      <c r="B16">
        <v>10</v>
      </c>
      <c r="C16">
        <v>2</v>
      </c>
      <c r="D16" s="9">
        <v>6.6</v>
      </c>
      <c r="E16" s="3">
        <v>5.0759999999999996</v>
      </c>
      <c r="F16" s="8">
        <f t="shared" si="4"/>
        <v>13.002364066193854</v>
      </c>
      <c r="G16" s="9">
        <v>0.94</v>
      </c>
      <c r="H16" s="10">
        <v>2E-3</v>
      </c>
      <c r="I16" s="11">
        <f t="shared" si="5"/>
        <v>42.817754881105344</v>
      </c>
      <c r="J16" s="9">
        <v>4.5</v>
      </c>
      <c r="K16" s="9">
        <v>28.98</v>
      </c>
      <c r="L16" s="14">
        <f t="shared" si="0"/>
        <v>-7.2733612837566932</v>
      </c>
      <c r="M16" s="6"/>
      <c r="N16" s="2">
        <f t="shared" si="6"/>
        <v>-72.769045871559626</v>
      </c>
    </row>
    <row r="17" spans="1:14" x14ac:dyDescent="0.3">
      <c r="A17">
        <v>0.6</v>
      </c>
      <c r="B17">
        <v>10</v>
      </c>
      <c r="C17">
        <v>4</v>
      </c>
      <c r="D17" s="1">
        <v>0.95</v>
      </c>
      <c r="E17" s="3">
        <v>5.0759999999999996</v>
      </c>
      <c r="F17" s="8">
        <f>(D17*10^-3)/(E17*10^-4)</f>
        <v>1.8715524034672972</v>
      </c>
      <c r="G17" s="9">
        <v>0.94</v>
      </c>
      <c r="H17" s="10">
        <v>1E-3</v>
      </c>
      <c r="I17" s="11">
        <f>(F17)/((9.81*G17*10^-2))^(1/2)</f>
        <v>6.1631616874318302</v>
      </c>
      <c r="J17" s="9">
        <v>3</v>
      </c>
      <c r="K17" s="9">
        <v>0</v>
      </c>
      <c r="L17" s="14">
        <f t="shared" si="0"/>
        <v>56.551530256083318</v>
      </c>
      <c r="M17" s="6"/>
      <c r="N17" s="2">
        <f>-(1.7*K17^2)/19.62</f>
        <v>0</v>
      </c>
    </row>
    <row r="18" spans="1:14" x14ac:dyDescent="0.3">
      <c r="A18">
        <v>0.6</v>
      </c>
      <c r="B18">
        <v>10</v>
      </c>
      <c r="C18">
        <v>4</v>
      </c>
      <c r="D18" s="1">
        <v>1.9</v>
      </c>
      <c r="E18" s="3">
        <v>5.0759999999999996</v>
      </c>
      <c r="F18" s="8">
        <f t="shared" ref="F18:F23" si="7">(D18*10^-3)/(E18*10^-4)</f>
        <v>3.7431048069345945</v>
      </c>
      <c r="G18" s="9">
        <v>0.94</v>
      </c>
      <c r="H18" s="10">
        <v>1E-3</v>
      </c>
      <c r="I18" s="11">
        <f t="shared" ref="I18:I23" si="8">(F18)/((9.81*G18*10^-2))^(1/2)</f>
        <v>12.32632337486366</v>
      </c>
      <c r="J18" s="9">
        <v>4.5</v>
      </c>
      <c r="K18" s="9">
        <v>2.83</v>
      </c>
      <c r="L18" s="14">
        <f t="shared" si="0"/>
        <v>13.166125251580718</v>
      </c>
      <c r="M18" s="6"/>
      <c r="N18" s="2">
        <f t="shared" ref="N18:N23" si="9">-(1.7*K18^2)/19.62</f>
        <v>-0.69394138634046887</v>
      </c>
    </row>
    <row r="19" spans="1:14" x14ac:dyDescent="0.3">
      <c r="A19">
        <v>0.6</v>
      </c>
      <c r="B19">
        <v>10</v>
      </c>
      <c r="C19">
        <v>4</v>
      </c>
      <c r="D19" s="1">
        <v>2.85</v>
      </c>
      <c r="E19" s="3">
        <v>5.0759999999999996</v>
      </c>
      <c r="F19" s="8">
        <f t="shared" si="7"/>
        <v>5.6146572104018917</v>
      </c>
      <c r="G19" s="9">
        <v>0.94</v>
      </c>
      <c r="H19" s="10">
        <v>1E-3</v>
      </c>
      <c r="I19" s="11">
        <f t="shared" si="8"/>
        <v>18.48948506229549</v>
      </c>
      <c r="J19" s="9">
        <v>4.5</v>
      </c>
      <c r="K19" s="9">
        <v>7.36</v>
      </c>
      <c r="L19" s="14">
        <f t="shared" si="0"/>
        <v>3.3623251219146817</v>
      </c>
      <c r="M19" s="6"/>
      <c r="N19" s="2">
        <f t="shared" si="9"/>
        <v>-4.6935942915392452</v>
      </c>
    </row>
    <row r="20" spans="1:14" x14ac:dyDescent="0.3">
      <c r="A20">
        <v>0.6</v>
      </c>
      <c r="B20">
        <v>10</v>
      </c>
      <c r="C20">
        <v>4</v>
      </c>
      <c r="D20" s="1">
        <v>3.8</v>
      </c>
      <c r="E20" s="3">
        <v>5.0759999999999996</v>
      </c>
      <c r="F20" s="8">
        <f t="shared" si="7"/>
        <v>7.4862096138691889</v>
      </c>
      <c r="G20" s="9">
        <v>0.94</v>
      </c>
      <c r="H20" s="10">
        <v>1E-3</v>
      </c>
      <c r="I20" s="11">
        <f t="shared" si="8"/>
        <v>24.652646749727321</v>
      </c>
      <c r="J20" s="9">
        <v>4.5</v>
      </c>
      <c r="K20" s="9">
        <v>13.14</v>
      </c>
      <c r="L20" s="14">
        <f t="shared" si="0"/>
        <v>-1.7029286542470909</v>
      </c>
      <c r="M20" s="6"/>
      <c r="N20" s="2">
        <f t="shared" si="9"/>
        <v>-14.960311926605504</v>
      </c>
    </row>
    <row r="21" spans="1:14" x14ac:dyDescent="0.3">
      <c r="A21">
        <v>0.6</v>
      </c>
      <c r="B21">
        <v>10</v>
      </c>
      <c r="C21">
        <v>4</v>
      </c>
      <c r="D21" s="1">
        <v>4.75</v>
      </c>
      <c r="E21" s="3">
        <v>5.0759999999999996</v>
      </c>
      <c r="F21" s="8">
        <f t="shared" si="7"/>
        <v>9.3577620173364853</v>
      </c>
      <c r="G21" s="9">
        <v>0.94</v>
      </c>
      <c r="H21" s="10">
        <v>1E-3</v>
      </c>
      <c r="I21" s="11">
        <f t="shared" si="8"/>
        <v>30.815808437159149</v>
      </c>
      <c r="J21" s="9">
        <v>4.5</v>
      </c>
      <c r="K21" s="9">
        <v>20.399999999999999</v>
      </c>
      <c r="L21" s="14">
        <f t="shared" si="0"/>
        <v>-5.8170812067193269</v>
      </c>
      <c r="M21" s="6"/>
      <c r="N21" s="2">
        <f t="shared" si="9"/>
        <v>-36.058715596330273</v>
      </c>
    </row>
    <row r="22" spans="1:14" x14ac:dyDescent="0.3">
      <c r="A22">
        <v>0.6</v>
      </c>
      <c r="B22">
        <v>10</v>
      </c>
      <c r="C22">
        <v>4</v>
      </c>
      <c r="D22" s="1">
        <v>5.65</v>
      </c>
      <c r="E22" s="3">
        <v>5.0759999999999996</v>
      </c>
      <c r="F22" s="8">
        <f t="shared" si="7"/>
        <v>11.130811662726558</v>
      </c>
      <c r="G22" s="9">
        <v>0.94</v>
      </c>
      <c r="H22" s="10">
        <v>1E-3</v>
      </c>
      <c r="I22" s="11">
        <f t="shared" si="8"/>
        <v>36.654593193673513</v>
      </c>
      <c r="J22" s="9">
        <v>4.5</v>
      </c>
      <c r="K22" s="9">
        <v>23.6</v>
      </c>
      <c r="L22" s="14">
        <f t="shared" si="0"/>
        <v>-6.0434131462199003</v>
      </c>
      <c r="M22" s="6"/>
      <c r="N22" s="2">
        <f t="shared" si="9"/>
        <v>-48.258511722731903</v>
      </c>
    </row>
    <row r="23" spans="1:14" x14ac:dyDescent="0.3">
      <c r="A23">
        <v>0.6</v>
      </c>
      <c r="B23">
        <v>10</v>
      </c>
      <c r="C23">
        <v>4</v>
      </c>
      <c r="D23" s="9">
        <v>6.65</v>
      </c>
      <c r="E23" s="3">
        <v>5.0759999999999996</v>
      </c>
      <c r="F23" s="8">
        <f t="shared" si="7"/>
        <v>13.100866824271082</v>
      </c>
      <c r="G23" s="9">
        <v>0.94</v>
      </c>
      <c r="H23" s="10">
        <v>1E-3</v>
      </c>
      <c r="I23" s="11">
        <f t="shared" si="8"/>
        <v>43.142131812022811</v>
      </c>
      <c r="J23" s="9">
        <v>4.5</v>
      </c>
      <c r="K23" s="9">
        <v>30.43</v>
      </c>
      <c r="L23" s="14">
        <f t="shared" si="0"/>
        <v>-8.0176488362527092</v>
      </c>
      <c r="M23" s="6"/>
      <c r="N23" s="2">
        <f t="shared" si="9"/>
        <v>-80.233146279306823</v>
      </c>
    </row>
    <row r="24" spans="1:14" x14ac:dyDescent="0.3">
      <c r="A24">
        <v>0.6</v>
      </c>
      <c r="B24">
        <v>10</v>
      </c>
      <c r="C24">
        <v>6</v>
      </c>
      <c r="D24" s="1">
        <v>0.95</v>
      </c>
      <c r="E24" s="3">
        <v>5.0759999999999996</v>
      </c>
      <c r="F24" s="8">
        <f>(D24*10^-3)/(E24*10^-4)</f>
        <v>1.8715524034672972</v>
      </c>
      <c r="G24" s="9">
        <v>0.94</v>
      </c>
      <c r="H24" s="10">
        <v>6.6666666666666664E-4</v>
      </c>
      <c r="I24" s="11">
        <f>(F24)/((9.81*G24*10^-2))^(1/2)</f>
        <v>6.1631616874318302</v>
      </c>
      <c r="J24" s="9">
        <v>3</v>
      </c>
      <c r="K24" s="9">
        <v>0</v>
      </c>
      <c r="L24" s="14">
        <f t="shared" si="0"/>
        <v>56.551530256083318</v>
      </c>
      <c r="M24" s="6"/>
      <c r="N24" s="2">
        <f>-(1.7*K24^2)/19.62</f>
        <v>0</v>
      </c>
    </row>
    <row r="25" spans="1:14" x14ac:dyDescent="0.3">
      <c r="A25">
        <v>0.6</v>
      </c>
      <c r="B25">
        <v>10</v>
      </c>
      <c r="C25">
        <v>6</v>
      </c>
      <c r="D25" s="1">
        <v>1.9</v>
      </c>
      <c r="E25" s="3">
        <v>5.0759999999999996</v>
      </c>
      <c r="F25" s="8">
        <f t="shared" ref="F25:F30" si="10">(D25*10^-3)/(E25*10^-4)</f>
        <v>3.7431048069345945</v>
      </c>
      <c r="G25" s="9">
        <v>0.94</v>
      </c>
      <c r="H25" s="10">
        <v>6.6666666666666664E-4</v>
      </c>
      <c r="I25" s="11">
        <f t="shared" ref="I25:I30" si="11">(F25)/((9.81*G25*10^-2))^(1/2)</f>
        <v>12.32632337486366</v>
      </c>
      <c r="J25" s="9">
        <v>4.5</v>
      </c>
      <c r="K25" s="9">
        <v>2.2000000000000002</v>
      </c>
      <c r="L25" s="14">
        <f t="shared" si="0"/>
        <v>13.550622716574846</v>
      </c>
      <c r="M25" s="6"/>
      <c r="N25" s="2">
        <f t="shared" ref="N25:N30" si="12">-(1.7*K25^2)/19.62</f>
        <v>-0.41936799184505613</v>
      </c>
    </row>
    <row r="26" spans="1:14" x14ac:dyDescent="0.3">
      <c r="A26">
        <v>0.6</v>
      </c>
      <c r="B26">
        <v>10</v>
      </c>
      <c r="C26">
        <v>6</v>
      </c>
      <c r="D26" s="1">
        <v>2.85</v>
      </c>
      <c r="E26" s="3">
        <v>5.0759999999999996</v>
      </c>
      <c r="F26" s="8">
        <f t="shared" si="10"/>
        <v>5.6146572104018917</v>
      </c>
      <c r="G26" s="9">
        <v>0.94</v>
      </c>
      <c r="H26" s="10">
        <v>6.6666666666666664E-4</v>
      </c>
      <c r="I26" s="11">
        <f t="shared" si="11"/>
        <v>18.48948506229549</v>
      </c>
      <c r="J26" s="9">
        <v>4.5</v>
      </c>
      <c r="K26" s="9">
        <v>7.24</v>
      </c>
      <c r="L26" s="14">
        <f t="shared" si="0"/>
        <v>3.4568043921373963</v>
      </c>
      <c r="M26" s="6"/>
      <c r="N26" s="2">
        <f t="shared" si="12"/>
        <v>-4.5417900101936794</v>
      </c>
    </row>
    <row r="27" spans="1:14" x14ac:dyDescent="0.3">
      <c r="A27">
        <v>0.6</v>
      </c>
      <c r="B27">
        <v>10</v>
      </c>
      <c r="C27">
        <v>6</v>
      </c>
      <c r="D27" s="1">
        <v>3.8</v>
      </c>
      <c r="E27" s="3">
        <v>5.0759999999999996</v>
      </c>
      <c r="F27" s="8">
        <f t="shared" si="10"/>
        <v>7.4862096138691889</v>
      </c>
      <c r="G27" s="9">
        <v>0.94</v>
      </c>
      <c r="H27" s="10">
        <v>6.6666666666666664E-4</v>
      </c>
      <c r="I27" s="11">
        <f t="shared" si="11"/>
        <v>24.652646749727321</v>
      </c>
      <c r="J27" s="9">
        <v>4.5</v>
      </c>
      <c r="K27" s="9">
        <v>12.98</v>
      </c>
      <c r="L27" s="14">
        <f t="shared" si="0"/>
        <v>-1.5761581813934618</v>
      </c>
      <c r="M27" s="6"/>
      <c r="N27" s="2">
        <f t="shared" si="12"/>
        <v>-14.5981997961264</v>
      </c>
    </row>
    <row r="28" spans="1:14" x14ac:dyDescent="0.3">
      <c r="A28">
        <v>0.6</v>
      </c>
      <c r="B28">
        <v>10</v>
      </c>
      <c r="C28">
        <v>6</v>
      </c>
      <c r="D28" s="1">
        <v>4.75</v>
      </c>
      <c r="E28" s="3">
        <v>5.0759999999999996</v>
      </c>
      <c r="F28" s="8">
        <f t="shared" si="10"/>
        <v>9.3577620173364853</v>
      </c>
      <c r="G28" s="9">
        <v>0.94</v>
      </c>
      <c r="H28" s="10">
        <v>6.6666666666666664E-4</v>
      </c>
      <c r="I28" s="11">
        <f t="shared" si="11"/>
        <v>30.815808437159149</v>
      </c>
      <c r="J28" s="9">
        <v>4.5</v>
      </c>
      <c r="K28" s="9">
        <v>18.48</v>
      </c>
      <c r="L28" s="14">
        <f t="shared" si="0"/>
        <v>-4.3678675634828412</v>
      </c>
      <c r="M28" s="6"/>
      <c r="N28" s="2">
        <f t="shared" si="12"/>
        <v>-29.590605504587153</v>
      </c>
    </row>
    <row r="29" spans="1:14" x14ac:dyDescent="0.3">
      <c r="A29">
        <v>0.6</v>
      </c>
      <c r="B29">
        <v>10</v>
      </c>
      <c r="C29">
        <v>6</v>
      </c>
      <c r="D29" s="1">
        <v>5.65</v>
      </c>
      <c r="E29" s="3">
        <v>5.0759999999999996</v>
      </c>
      <c r="F29" s="8">
        <f t="shared" si="10"/>
        <v>11.130811662726558</v>
      </c>
      <c r="G29" s="9">
        <v>0.94</v>
      </c>
      <c r="H29" s="10">
        <v>6.6666666666666664E-4</v>
      </c>
      <c r="I29" s="11">
        <f t="shared" si="11"/>
        <v>36.654593193673513</v>
      </c>
      <c r="J29" s="9">
        <v>4.5</v>
      </c>
      <c r="K29" s="9">
        <v>24.19</v>
      </c>
      <c r="L29" s="14">
        <f t="shared" si="0"/>
        <v>-6.4303002867462125</v>
      </c>
      <c r="M29" s="6"/>
      <c r="N29" s="2">
        <f t="shared" si="12"/>
        <v>-50.701598878695208</v>
      </c>
    </row>
    <row r="30" spans="1:14" x14ac:dyDescent="0.3">
      <c r="A30">
        <v>0.6</v>
      </c>
      <c r="B30">
        <v>10</v>
      </c>
      <c r="C30">
        <v>6</v>
      </c>
      <c r="D30" s="9">
        <v>6.65</v>
      </c>
      <c r="E30" s="3">
        <v>5.0759999999999996</v>
      </c>
      <c r="F30" s="8">
        <f t="shared" si="10"/>
        <v>13.100866824271082</v>
      </c>
      <c r="G30" s="9">
        <v>0.94</v>
      </c>
      <c r="H30" s="10">
        <v>6.6666666666666664E-4</v>
      </c>
      <c r="I30" s="11">
        <f t="shared" si="11"/>
        <v>43.142131812022811</v>
      </c>
      <c r="J30" s="9">
        <v>4.5</v>
      </c>
      <c r="K30" s="9">
        <v>26.84</v>
      </c>
      <c r="L30" s="14">
        <f t="shared" si="0"/>
        <v>-5.9812141330481072</v>
      </c>
      <c r="M30" s="6"/>
      <c r="N30" s="2">
        <f t="shared" si="12"/>
        <v>-62.418731906218134</v>
      </c>
    </row>
    <row r="31" spans="1:14" x14ac:dyDescent="0.3">
      <c r="A31">
        <v>0.6</v>
      </c>
      <c r="B31">
        <v>15</v>
      </c>
      <c r="C31">
        <v>1</v>
      </c>
      <c r="D31" s="1">
        <v>1.4</v>
      </c>
      <c r="E31" s="3">
        <v>7.6139999999999999</v>
      </c>
      <c r="F31" s="8">
        <f>(D31*10^-3)/(E31*10^-4)</f>
        <v>1.8387181507748882</v>
      </c>
      <c r="G31" s="9">
        <v>1.41</v>
      </c>
      <c r="H31" s="10">
        <v>5.7099999999999998E-3</v>
      </c>
      <c r="I31" s="11">
        <f>(F31)/((9.81*G31*10^-2))^(1/2)</f>
        <v>4.9439162271508623</v>
      </c>
      <c r="J31" s="9">
        <v>3</v>
      </c>
      <c r="K31" s="9">
        <v>0</v>
      </c>
      <c r="L31" s="14">
        <f t="shared" si="0"/>
        <v>58.589260778703682</v>
      </c>
      <c r="M31" s="6"/>
      <c r="N31" s="2">
        <f>-(1.7*K31^2)/19.62</f>
        <v>0</v>
      </c>
    </row>
    <row r="32" spans="1:14" x14ac:dyDescent="0.3">
      <c r="A32">
        <v>0.6</v>
      </c>
      <c r="B32">
        <v>15</v>
      </c>
      <c r="C32">
        <v>1</v>
      </c>
      <c r="D32" s="1">
        <v>2.8</v>
      </c>
      <c r="E32" s="3">
        <v>7.6139999999999999</v>
      </c>
      <c r="F32" s="8">
        <f t="shared" ref="F32:F37" si="13">(D32*10^-3)/(E32*10^-4)</f>
        <v>3.6774363015497764</v>
      </c>
      <c r="G32" s="9">
        <v>1.41</v>
      </c>
      <c r="H32" s="10">
        <v>5.7099999999999998E-3</v>
      </c>
      <c r="I32" s="11">
        <f t="shared" ref="I32:I37" si="14">(F32)/((9.81*G32*10^-2))^(1/2)</f>
        <v>9.8878324543017246</v>
      </c>
      <c r="J32" s="9">
        <v>3</v>
      </c>
      <c r="K32" s="9">
        <v>3.38</v>
      </c>
      <c r="L32" s="14">
        <f t="shared" si="0"/>
        <v>13.211190982489596</v>
      </c>
      <c r="M32" s="6"/>
      <c r="N32" s="2">
        <f t="shared" ref="N32:N37" si="15">-(1.7*K32^2)/19.62</f>
        <v>-0.9898817533129457</v>
      </c>
    </row>
    <row r="33" spans="1:14" x14ac:dyDescent="0.3">
      <c r="A33">
        <v>0.6</v>
      </c>
      <c r="B33">
        <v>15</v>
      </c>
      <c r="C33">
        <v>1</v>
      </c>
      <c r="D33" s="1">
        <v>4.2</v>
      </c>
      <c r="E33" s="3">
        <v>7.6139999999999999</v>
      </c>
      <c r="F33" s="8">
        <f t="shared" si="13"/>
        <v>5.5161544523246651</v>
      </c>
      <c r="G33" s="9">
        <v>1.41</v>
      </c>
      <c r="H33" s="10">
        <v>5.7099999999999998E-3</v>
      </c>
      <c r="I33" s="11">
        <f t="shared" si="14"/>
        <v>14.83174868145259</v>
      </c>
      <c r="J33" s="9">
        <v>4.5</v>
      </c>
      <c r="K33" s="9">
        <v>8.7100000000000009</v>
      </c>
      <c r="L33" s="14">
        <f t="shared" si="0"/>
        <v>2.2714158337255097</v>
      </c>
      <c r="M33" s="6"/>
      <c r="N33" s="2">
        <f t="shared" si="15"/>
        <v>-6.5733419979612657</v>
      </c>
    </row>
    <row r="34" spans="1:14" x14ac:dyDescent="0.3">
      <c r="A34">
        <v>0.6</v>
      </c>
      <c r="B34">
        <v>15</v>
      </c>
      <c r="C34">
        <v>1</v>
      </c>
      <c r="D34" s="1">
        <v>5.6</v>
      </c>
      <c r="E34" s="3">
        <v>7.6139999999999999</v>
      </c>
      <c r="F34" s="8">
        <f t="shared" si="13"/>
        <v>7.3548726030995528</v>
      </c>
      <c r="G34" s="9">
        <v>1.41</v>
      </c>
      <c r="H34" s="10">
        <v>5.7099999999999998E-3</v>
      </c>
      <c r="I34" s="11">
        <f t="shared" si="14"/>
        <v>19.775664908603449</v>
      </c>
      <c r="J34" s="9">
        <v>4.5</v>
      </c>
      <c r="K34" s="9">
        <v>13.89</v>
      </c>
      <c r="L34" s="14">
        <f t="shared" si="0"/>
        <v>-2.4013880905758289</v>
      </c>
      <c r="M34" s="6"/>
      <c r="N34" s="2">
        <f t="shared" si="15"/>
        <v>-16.71684862385321</v>
      </c>
    </row>
    <row r="35" spans="1:14" x14ac:dyDescent="0.3">
      <c r="A35">
        <v>0.6</v>
      </c>
      <c r="B35">
        <v>15</v>
      </c>
      <c r="C35">
        <v>1</v>
      </c>
      <c r="D35" s="1">
        <v>7</v>
      </c>
      <c r="E35" s="3">
        <v>7.6139999999999999</v>
      </c>
      <c r="F35" s="8">
        <f t="shared" si="13"/>
        <v>9.1935907538744406</v>
      </c>
      <c r="G35" s="9">
        <v>1.41</v>
      </c>
      <c r="H35" s="10">
        <v>5.7099999999999998E-3</v>
      </c>
      <c r="I35" s="11">
        <f t="shared" si="14"/>
        <v>24.719581135754311</v>
      </c>
      <c r="J35" s="9">
        <v>4.5</v>
      </c>
      <c r="K35" s="9">
        <v>19.13</v>
      </c>
      <c r="L35" s="14">
        <f t="shared" si="0"/>
        <v>-5.0169500647259522</v>
      </c>
      <c r="M35" s="6"/>
      <c r="N35" s="2">
        <f t="shared" si="15"/>
        <v>-31.708803771661564</v>
      </c>
    </row>
    <row r="36" spans="1:14" x14ac:dyDescent="0.3">
      <c r="A36">
        <v>0.6</v>
      </c>
      <c r="B36">
        <v>15</v>
      </c>
      <c r="C36">
        <v>1</v>
      </c>
      <c r="D36" s="1">
        <v>8.4</v>
      </c>
      <c r="E36" s="3">
        <v>7.6139999999999999</v>
      </c>
      <c r="F36" s="8">
        <f t="shared" si="13"/>
        <v>11.03230890464933</v>
      </c>
      <c r="G36" s="9">
        <v>1.41</v>
      </c>
      <c r="H36" s="10">
        <v>5.7099999999999998E-3</v>
      </c>
      <c r="I36" s="11">
        <f t="shared" si="14"/>
        <v>29.663497362905179</v>
      </c>
      <c r="J36" s="9">
        <v>4.5</v>
      </c>
      <c r="K36" s="9">
        <v>22.72</v>
      </c>
      <c r="L36" s="14">
        <f t="shared" si="0"/>
        <v>-5.5824787571804091</v>
      </c>
      <c r="M36" s="6"/>
      <c r="N36" s="2">
        <f t="shared" si="15"/>
        <v>-44.72667074413863</v>
      </c>
    </row>
    <row r="37" spans="1:14" x14ac:dyDescent="0.3">
      <c r="A37">
        <v>0.6</v>
      </c>
      <c r="B37">
        <v>15</v>
      </c>
      <c r="C37">
        <v>1</v>
      </c>
      <c r="D37" s="9">
        <v>9.8000000000000007</v>
      </c>
      <c r="E37" s="3">
        <v>7.6139999999999999</v>
      </c>
      <c r="F37" s="8">
        <f t="shared" si="13"/>
        <v>12.87102705542422</v>
      </c>
      <c r="G37" s="9">
        <v>1.41</v>
      </c>
      <c r="H37" s="10">
        <v>5.7099999999999998E-3</v>
      </c>
      <c r="I37" s="11">
        <f t="shared" si="14"/>
        <v>34.607413590056048</v>
      </c>
      <c r="J37" s="9">
        <v>4.5</v>
      </c>
      <c r="K37" s="9">
        <v>27.55</v>
      </c>
      <c r="L37" s="14">
        <f t="shared" si="0"/>
        <v>-6.5930141619540894</v>
      </c>
      <c r="M37" s="6"/>
      <c r="N37" s="2">
        <f t="shared" si="15"/>
        <v>-65.764742609582058</v>
      </c>
    </row>
    <row r="38" spans="1:14" x14ac:dyDescent="0.3">
      <c r="A38">
        <v>0.6</v>
      </c>
      <c r="B38">
        <v>15</v>
      </c>
      <c r="C38">
        <v>2</v>
      </c>
      <c r="D38" s="1">
        <v>1.4</v>
      </c>
      <c r="E38" s="3">
        <v>7.6139999999999999</v>
      </c>
      <c r="F38" s="8">
        <f>(D38*10^-3)/(E38*10^-4)</f>
        <v>1.8387181507748882</v>
      </c>
      <c r="G38" s="9">
        <v>1.41</v>
      </c>
      <c r="H38" s="10">
        <v>2.8549999999999999E-3</v>
      </c>
      <c r="I38" s="11">
        <f>(F38)/((9.81*G38*10^-2))^(1/2)</f>
        <v>4.9439162271508623</v>
      </c>
      <c r="J38" s="9">
        <v>3</v>
      </c>
      <c r="K38" s="9">
        <v>0</v>
      </c>
      <c r="L38" s="14">
        <f t="shared" si="0"/>
        <v>58.589260778703682</v>
      </c>
      <c r="M38" s="6"/>
      <c r="N38" s="2">
        <f>-(1.7*K38^2)/19.62</f>
        <v>0</v>
      </c>
    </row>
    <row r="39" spans="1:14" x14ac:dyDescent="0.3">
      <c r="A39">
        <v>0.6</v>
      </c>
      <c r="B39">
        <v>15</v>
      </c>
      <c r="C39">
        <v>2</v>
      </c>
      <c r="D39" s="1">
        <v>2.8</v>
      </c>
      <c r="E39" s="3">
        <v>7.6139999999999999</v>
      </c>
      <c r="F39" s="8">
        <f t="shared" ref="F39:F44" si="16">(D39*10^-3)/(E39*10^-4)</f>
        <v>3.6774363015497764</v>
      </c>
      <c r="G39" s="9">
        <v>1.41</v>
      </c>
      <c r="H39" s="10">
        <v>2.8549999999999999E-3</v>
      </c>
      <c r="I39" s="11">
        <f t="shared" ref="I39:I44" si="17">(F39)/((9.81*G39*10^-2))^(1/2)</f>
        <v>9.8878324543017246</v>
      </c>
      <c r="J39" s="9">
        <v>4.5</v>
      </c>
      <c r="K39" s="9">
        <v>2.4900000000000002</v>
      </c>
      <c r="L39" s="14">
        <f t="shared" si="0"/>
        <v>13.867920764510972</v>
      </c>
      <c r="M39" s="6"/>
      <c r="N39" s="2">
        <f t="shared" ref="N39:N44" si="18">-(1.7*K39^2)/19.62</f>
        <v>-0.53721559633027527</v>
      </c>
    </row>
    <row r="40" spans="1:14" x14ac:dyDescent="0.3">
      <c r="A40">
        <v>0.6</v>
      </c>
      <c r="B40">
        <v>15</v>
      </c>
      <c r="C40">
        <v>2</v>
      </c>
      <c r="D40" s="1">
        <v>4.2</v>
      </c>
      <c r="E40" s="3">
        <v>7.6139999999999999</v>
      </c>
      <c r="F40" s="8">
        <f t="shared" si="16"/>
        <v>5.5161544523246651</v>
      </c>
      <c r="G40" s="9">
        <v>1.41</v>
      </c>
      <c r="H40" s="10">
        <v>2.8549999999999999E-3</v>
      </c>
      <c r="I40" s="11">
        <f t="shared" si="17"/>
        <v>14.83174868145259</v>
      </c>
      <c r="J40" s="9">
        <v>4.5</v>
      </c>
      <c r="K40" s="9">
        <v>8.59</v>
      </c>
      <c r="L40" s="14">
        <f t="shared" si="0"/>
        <v>2.3874012631377557</v>
      </c>
      <c r="M40" s="6"/>
      <c r="N40" s="2">
        <f t="shared" si="18"/>
        <v>-6.3934643221202849</v>
      </c>
    </row>
    <row r="41" spans="1:14" x14ac:dyDescent="0.3">
      <c r="A41">
        <v>0.6</v>
      </c>
      <c r="B41">
        <v>15</v>
      </c>
      <c r="C41">
        <v>2</v>
      </c>
      <c r="D41" s="1">
        <v>5.6</v>
      </c>
      <c r="E41" s="3">
        <v>7.6139999999999999</v>
      </c>
      <c r="F41" s="8">
        <f t="shared" si="16"/>
        <v>7.3548726030995528</v>
      </c>
      <c r="G41" s="9">
        <v>1.41</v>
      </c>
      <c r="H41" s="10">
        <v>2.8549999999999999E-3</v>
      </c>
      <c r="I41" s="11">
        <f t="shared" si="17"/>
        <v>19.775664908603449</v>
      </c>
      <c r="J41" s="9">
        <v>4.5</v>
      </c>
      <c r="K41" s="9">
        <v>14.96</v>
      </c>
      <c r="L41" s="14">
        <f t="shared" si="0"/>
        <v>-3.3715142321693894</v>
      </c>
      <c r="M41" s="6"/>
      <c r="N41" s="2">
        <f t="shared" si="18"/>
        <v>-19.391575942915395</v>
      </c>
    </row>
    <row r="42" spans="1:14" x14ac:dyDescent="0.3">
      <c r="A42">
        <v>0.6</v>
      </c>
      <c r="B42">
        <v>15</v>
      </c>
      <c r="C42">
        <v>2</v>
      </c>
      <c r="D42" s="1">
        <v>7</v>
      </c>
      <c r="E42" s="3">
        <v>7.6139999999999999</v>
      </c>
      <c r="F42" s="8">
        <f t="shared" si="16"/>
        <v>9.1935907538744406</v>
      </c>
      <c r="G42" s="9">
        <v>1.41</v>
      </c>
      <c r="H42" s="10">
        <v>2.8549999999999999E-3</v>
      </c>
      <c r="I42" s="11">
        <f t="shared" si="17"/>
        <v>24.719581135754311</v>
      </c>
      <c r="J42" s="9">
        <v>4.5</v>
      </c>
      <c r="K42" s="9">
        <v>19.78</v>
      </c>
      <c r="L42" s="14">
        <f t="shared" si="0"/>
        <v>-5.5256400337397906</v>
      </c>
      <c r="M42" s="6"/>
      <c r="N42" s="2">
        <f t="shared" si="18"/>
        <v>-33.900218144750255</v>
      </c>
    </row>
    <row r="43" spans="1:14" x14ac:dyDescent="0.3">
      <c r="A43">
        <v>0.6</v>
      </c>
      <c r="B43">
        <v>15</v>
      </c>
      <c r="C43">
        <v>2</v>
      </c>
      <c r="D43" s="1">
        <v>8.4</v>
      </c>
      <c r="E43" s="3">
        <v>7.6139999999999999</v>
      </c>
      <c r="F43" s="8">
        <f t="shared" si="16"/>
        <v>11.03230890464933</v>
      </c>
      <c r="G43" s="9">
        <v>1.41</v>
      </c>
      <c r="H43" s="10">
        <v>2.8549999999999999E-3</v>
      </c>
      <c r="I43" s="11">
        <f t="shared" si="17"/>
        <v>29.663497362905179</v>
      </c>
      <c r="J43" s="9">
        <v>4.5</v>
      </c>
      <c r="K43" s="9">
        <v>23.64</v>
      </c>
      <c r="L43" s="14">
        <f t="shared" si="0"/>
        <v>-6.178205846167347</v>
      </c>
      <c r="M43" s="6"/>
      <c r="N43" s="2">
        <f t="shared" si="18"/>
        <v>-48.422238532110086</v>
      </c>
    </row>
    <row r="44" spans="1:14" x14ac:dyDescent="0.3">
      <c r="A44">
        <v>0.6</v>
      </c>
      <c r="B44">
        <v>15</v>
      </c>
      <c r="C44">
        <v>2</v>
      </c>
      <c r="D44" s="9">
        <v>9.8000000000000007</v>
      </c>
      <c r="E44" s="3">
        <v>7.6139999999999999</v>
      </c>
      <c r="F44" s="8">
        <f t="shared" si="16"/>
        <v>12.87102705542422</v>
      </c>
      <c r="G44" s="9">
        <v>1.41</v>
      </c>
      <c r="H44" s="10">
        <v>2.8549999999999999E-3</v>
      </c>
      <c r="I44" s="11">
        <f t="shared" si="17"/>
        <v>34.607413590056048</v>
      </c>
      <c r="J44" s="9">
        <v>4.5</v>
      </c>
      <c r="K44" s="9">
        <v>31</v>
      </c>
      <c r="L44" s="14">
        <f t="shared" si="0"/>
        <v>-8.6658671858157081</v>
      </c>
      <c r="M44" s="6"/>
      <c r="N44" s="2">
        <f t="shared" si="18"/>
        <v>-83.267074413863398</v>
      </c>
    </row>
    <row r="45" spans="1:14" x14ac:dyDescent="0.3">
      <c r="A45">
        <v>0.6</v>
      </c>
      <c r="B45">
        <v>15</v>
      </c>
      <c r="C45">
        <v>4</v>
      </c>
      <c r="D45" s="1">
        <v>1.4</v>
      </c>
      <c r="E45" s="3">
        <v>7.6139999999999999</v>
      </c>
      <c r="F45" s="8">
        <f>(D45*10^-3)/(E45*10^-4)</f>
        <v>1.8387181507748882</v>
      </c>
      <c r="G45" s="9">
        <v>1.41</v>
      </c>
      <c r="H45" s="10">
        <v>1.4274999999999999E-3</v>
      </c>
      <c r="I45" s="11">
        <f>(F45)/((9.81*G45*10^-2))^(1/2)</f>
        <v>4.9439162271508623</v>
      </c>
      <c r="J45" s="9">
        <v>3</v>
      </c>
      <c r="K45" s="9">
        <v>0</v>
      </c>
      <c r="L45" s="14">
        <f t="shared" si="0"/>
        <v>58.589260778703682</v>
      </c>
      <c r="M45" s="6"/>
      <c r="N45" s="2">
        <f>-(1.7*K45^2)/19.62</f>
        <v>0</v>
      </c>
    </row>
    <row r="46" spans="1:14" x14ac:dyDescent="0.3">
      <c r="A46">
        <v>0.6</v>
      </c>
      <c r="B46">
        <v>15</v>
      </c>
      <c r="C46">
        <v>4</v>
      </c>
      <c r="D46" s="1">
        <v>2.8</v>
      </c>
      <c r="E46" s="3">
        <v>7.6139999999999999</v>
      </c>
      <c r="F46" s="8">
        <f t="shared" ref="F46:F51" si="19">(D46*10^-3)/(E46*10^-4)</f>
        <v>3.6774363015497764</v>
      </c>
      <c r="G46" s="9">
        <v>1.41</v>
      </c>
      <c r="H46" s="10">
        <v>1.4274999999999999E-3</v>
      </c>
      <c r="I46" s="11">
        <f t="shared" ref="I46:I51" si="20">(F46)/((9.81*G46*10^-2))^(1/2)</f>
        <v>9.8878324543017246</v>
      </c>
      <c r="J46" s="9">
        <v>4.5</v>
      </c>
      <c r="K46" s="9">
        <v>3.35</v>
      </c>
      <c r="L46" s="14">
        <f t="shared" si="0"/>
        <v>13.236571175623626</v>
      </c>
      <c r="M46" s="6"/>
      <c r="N46" s="2">
        <f t="shared" ref="N46:N51" si="21">-(1.7*K46^2)/19.62</f>
        <v>-0.97238786952089706</v>
      </c>
    </row>
    <row r="47" spans="1:14" x14ac:dyDescent="0.3">
      <c r="A47">
        <v>0.6</v>
      </c>
      <c r="B47">
        <v>15</v>
      </c>
      <c r="C47">
        <v>4</v>
      </c>
      <c r="D47" s="1">
        <v>4.2</v>
      </c>
      <c r="E47" s="3">
        <v>7.6139999999999999</v>
      </c>
      <c r="F47" s="8">
        <f t="shared" si="19"/>
        <v>5.5161544523246651</v>
      </c>
      <c r="G47" s="9">
        <v>1.41</v>
      </c>
      <c r="H47" s="10">
        <v>1.4274999999999999E-3</v>
      </c>
      <c r="I47" s="11">
        <f t="shared" si="20"/>
        <v>14.83174868145259</v>
      </c>
      <c r="J47" s="9">
        <v>4.5</v>
      </c>
      <c r="K47" s="9">
        <v>8.82</v>
      </c>
      <c r="L47" s="14">
        <f t="shared" si="0"/>
        <v>2.1636823541804087</v>
      </c>
      <c r="M47" s="6"/>
      <c r="N47" s="2">
        <f t="shared" si="21"/>
        <v>-6.7404220183486236</v>
      </c>
    </row>
    <row r="48" spans="1:14" x14ac:dyDescent="0.3">
      <c r="A48">
        <v>0.6</v>
      </c>
      <c r="B48">
        <v>15</v>
      </c>
      <c r="C48">
        <v>4</v>
      </c>
      <c r="D48" s="1">
        <v>5.6</v>
      </c>
      <c r="E48" s="3">
        <v>7.6139999999999999</v>
      </c>
      <c r="F48" s="8">
        <f t="shared" si="19"/>
        <v>7.3548726030995528</v>
      </c>
      <c r="G48" s="9">
        <v>1.41</v>
      </c>
      <c r="H48" s="10">
        <v>1.4274999999999999E-3</v>
      </c>
      <c r="I48" s="11">
        <f t="shared" si="20"/>
        <v>19.775664908603449</v>
      </c>
      <c r="J48" s="9">
        <v>4.5</v>
      </c>
      <c r="K48" s="9">
        <v>15.42</v>
      </c>
      <c r="L48" s="14">
        <f t="shared" si="0"/>
        <v>-3.8106959099918885</v>
      </c>
      <c r="M48" s="6"/>
      <c r="N48" s="2">
        <f t="shared" si="21"/>
        <v>-20.602440366972477</v>
      </c>
    </row>
    <row r="49" spans="1:14" x14ac:dyDescent="0.3">
      <c r="A49">
        <v>0.6</v>
      </c>
      <c r="B49">
        <v>15</v>
      </c>
      <c r="C49">
        <v>4</v>
      </c>
      <c r="D49" s="1">
        <v>7</v>
      </c>
      <c r="E49" s="3">
        <v>7.6139999999999999</v>
      </c>
      <c r="F49" s="8">
        <f t="shared" si="19"/>
        <v>9.1935907538744406</v>
      </c>
      <c r="G49" s="9">
        <v>1.41</v>
      </c>
      <c r="H49" s="10">
        <v>1.4274999999999999E-3</v>
      </c>
      <c r="I49" s="11">
        <f t="shared" si="20"/>
        <v>24.719581135754311</v>
      </c>
      <c r="J49" s="9">
        <v>4.5</v>
      </c>
      <c r="K49" s="9">
        <v>20.94</v>
      </c>
      <c r="L49" s="14">
        <f t="shared" si="0"/>
        <v>-6.4756854017235952</v>
      </c>
      <c r="M49" s="6"/>
      <c r="N49" s="2">
        <f t="shared" si="21"/>
        <v>-37.992972477064221</v>
      </c>
    </row>
    <row r="50" spans="1:14" x14ac:dyDescent="0.3">
      <c r="A50">
        <v>0.6</v>
      </c>
      <c r="B50">
        <v>15</v>
      </c>
      <c r="C50">
        <v>4</v>
      </c>
      <c r="D50" s="1">
        <v>8.4</v>
      </c>
      <c r="E50" s="3">
        <v>7.6139999999999999</v>
      </c>
      <c r="F50" s="8">
        <f t="shared" si="19"/>
        <v>11.03230890464933</v>
      </c>
      <c r="G50" s="9">
        <v>1.41</v>
      </c>
      <c r="H50" s="10">
        <v>1.4274999999999999E-3</v>
      </c>
      <c r="I50" s="11">
        <f t="shared" si="20"/>
        <v>29.663497362905179</v>
      </c>
      <c r="J50" s="9">
        <v>4.5</v>
      </c>
      <c r="K50" s="9">
        <v>27.44</v>
      </c>
      <c r="L50" s="14">
        <f t="shared" si="0"/>
        <v>-8.8893373238449005</v>
      </c>
      <c r="M50" s="6"/>
      <c r="N50" s="2">
        <f t="shared" si="21"/>
        <v>-65.240627930682976</v>
      </c>
    </row>
    <row r="51" spans="1:14" x14ac:dyDescent="0.3">
      <c r="A51">
        <v>0.6</v>
      </c>
      <c r="B51">
        <v>15</v>
      </c>
      <c r="C51">
        <v>4</v>
      </c>
      <c r="D51" s="9">
        <v>9.8000000000000007</v>
      </c>
      <c r="E51" s="3">
        <v>7.6139999999999999</v>
      </c>
      <c r="F51" s="8">
        <f t="shared" si="19"/>
        <v>12.87102705542422</v>
      </c>
      <c r="G51" s="9">
        <v>1.41</v>
      </c>
      <c r="H51" s="10">
        <v>1.4274999999999999E-3</v>
      </c>
      <c r="I51" s="11">
        <f t="shared" si="20"/>
        <v>34.607413590056048</v>
      </c>
      <c r="J51" s="9">
        <v>4.5</v>
      </c>
      <c r="K51" s="9">
        <v>32.74</v>
      </c>
      <c r="L51" s="14">
        <f t="shared" si="0"/>
        <v>-9.8039760932488953</v>
      </c>
      <c r="M51" s="6"/>
      <c r="N51" s="2">
        <f t="shared" si="21"/>
        <v>-92.876805300713571</v>
      </c>
    </row>
    <row r="52" spans="1:14" x14ac:dyDescent="0.3">
      <c r="A52">
        <v>0.6</v>
      </c>
      <c r="B52">
        <v>15</v>
      </c>
      <c r="C52">
        <v>6</v>
      </c>
      <c r="D52" s="1">
        <v>1.4</v>
      </c>
      <c r="E52" s="3">
        <v>7.6139999999999999</v>
      </c>
      <c r="F52" s="8">
        <f>(D52*10^-3)/(E52*10^-4)</f>
        <v>1.8387181507748882</v>
      </c>
      <c r="G52" s="9">
        <v>1.41</v>
      </c>
      <c r="H52" s="10">
        <v>9.5166666666666663E-4</v>
      </c>
      <c r="I52" s="11">
        <f>(F52)/((9.81*G52*10^-2))^(1/2)</f>
        <v>4.9439162271508623</v>
      </c>
      <c r="J52" s="9">
        <v>3</v>
      </c>
      <c r="K52" s="9">
        <v>0</v>
      </c>
      <c r="L52" s="14">
        <f t="shared" si="0"/>
        <v>58.589260778703682</v>
      </c>
      <c r="M52" s="6"/>
      <c r="N52" s="2">
        <f>-(1.7*K52^2)/19.62</f>
        <v>0</v>
      </c>
    </row>
    <row r="53" spans="1:14" x14ac:dyDescent="0.3">
      <c r="A53">
        <v>0.6</v>
      </c>
      <c r="B53">
        <v>15</v>
      </c>
      <c r="C53">
        <v>6</v>
      </c>
      <c r="D53" s="1">
        <v>2.8</v>
      </c>
      <c r="E53" s="3">
        <v>7.6139999999999999</v>
      </c>
      <c r="F53" s="8">
        <f t="shared" ref="F53:F58" si="22">(D53*10^-3)/(E53*10^-4)</f>
        <v>3.6774363015497764</v>
      </c>
      <c r="G53" s="9">
        <v>1.41</v>
      </c>
      <c r="H53" s="10">
        <v>9.5166666666666663E-4</v>
      </c>
      <c r="I53" s="11">
        <f t="shared" ref="I53:I58" si="23">(F53)/((9.81*G53*10^-2))^(1/2)</f>
        <v>9.8878324543017246</v>
      </c>
      <c r="J53" s="9">
        <v>4.5</v>
      </c>
      <c r="K53" s="9">
        <v>1.5</v>
      </c>
      <c r="L53" s="14">
        <f t="shared" si="0"/>
        <v>14.364475003732045</v>
      </c>
      <c r="M53" s="6"/>
      <c r="N53" s="2">
        <f t="shared" ref="N53:N58" si="24">-(1.7*K53^2)/19.62</f>
        <v>-0.19495412844036694</v>
      </c>
    </row>
    <row r="54" spans="1:14" x14ac:dyDescent="0.3">
      <c r="A54">
        <v>0.6</v>
      </c>
      <c r="B54">
        <v>15</v>
      </c>
      <c r="C54">
        <v>6</v>
      </c>
      <c r="D54" s="1">
        <v>4.2</v>
      </c>
      <c r="E54" s="3">
        <v>7.6139999999999999</v>
      </c>
      <c r="F54" s="8">
        <f t="shared" si="22"/>
        <v>5.5161544523246651</v>
      </c>
      <c r="G54" s="9">
        <v>1.41</v>
      </c>
      <c r="H54" s="10">
        <v>9.5166666666666663E-4</v>
      </c>
      <c r="I54" s="11">
        <f t="shared" si="23"/>
        <v>14.83174868145259</v>
      </c>
      <c r="J54" s="9">
        <v>4.5</v>
      </c>
      <c r="K54" s="9">
        <v>8.44</v>
      </c>
      <c r="L54" s="14">
        <f t="shared" si="0"/>
        <v>2.5301203283755114</v>
      </c>
      <c r="M54" s="6"/>
      <c r="N54" s="2">
        <f t="shared" si="24"/>
        <v>-6.1721264016309876</v>
      </c>
    </row>
    <row r="55" spans="1:14" x14ac:dyDescent="0.3">
      <c r="A55">
        <v>0.6</v>
      </c>
      <c r="B55">
        <v>15</v>
      </c>
      <c r="C55">
        <v>6</v>
      </c>
      <c r="D55" s="1">
        <v>5.6</v>
      </c>
      <c r="E55" s="3">
        <v>7.6139999999999999</v>
      </c>
      <c r="F55" s="8">
        <f t="shared" si="22"/>
        <v>7.3548726030995528</v>
      </c>
      <c r="G55" s="9">
        <v>1.41</v>
      </c>
      <c r="H55" s="10">
        <v>9.5166666666666663E-4</v>
      </c>
      <c r="I55" s="11">
        <f t="shared" si="23"/>
        <v>19.775664908603449</v>
      </c>
      <c r="J55" s="9">
        <v>4.5</v>
      </c>
      <c r="K55" s="9">
        <v>16.41</v>
      </c>
      <c r="L55" s="14">
        <f t="shared" si="0"/>
        <v>-4.8010042705436859</v>
      </c>
      <c r="M55" s="6"/>
      <c r="N55" s="2">
        <f t="shared" si="24"/>
        <v>-23.332811926605501</v>
      </c>
    </row>
    <row r="56" spans="1:14" x14ac:dyDescent="0.3">
      <c r="A56">
        <v>0.6</v>
      </c>
      <c r="B56">
        <v>15</v>
      </c>
      <c r="C56">
        <v>6</v>
      </c>
      <c r="D56" s="1">
        <v>7</v>
      </c>
      <c r="E56" s="3">
        <v>7.6139999999999999</v>
      </c>
      <c r="F56" s="8">
        <f t="shared" si="22"/>
        <v>9.1935907538744406</v>
      </c>
      <c r="G56" s="9">
        <v>1.41</v>
      </c>
      <c r="H56" s="10">
        <v>9.5166666666666663E-4</v>
      </c>
      <c r="I56" s="11">
        <f t="shared" si="23"/>
        <v>24.719581135754311</v>
      </c>
      <c r="J56" s="9">
        <v>4.5</v>
      </c>
      <c r="K56" s="9">
        <v>21.48</v>
      </c>
      <c r="L56" s="14">
        <f t="shared" si="0"/>
        <v>-6.936411708277423</v>
      </c>
      <c r="M56" s="6"/>
      <c r="N56" s="2">
        <f t="shared" si="24"/>
        <v>-39.977761467889906</v>
      </c>
    </row>
    <row r="57" spans="1:14" x14ac:dyDescent="0.3">
      <c r="A57">
        <v>0.6</v>
      </c>
      <c r="B57">
        <v>15</v>
      </c>
      <c r="C57">
        <v>6</v>
      </c>
      <c r="D57" s="1">
        <v>8.4</v>
      </c>
      <c r="E57" s="3">
        <v>7.6139999999999999</v>
      </c>
      <c r="F57" s="8">
        <f t="shared" si="22"/>
        <v>11.03230890464933</v>
      </c>
      <c r="G57" s="9">
        <v>1.41</v>
      </c>
      <c r="H57" s="10">
        <v>9.5166666666666663E-4</v>
      </c>
      <c r="I57" s="11">
        <f t="shared" si="23"/>
        <v>29.663497362905179</v>
      </c>
      <c r="J57" s="9">
        <v>4.5</v>
      </c>
      <c r="K57" s="9">
        <v>23.82</v>
      </c>
      <c r="L57" s="14">
        <f t="shared" si="0"/>
        <v>-6.2975266947202053</v>
      </c>
      <c r="M57" s="6"/>
      <c r="N57" s="2">
        <f t="shared" si="24"/>
        <v>-49.162440366972476</v>
      </c>
    </row>
    <row r="58" spans="1:14" x14ac:dyDescent="0.3">
      <c r="A58">
        <v>0.6</v>
      </c>
      <c r="B58">
        <v>15</v>
      </c>
      <c r="C58">
        <v>6</v>
      </c>
      <c r="D58" s="9">
        <v>9.8000000000000007</v>
      </c>
      <c r="E58" s="3">
        <v>7.6139999999999999</v>
      </c>
      <c r="F58" s="8">
        <f t="shared" si="22"/>
        <v>12.87102705542422</v>
      </c>
      <c r="G58" s="9">
        <v>1.41</v>
      </c>
      <c r="H58" s="10">
        <v>9.5166666666666663E-4</v>
      </c>
      <c r="I58" s="11">
        <f t="shared" si="23"/>
        <v>34.607413590056048</v>
      </c>
      <c r="J58" s="9">
        <v>4.5</v>
      </c>
      <c r="K58" s="9">
        <v>26.46</v>
      </c>
      <c r="L58" s="14">
        <f t="shared" si="0"/>
        <v>-5.988894194714617</v>
      </c>
      <c r="M58" s="6"/>
      <c r="N58" s="2">
        <f t="shared" si="24"/>
        <v>-60.663798165137607</v>
      </c>
    </row>
    <row r="59" spans="1:14" x14ac:dyDescent="0.3">
      <c r="A59">
        <v>0.6</v>
      </c>
      <c r="B59">
        <v>20</v>
      </c>
      <c r="C59">
        <v>1</v>
      </c>
      <c r="D59" s="1">
        <v>1.8</v>
      </c>
      <c r="E59" s="3">
        <v>10.151999999999999</v>
      </c>
      <c r="F59" s="8">
        <f>(D59*10^-3)/(E59*10^-4)</f>
        <v>1.7730496453900713</v>
      </c>
      <c r="G59" s="9">
        <v>1.88</v>
      </c>
      <c r="H59" s="10">
        <v>6.9699999999999996E-3</v>
      </c>
      <c r="I59" s="11">
        <f>(F59)/((9.81*G59*10^-2))^(1/2)</f>
        <v>4.1286442952199529</v>
      </c>
      <c r="J59" s="9">
        <v>3</v>
      </c>
      <c r="K59" s="9">
        <v>0</v>
      </c>
      <c r="L59" s="14">
        <f t="shared" si="0"/>
        <v>63.00957537791998</v>
      </c>
      <c r="M59" s="6"/>
      <c r="N59" s="2">
        <f>-(1.7*K59^2)/19.62</f>
        <v>0</v>
      </c>
    </row>
    <row r="60" spans="1:14" x14ac:dyDescent="0.3">
      <c r="A60">
        <v>0.6</v>
      </c>
      <c r="B60">
        <v>20</v>
      </c>
      <c r="C60">
        <v>1</v>
      </c>
      <c r="D60" s="1">
        <v>3.6</v>
      </c>
      <c r="E60" s="3">
        <v>10.151999999999999</v>
      </c>
      <c r="F60" s="8">
        <f t="shared" ref="F60:F65" si="25">(D60*10^-3)/(E60*10^-4)</f>
        <v>3.5460992907801425</v>
      </c>
      <c r="G60" s="9">
        <v>1.88</v>
      </c>
      <c r="H60" s="10">
        <v>6.9699999999999996E-3</v>
      </c>
      <c r="I60" s="11">
        <f t="shared" ref="I60:I65" si="26">(F60)/((9.81*G60*10^-2))^(1/2)</f>
        <v>8.2572885904399058</v>
      </c>
      <c r="J60" s="9">
        <v>4.5</v>
      </c>
      <c r="K60" s="9">
        <v>2.1</v>
      </c>
      <c r="L60" s="14">
        <f t="shared" si="0"/>
        <v>15.156202416479996</v>
      </c>
      <c r="M60" s="6"/>
      <c r="N60" s="2">
        <f t="shared" ref="N60:N65" si="27">-(1.7*K60^2)/19.62</f>
        <v>-0.38211009174311922</v>
      </c>
    </row>
    <row r="61" spans="1:14" x14ac:dyDescent="0.3">
      <c r="A61">
        <v>0.6</v>
      </c>
      <c r="B61">
        <v>20</v>
      </c>
      <c r="C61">
        <v>1</v>
      </c>
      <c r="D61" s="1">
        <v>5.4</v>
      </c>
      <c r="E61" s="3">
        <v>10.151999999999999</v>
      </c>
      <c r="F61" s="8">
        <f t="shared" si="25"/>
        <v>5.3191489361702136</v>
      </c>
      <c r="G61" s="9">
        <v>1.88</v>
      </c>
      <c r="H61" s="10">
        <v>6.9699999999999996E-3</v>
      </c>
      <c r="I61" s="11">
        <f t="shared" si="26"/>
        <v>12.385932885659859</v>
      </c>
      <c r="J61" s="9">
        <v>4.5</v>
      </c>
      <c r="K61" s="9">
        <v>7.02</v>
      </c>
      <c r="L61" s="14">
        <f t="shared" si="0"/>
        <v>4.0400609529600002</v>
      </c>
      <c r="M61" s="6"/>
      <c r="N61" s="2">
        <f t="shared" si="27"/>
        <v>-4.2699633027522923</v>
      </c>
    </row>
    <row r="62" spans="1:14" x14ac:dyDescent="0.3">
      <c r="A62">
        <v>0.6</v>
      </c>
      <c r="B62">
        <v>20</v>
      </c>
      <c r="C62">
        <v>1</v>
      </c>
      <c r="D62" s="1">
        <v>7.2</v>
      </c>
      <c r="E62" s="3">
        <v>10.151999999999999</v>
      </c>
      <c r="F62" s="8">
        <f t="shared" si="25"/>
        <v>7.092198581560285</v>
      </c>
      <c r="G62" s="9">
        <v>1.88</v>
      </c>
      <c r="H62" s="10">
        <v>6.9699999999999996E-3</v>
      </c>
      <c r="I62" s="11">
        <f t="shared" si="26"/>
        <v>16.514577180879812</v>
      </c>
      <c r="J62" s="9">
        <v>4.5</v>
      </c>
      <c r="K62" s="9">
        <v>11.72</v>
      </c>
      <c r="L62" s="14">
        <f t="shared" si="0"/>
        <v>-0.70429953455999961</v>
      </c>
      <c r="M62" s="6"/>
      <c r="N62" s="2">
        <f t="shared" si="27"/>
        <v>-11.901594291539245</v>
      </c>
    </row>
    <row r="63" spans="1:14" x14ac:dyDescent="0.3">
      <c r="A63">
        <v>0.6</v>
      </c>
      <c r="B63">
        <v>20</v>
      </c>
      <c r="C63">
        <v>1</v>
      </c>
      <c r="D63" s="1">
        <v>9</v>
      </c>
      <c r="E63" s="3">
        <v>10.151999999999999</v>
      </c>
      <c r="F63" s="8">
        <f t="shared" si="25"/>
        <v>8.8652482269503565</v>
      </c>
      <c r="G63" s="9">
        <v>1.88</v>
      </c>
      <c r="H63" s="10">
        <v>6.9699999999999996E-3</v>
      </c>
      <c r="I63" s="11">
        <f t="shared" si="26"/>
        <v>20.643221476099765</v>
      </c>
      <c r="J63" s="9">
        <v>4.5</v>
      </c>
      <c r="K63" s="9">
        <v>15.68</v>
      </c>
      <c r="L63" s="14">
        <f t="shared" si="0"/>
        <v>-2.7977505122303983</v>
      </c>
      <c r="M63" s="6"/>
      <c r="N63" s="2">
        <f t="shared" si="27"/>
        <v>-21.303062181447501</v>
      </c>
    </row>
    <row r="64" spans="1:14" x14ac:dyDescent="0.3">
      <c r="A64">
        <v>0.6</v>
      </c>
      <c r="B64">
        <v>20</v>
      </c>
      <c r="C64">
        <v>1</v>
      </c>
      <c r="D64" s="1">
        <v>10.8</v>
      </c>
      <c r="E64" s="3">
        <v>10.151999999999999</v>
      </c>
      <c r="F64" s="8">
        <f t="shared" si="25"/>
        <v>10.638297872340427</v>
      </c>
      <c r="G64" s="9">
        <v>1.88</v>
      </c>
      <c r="H64" s="10">
        <v>6.9699999999999996E-3</v>
      </c>
      <c r="I64" s="11">
        <f t="shared" si="26"/>
        <v>24.771865771319717</v>
      </c>
      <c r="J64" s="9">
        <v>4.5</v>
      </c>
      <c r="K64" s="9">
        <v>19.38</v>
      </c>
      <c r="L64" s="14">
        <f t="shared" si="0"/>
        <v>-3.8914624065599983</v>
      </c>
      <c r="M64" s="6"/>
      <c r="N64" s="2">
        <f t="shared" si="27"/>
        <v>-32.542990825688065</v>
      </c>
    </row>
    <row r="65" spans="1:14" x14ac:dyDescent="0.3">
      <c r="A65">
        <v>0.6</v>
      </c>
      <c r="B65">
        <v>20</v>
      </c>
      <c r="C65">
        <v>1</v>
      </c>
      <c r="D65" s="1">
        <v>13.1</v>
      </c>
      <c r="E65" s="3">
        <v>10.151999999999999</v>
      </c>
      <c r="F65" s="8">
        <f t="shared" si="25"/>
        <v>12.903861308116628</v>
      </c>
      <c r="G65" s="9">
        <v>1.88</v>
      </c>
      <c r="H65" s="10">
        <v>6.9699999999999996E-3</v>
      </c>
      <c r="I65" s="11">
        <f t="shared" si="26"/>
        <v>30.047355704100763</v>
      </c>
      <c r="J65" s="9">
        <v>4.5</v>
      </c>
      <c r="K65" s="9">
        <v>23.77</v>
      </c>
      <c r="L65" s="14">
        <f t="shared" si="0"/>
        <v>-4.5789446502782249</v>
      </c>
      <c r="M65" s="6"/>
      <c r="N65" s="2">
        <f t="shared" si="27"/>
        <v>-48.956265545361866</v>
      </c>
    </row>
    <row r="66" spans="1:14" x14ac:dyDescent="0.3">
      <c r="A66">
        <v>0.6</v>
      </c>
      <c r="B66">
        <v>20</v>
      </c>
      <c r="C66">
        <v>2</v>
      </c>
      <c r="D66" s="1">
        <v>1.8</v>
      </c>
      <c r="E66" s="3">
        <v>10.151999999999999</v>
      </c>
      <c r="F66" s="8">
        <f>(D66*10^-3)/(E66*10^-4)</f>
        <v>1.7730496453900713</v>
      </c>
      <c r="G66" s="9">
        <v>1.88</v>
      </c>
      <c r="H66" s="10">
        <v>3.4849999999999998E-3</v>
      </c>
      <c r="I66" s="11">
        <f>(F66)/((9.81*G66*10^-2))^(1/2)</f>
        <v>4.1286442952199529</v>
      </c>
      <c r="J66" s="9">
        <v>3</v>
      </c>
      <c r="K66" s="9">
        <v>0</v>
      </c>
      <c r="L66" s="14">
        <f t="shared" si="0"/>
        <v>63.00957537791998</v>
      </c>
      <c r="M66" s="6"/>
      <c r="N66" s="2">
        <f>-(1.7*K66^2)/19.62</f>
        <v>0</v>
      </c>
    </row>
    <row r="67" spans="1:14" x14ac:dyDescent="0.3">
      <c r="A67">
        <v>0.6</v>
      </c>
      <c r="B67">
        <v>20</v>
      </c>
      <c r="C67">
        <v>2</v>
      </c>
      <c r="D67" s="1">
        <v>3.6</v>
      </c>
      <c r="E67" s="3">
        <v>10.151999999999999</v>
      </c>
      <c r="F67" s="8">
        <f t="shared" ref="F67:F72" si="28">(D67*10^-3)/(E67*10^-4)</f>
        <v>3.5460992907801425</v>
      </c>
      <c r="G67" s="9">
        <v>1.88</v>
      </c>
      <c r="H67" s="10">
        <v>3.4849999999999998E-3</v>
      </c>
      <c r="I67" s="11">
        <f t="shared" ref="I67:I72" si="29">(F67)/((9.81*G67*10^-2))^(1/2)</f>
        <v>8.2572885904399058</v>
      </c>
      <c r="J67" s="9">
        <v>4.5</v>
      </c>
      <c r="K67" s="9">
        <v>0</v>
      </c>
      <c r="L67" s="14">
        <f t="shared" ref="L67:L130" si="30">(10.33+N67-0.234)/((F67^2)/19.62)</f>
        <v>15.752393844479995</v>
      </c>
      <c r="M67" s="6"/>
      <c r="N67" s="2">
        <f t="shared" ref="N67:N72" si="31">-(1.7*K67^2)/19.62</f>
        <v>0</v>
      </c>
    </row>
    <row r="68" spans="1:14" x14ac:dyDescent="0.3">
      <c r="A68">
        <v>0.6</v>
      </c>
      <c r="B68">
        <v>20</v>
      </c>
      <c r="C68">
        <v>2</v>
      </c>
      <c r="D68" s="1">
        <v>5.4</v>
      </c>
      <c r="E68" s="3">
        <v>10.151999999999999</v>
      </c>
      <c r="F68" s="8">
        <f t="shared" si="28"/>
        <v>5.3191489361702136</v>
      </c>
      <c r="G68" s="9">
        <v>1.88</v>
      </c>
      <c r="H68" s="10">
        <v>3.4849999999999998E-3</v>
      </c>
      <c r="I68" s="11">
        <f t="shared" si="29"/>
        <v>12.385932885659859</v>
      </c>
      <c r="J68" s="9">
        <v>4.5</v>
      </c>
      <c r="K68" s="9">
        <v>7.65</v>
      </c>
      <c r="L68" s="14">
        <f t="shared" si="30"/>
        <v>3.4847512228799995</v>
      </c>
      <c r="M68" s="6"/>
      <c r="N68" s="2">
        <f t="shared" si="31"/>
        <v>-5.0707568807339447</v>
      </c>
    </row>
    <row r="69" spans="1:14" x14ac:dyDescent="0.3">
      <c r="A69">
        <v>0.6</v>
      </c>
      <c r="B69">
        <v>20</v>
      </c>
      <c r="C69">
        <v>2</v>
      </c>
      <c r="D69" s="1">
        <v>7.2</v>
      </c>
      <c r="E69" s="3">
        <v>10.151999999999999</v>
      </c>
      <c r="F69" s="8">
        <f t="shared" si="28"/>
        <v>7.092198581560285</v>
      </c>
      <c r="G69" s="9">
        <v>1.88</v>
      </c>
      <c r="H69" s="10">
        <v>3.4849999999999998E-3</v>
      </c>
      <c r="I69" s="11">
        <f t="shared" si="29"/>
        <v>16.514577180879812</v>
      </c>
      <c r="J69" s="9">
        <v>4.5</v>
      </c>
      <c r="K69" s="9">
        <v>11.27</v>
      </c>
      <c r="L69" s="14">
        <f t="shared" si="30"/>
        <v>-0.35464542920999897</v>
      </c>
      <c r="M69" s="6"/>
      <c r="N69" s="2">
        <f t="shared" si="31"/>
        <v>-11.005195208970436</v>
      </c>
    </row>
    <row r="70" spans="1:14" x14ac:dyDescent="0.3">
      <c r="A70">
        <v>0.6</v>
      </c>
      <c r="B70">
        <v>20</v>
      </c>
      <c r="C70">
        <v>2</v>
      </c>
      <c r="D70" s="1">
        <v>9</v>
      </c>
      <c r="E70" s="3">
        <v>10.151999999999999</v>
      </c>
      <c r="F70" s="8">
        <f t="shared" si="28"/>
        <v>8.8652482269503565</v>
      </c>
      <c r="G70" s="9">
        <v>1.88</v>
      </c>
      <c r="H70" s="10">
        <v>3.4849999999999998E-3</v>
      </c>
      <c r="I70" s="11">
        <f t="shared" si="29"/>
        <v>20.643221476099765</v>
      </c>
      <c r="J70" s="9">
        <v>4.5</v>
      </c>
      <c r="K70" s="9">
        <v>16.53</v>
      </c>
      <c r="L70" s="14">
        <f t="shared" si="30"/>
        <v>-3.3899619230783977</v>
      </c>
      <c r="M70" s="6"/>
      <c r="N70" s="2">
        <f t="shared" si="31"/>
        <v>-23.675307339449539</v>
      </c>
    </row>
    <row r="71" spans="1:14" x14ac:dyDescent="0.3">
      <c r="A71">
        <v>0.6</v>
      </c>
      <c r="B71">
        <v>20</v>
      </c>
      <c r="C71">
        <v>2</v>
      </c>
      <c r="D71" s="1">
        <v>10.8</v>
      </c>
      <c r="E71" s="3">
        <v>10.151999999999999</v>
      </c>
      <c r="F71" s="8">
        <f t="shared" si="28"/>
        <v>10.638297872340427</v>
      </c>
      <c r="G71" s="9">
        <v>1.88</v>
      </c>
      <c r="H71" s="10">
        <v>3.4849999999999998E-3</v>
      </c>
      <c r="I71" s="11">
        <f t="shared" si="29"/>
        <v>24.771865771319717</v>
      </c>
      <c r="J71" s="9">
        <v>4.5</v>
      </c>
      <c r="K71" s="9">
        <v>21.78</v>
      </c>
      <c r="L71" s="14">
        <f t="shared" si="30"/>
        <v>-5.3753166273599993</v>
      </c>
      <c r="M71" s="6"/>
      <c r="N71" s="2">
        <f t="shared" si="31"/>
        <v>-41.102256880733947</v>
      </c>
    </row>
    <row r="72" spans="1:14" x14ac:dyDescent="0.3">
      <c r="A72">
        <v>0.6</v>
      </c>
      <c r="B72">
        <v>20</v>
      </c>
      <c r="C72">
        <v>2</v>
      </c>
      <c r="D72" s="1">
        <v>13.1</v>
      </c>
      <c r="E72" s="3">
        <v>10.151999999999999</v>
      </c>
      <c r="F72" s="8">
        <f t="shared" si="28"/>
        <v>12.903861308116628</v>
      </c>
      <c r="G72" s="9">
        <v>1.88</v>
      </c>
      <c r="H72" s="10">
        <v>3.4849999999999998E-3</v>
      </c>
      <c r="I72" s="11">
        <f t="shared" si="29"/>
        <v>30.047355704100763</v>
      </c>
      <c r="J72" s="9">
        <v>4.5</v>
      </c>
      <c r="K72" s="9">
        <v>28.62</v>
      </c>
      <c r="L72" s="14">
        <f t="shared" si="30"/>
        <v>-7.1731221325360899</v>
      </c>
      <c r="M72" s="6"/>
      <c r="N72" s="2">
        <f t="shared" si="31"/>
        <v>-70.972348623853208</v>
      </c>
    </row>
    <row r="73" spans="1:14" x14ac:dyDescent="0.3">
      <c r="A73">
        <v>0.6</v>
      </c>
      <c r="B73">
        <v>20</v>
      </c>
      <c r="C73">
        <v>4</v>
      </c>
      <c r="D73" s="1">
        <v>1.8</v>
      </c>
      <c r="E73" s="3">
        <v>10.151999999999999</v>
      </c>
      <c r="F73" s="8">
        <f>(D73*10^-3)/(E73*10^-4)</f>
        <v>1.7730496453900713</v>
      </c>
      <c r="G73" s="9">
        <v>1.88</v>
      </c>
      <c r="H73" s="10">
        <v>1.7424999999999999E-3</v>
      </c>
      <c r="I73" s="11">
        <f>(F73)/((9.81*G73*10^-2))^(1/2)</f>
        <v>4.1286442952199529</v>
      </c>
      <c r="J73" s="9">
        <v>3</v>
      </c>
      <c r="K73" s="9">
        <v>0</v>
      </c>
      <c r="L73" s="14">
        <f t="shared" si="30"/>
        <v>63.00957537791998</v>
      </c>
      <c r="M73" s="6"/>
      <c r="N73" s="2">
        <f>-(1.7*K73^2)/19.62</f>
        <v>0</v>
      </c>
    </row>
    <row r="74" spans="1:14" x14ac:dyDescent="0.3">
      <c r="A74">
        <v>0.6</v>
      </c>
      <c r="B74">
        <v>20</v>
      </c>
      <c r="C74">
        <v>4</v>
      </c>
      <c r="D74" s="1">
        <v>3.6</v>
      </c>
      <c r="E74" s="3">
        <v>10.151999999999999</v>
      </c>
      <c r="F74" s="8">
        <f t="shared" ref="F74:F79" si="32">(D74*10^-3)/(E74*10^-4)</f>
        <v>3.5460992907801425</v>
      </c>
      <c r="G74" s="9">
        <v>1.88</v>
      </c>
      <c r="H74" s="10">
        <v>1.7424999999999999E-3</v>
      </c>
      <c r="I74" s="11">
        <f t="shared" ref="I74:I79" si="33">(F74)/((9.81*G74*10^-2))^(1/2)</f>
        <v>8.2572885904399058</v>
      </c>
      <c r="J74" s="9">
        <v>4.5</v>
      </c>
      <c r="K74" s="9">
        <v>0</v>
      </c>
      <c r="L74" s="14">
        <f t="shared" si="30"/>
        <v>15.752393844479995</v>
      </c>
      <c r="M74" s="6"/>
      <c r="N74" s="2">
        <f t="shared" ref="N74:N79" si="34">-(1.7*K74^2)/19.62</f>
        <v>0</v>
      </c>
    </row>
    <row r="75" spans="1:14" x14ac:dyDescent="0.3">
      <c r="A75">
        <v>0.6</v>
      </c>
      <c r="B75">
        <v>20</v>
      </c>
      <c r="C75">
        <v>4</v>
      </c>
      <c r="D75" s="1">
        <v>5.4</v>
      </c>
      <c r="E75" s="3">
        <v>10.151999999999999</v>
      </c>
      <c r="F75" s="8">
        <f t="shared" si="32"/>
        <v>5.3191489361702136</v>
      </c>
      <c r="G75" s="9">
        <v>1.88</v>
      </c>
      <c r="H75" s="10">
        <v>1.7424999999999999E-3</v>
      </c>
      <c r="I75" s="11">
        <f t="shared" si="33"/>
        <v>12.385932885659859</v>
      </c>
      <c r="J75" s="9">
        <v>4.5</v>
      </c>
      <c r="K75" s="9">
        <v>7.71</v>
      </c>
      <c r="L75" s="14">
        <f t="shared" si="30"/>
        <v>3.4293770711999993</v>
      </c>
      <c r="M75" s="6"/>
      <c r="N75" s="2">
        <f t="shared" si="34"/>
        <v>-5.1506100917431192</v>
      </c>
    </row>
    <row r="76" spans="1:14" x14ac:dyDescent="0.3">
      <c r="A76">
        <v>0.6</v>
      </c>
      <c r="B76">
        <v>20</v>
      </c>
      <c r="C76">
        <v>4</v>
      </c>
      <c r="D76" s="1">
        <v>7.2</v>
      </c>
      <c r="E76" s="3">
        <v>10.151999999999999</v>
      </c>
      <c r="F76" s="8">
        <f t="shared" si="32"/>
        <v>7.092198581560285</v>
      </c>
      <c r="G76" s="9">
        <v>1.88</v>
      </c>
      <c r="H76" s="10">
        <v>1.7424999999999999E-3</v>
      </c>
      <c r="I76" s="11">
        <f t="shared" si="33"/>
        <v>16.514577180879812</v>
      </c>
      <c r="J76" s="9">
        <v>4.5</v>
      </c>
      <c r="K76" s="9">
        <v>11.48</v>
      </c>
      <c r="L76" s="14">
        <f t="shared" si="30"/>
        <v>-0.51611394095999952</v>
      </c>
      <c r="M76" s="6"/>
      <c r="N76" s="2">
        <f t="shared" si="34"/>
        <v>-11.419147808358817</v>
      </c>
    </row>
    <row r="77" spans="1:14" x14ac:dyDescent="0.3">
      <c r="A77">
        <v>0.6</v>
      </c>
      <c r="B77">
        <v>20</v>
      </c>
      <c r="C77">
        <v>4</v>
      </c>
      <c r="D77" s="1">
        <v>9</v>
      </c>
      <c r="E77" s="3">
        <v>10.151999999999999</v>
      </c>
      <c r="F77" s="8">
        <f t="shared" si="32"/>
        <v>8.8652482269503565</v>
      </c>
      <c r="G77" s="9">
        <v>1.88</v>
      </c>
      <c r="H77" s="10">
        <v>1.7424999999999999E-3</v>
      </c>
      <c r="I77" s="11">
        <f t="shared" si="33"/>
        <v>20.643221476099765</v>
      </c>
      <c r="J77" s="9">
        <v>4.5</v>
      </c>
      <c r="K77" s="9">
        <v>17.010000000000002</v>
      </c>
      <c r="L77" s="14">
        <f t="shared" si="30"/>
        <v>-3.7381961194559987</v>
      </c>
      <c r="M77" s="6"/>
      <c r="N77" s="2">
        <f t="shared" si="34"/>
        <v>-25.070243119266056</v>
      </c>
    </row>
    <row r="78" spans="1:14" x14ac:dyDescent="0.3">
      <c r="A78">
        <v>0.6</v>
      </c>
      <c r="B78">
        <v>20</v>
      </c>
      <c r="C78">
        <v>4</v>
      </c>
      <c r="D78" s="1">
        <v>10.8</v>
      </c>
      <c r="E78" s="3">
        <v>10.151999999999999</v>
      </c>
      <c r="F78" s="8">
        <f t="shared" si="32"/>
        <v>10.638297872340427</v>
      </c>
      <c r="G78" s="9">
        <v>1.88</v>
      </c>
      <c r="H78" s="10">
        <v>1.7424999999999999E-3</v>
      </c>
      <c r="I78" s="11">
        <f t="shared" si="33"/>
        <v>24.771865771319717</v>
      </c>
      <c r="J78" s="9">
        <v>4.5</v>
      </c>
      <c r="K78" s="9">
        <v>23.64</v>
      </c>
      <c r="L78" s="14">
        <f t="shared" si="30"/>
        <v>-6.6443256287999981</v>
      </c>
      <c r="M78" s="6"/>
      <c r="N78" s="2">
        <f t="shared" si="34"/>
        <v>-48.422238532110086</v>
      </c>
    </row>
    <row r="79" spans="1:14" x14ac:dyDescent="0.3">
      <c r="A79">
        <v>0.6</v>
      </c>
      <c r="B79">
        <v>20</v>
      </c>
      <c r="C79">
        <v>4</v>
      </c>
      <c r="D79" s="1">
        <v>13.1</v>
      </c>
      <c r="E79" s="3">
        <v>10.151999999999999</v>
      </c>
      <c r="F79" s="8">
        <f t="shared" si="32"/>
        <v>12.903861308116628</v>
      </c>
      <c r="G79" s="9">
        <v>1.88</v>
      </c>
      <c r="H79" s="10">
        <v>1.7424999999999999E-3</v>
      </c>
      <c r="I79" s="11">
        <f t="shared" si="33"/>
        <v>30.047355704100763</v>
      </c>
      <c r="J79" s="9">
        <v>4.5</v>
      </c>
      <c r="K79" s="9">
        <v>29.12</v>
      </c>
      <c r="L79" s="14">
        <f t="shared" si="30"/>
        <v>-7.4678738417148081</v>
      </c>
      <c r="M79" s="6"/>
      <c r="N79" s="2">
        <f t="shared" si="34"/>
        <v>-73.473826707441376</v>
      </c>
    </row>
    <row r="80" spans="1:14" x14ac:dyDescent="0.3">
      <c r="A80">
        <v>0.6</v>
      </c>
      <c r="B80">
        <v>20</v>
      </c>
      <c r="C80">
        <v>6</v>
      </c>
      <c r="D80" s="1">
        <v>1.8</v>
      </c>
      <c r="E80" s="3">
        <v>10.151999999999999</v>
      </c>
      <c r="F80" s="8">
        <f>(D80*10^-3)/(E80*10^-4)</f>
        <v>1.7730496453900713</v>
      </c>
      <c r="G80" s="9">
        <v>1.88</v>
      </c>
      <c r="H80" s="10">
        <v>1.1616666666666665E-3</v>
      </c>
      <c r="I80" s="11">
        <f>(F80)/((9.81*G80*10^-2))^(1/2)</f>
        <v>4.1286442952199529</v>
      </c>
      <c r="J80" s="9">
        <v>3</v>
      </c>
      <c r="K80" s="9">
        <v>0</v>
      </c>
      <c r="L80" s="14">
        <f t="shared" si="30"/>
        <v>63.00957537791998</v>
      </c>
      <c r="M80" s="6"/>
      <c r="N80" s="2">
        <f>-(1.7*K80^2)/19.62</f>
        <v>0</v>
      </c>
    </row>
    <row r="81" spans="1:14" x14ac:dyDescent="0.3">
      <c r="A81">
        <v>0.6</v>
      </c>
      <c r="B81">
        <v>20</v>
      </c>
      <c r="C81">
        <v>6</v>
      </c>
      <c r="D81" s="1">
        <v>3.6</v>
      </c>
      <c r="E81" s="3">
        <v>10.151999999999999</v>
      </c>
      <c r="F81" s="8">
        <f t="shared" ref="F81:F86" si="35">(D81*10^-3)/(E81*10^-4)</f>
        <v>3.5460992907801425</v>
      </c>
      <c r="G81" s="9">
        <v>1.88</v>
      </c>
      <c r="H81" s="10">
        <v>1.1616666666666665E-3</v>
      </c>
      <c r="I81" s="11">
        <f t="shared" ref="I81:I86" si="36">(F81)/((9.81*G81*10^-2))^(1/2)</f>
        <v>8.2572885904399058</v>
      </c>
      <c r="J81" s="9">
        <v>4.5</v>
      </c>
      <c r="K81" s="9">
        <v>0</v>
      </c>
      <c r="L81" s="14">
        <f t="shared" si="30"/>
        <v>15.752393844479995</v>
      </c>
      <c r="M81" s="6"/>
      <c r="N81" s="2">
        <f t="shared" ref="N81:N86" si="37">-(1.7*K81^2)/19.62</f>
        <v>0</v>
      </c>
    </row>
    <row r="82" spans="1:14" x14ac:dyDescent="0.3">
      <c r="A82">
        <v>0.6</v>
      </c>
      <c r="B82">
        <v>20</v>
      </c>
      <c r="C82">
        <v>6</v>
      </c>
      <c r="D82" s="1">
        <v>5.4</v>
      </c>
      <c r="E82" s="3">
        <v>10.151999999999999</v>
      </c>
      <c r="F82" s="8">
        <f t="shared" si="35"/>
        <v>5.3191489361702136</v>
      </c>
      <c r="G82" s="9">
        <v>1.88</v>
      </c>
      <c r="H82" s="10">
        <v>1.1616666666666665E-3</v>
      </c>
      <c r="I82" s="11">
        <f t="shared" si="36"/>
        <v>12.385932885659859</v>
      </c>
      <c r="J82" s="9">
        <v>4.5</v>
      </c>
      <c r="K82" s="9">
        <v>2.7</v>
      </c>
      <c r="L82" s="14">
        <f t="shared" si="30"/>
        <v>6.5630457388799979</v>
      </c>
      <c r="M82" s="6"/>
      <c r="N82" s="2">
        <f t="shared" si="37"/>
        <v>-0.63165137614678901</v>
      </c>
    </row>
    <row r="83" spans="1:14" x14ac:dyDescent="0.3">
      <c r="A83">
        <v>0.6</v>
      </c>
      <c r="B83">
        <v>20</v>
      </c>
      <c r="C83">
        <v>6</v>
      </c>
      <c r="D83" s="1">
        <v>7.2</v>
      </c>
      <c r="E83" s="3">
        <v>10.151999999999999</v>
      </c>
      <c r="F83" s="8">
        <f t="shared" si="35"/>
        <v>7.092198581560285</v>
      </c>
      <c r="G83" s="9">
        <v>1.88</v>
      </c>
      <c r="H83" s="10">
        <v>1.1616666666666665E-3</v>
      </c>
      <c r="I83" s="11">
        <f t="shared" si="36"/>
        <v>16.514577180879812</v>
      </c>
      <c r="J83" s="9">
        <v>4.5</v>
      </c>
      <c r="K83" s="9">
        <v>8.1199999999999992</v>
      </c>
      <c r="L83" s="14">
        <f t="shared" si="30"/>
        <v>1.7096673902400004</v>
      </c>
      <c r="M83" s="6"/>
      <c r="N83" s="2">
        <f t="shared" si="37"/>
        <v>-5.7129704383282345</v>
      </c>
    </row>
    <row r="84" spans="1:14" x14ac:dyDescent="0.3">
      <c r="A84">
        <v>0.6</v>
      </c>
      <c r="B84">
        <v>20</v>
      </c>
      <c r="C84">
        <v>6</v>
      </c>
      <c r="D84" s="1">
        <v>9</v>
      </c>
      <c r="E84" s="3">
        <v>10.151999999999999</v>
      </c>
      <c r="F84" s="8">
        <f t="shared" si="35"/>
        <v>8.8652482269503565</v>
      </c>
      <c r="G84" s="9">
        <v>1.88</v>
      </c>
      <c r="H84" s="10">
        <v>1.1616666666666665E-3</v>
      </c>
      <c r="I84" s="11">
        <f t="shared" si="36"/>
        <v>20.643221476099765</v>
      </c>
      <c r="J84" s="9">
        <v>4.5</v>
      </c>
      <c r="K84" s="9">
        <v>14.72</v>
      </c>
      <c r="L84" s="14">
        <f t="shared" si="30"/>
        <v>-2.1664851830783984</v>
      </c>
      <c r="M84" s="6"/>
      <c r="N84" s="2">
        <f t="shared" si="37"/>
        <v>-18.774377166156981</v>
      </c>
    </row>
    <row r="85" spans="1:14" x14ac:dyDescent="0.3">
      <c r="A85">
        <v>0.6</v>
      </c>
      <c r="B85">
        <v>20</v>
      </c>
      <c r="C85">
        <v>6</v>
      </c>
      <c r="D85" s="1">
        <v>10.8</v>
      </c>
      <c r="E85" s="3">
        <v>10.151999999999999</v>
      </c>
      <c r="F85" s="8">
        <f t="shared" si="35"/>
        <v>10.638297872340427</v>
      </c>
      <c r="G85" s="9">
        <v>1.88</v>
      </c>
      <c r="H85" s="10">
        <v>1.1616666666666665E-3</v>
      </c>
      <c r="I85" s="11">
        <f t="shared" si="36"/>
        <v>24.771865771319717</v>
      </c>
      <c r="J85" s="9">
        <v>4.5</v>
      </c>
      <c r="K85" s="9">
        <v>18.18</v>
      </c>
      <c r="L85" s="14">
        <f t="shared" si="30"/>
        <v>-3.2144268801599991</v>
      </c>
      <c r="M85" s="6"/>
      <c r="N85" s="2">
        <f t="shared" si="37"/>
        <v>-28.637669724770642</v>
      </c>
    </row>
    <row r="86" spans="1:14" x14ac:dyDescent="0.3">
      <c r="A86">
        <v>0.6</v>
      </c>
      <c r="B86">
        <v>20</v>
      </c>
      <c r="C86">
        <v>6</v>
      </c>
      <c r="D86" s="1">
        <v>13.1</v>
      </c>
      <c r="E86" s="3">
        <v>10.151999999999999</v>
      </c>
      <c r="F86" s="8">
        <f t="shared" si="35"/>
        <v>12.903861308116628</v>
      </c>
      <c r="G86" s="9">
        <v>1.88</v>
      </c>
      <c r="H86" s="10">
        <v>1.1616666666666665E-3</v>
      </c>
      <c r="I86" s="11">
        <f t="shared" si="36"/>
        <v>30.047355704100763</v>
      </c>
      <c r="J86" s="9">
        <v>4.5</v>
      </c>
      <c r="K86" s="9">
        <v>22.16</v>
      </c>
      <c r="L86" s="14">
        <f t="shared" si="30"/>
        <v>-3.823970869046792</v>
      </c>
      <c r="M86" s="6"/>
      <c r="N86" s="2">
        <f t="shared" si="37"/>
        <v>-42.549007135575941</v>
      </c>
    </row>
    <row r="87" spans="1:14" x14ac:dyDescent="0.3">
      <c r="A87">
        <v>0.6</v>
      </c>
      <c r="B87">
        <v>30</v>
      </c>
      <c r="C87">
        <v>1</v>
      </c>
      <c r="D87" s="1">
        <v>2.5</v>
      </c>
      <c r="E87" s="3">
        <v>15.228</v>
      </c>
      <c r="F87" s="8">
        <f>(D87*10^-3)/(E87*10^-4)</f>
        <v>1.6417126346204358</v>
      </c>
      <c r="G87" s="9">
        <v>2.82</v>
      </c>
      <c r="H87" s="10">
        <v>9.2599999999999991E-3</v>
      </c>
      <c r="I87" s="11">
        <f>(F87)/((9.81*G87*10^-2))^(1/2)</f>
        <v>3.1213184730683809</v>
      </c>
      <c r="J87" s="9">
        <v>3</v>
      </c>
      <c r="K87" s="9">
        <v>0</v>
      </c>
      <c r="L87" s="14">
        <f t="shared" si="30"/>
        <v>73.494368720805909</v>
      </c>
      <c r="M87" s="6"/>
      <c r="N87" s="2">
        <f>-(1.7*K87^2)/19.62</f>
        <v>0</v>
      </c>
    </row>
    <row r="88" spans="1:14" x14ac:dyDescent="0.3">
      <c r="A88">
        <v>0.6</v>
      </c>
      <c r="B88">
        <v>30</v>
      </c>
      <c r="C88">
        <v>1</v>
      </c>
      <c r="D88" s="1">
        <v>5</v>
      </c>
      <c r="E88" s="3">
        <v>15.228</v>
      </c>
      <c r="F88" s="8">
        <f t="shared" ref="F88:F93" si="38">(D88*10^-3)/(E88*10^-4)</f>
        <v>3.2834252692408716</v>
      </c>
      <c r="G88" s="9">
        <v>2.82</v>
      </c>
      <c r="H88" s="10">
        <v>9.2599999999999991E-3</v>
      </c>
      <c r="I88" s="11">
        <f t="shared" ref="I88:I93" si="39">(F88)/((9.81*G88*10^-2))^(1/2)</f>
        <v>6.2426369461367619</v>
      </c>
      <c r="J88" s="9">
        <v>4.5</v>
      </c>
      <c r="K88" s="9">
        <v>0</v>
      </c>
      <c r="L88" s="14">
        <f t="shared" si="30"/>
        <v>18.373592180201477</v>
      </c>
      <c r="M88" s="6"/>
      <c r="N88" s="2">
        <f t="shared" ref="N88:N93" si="40">-(1.7*K88^2)/19.62</f>
        <v>0</v>
      </c>
    </row>
    <row r="89" spans="1:14" x14ac:dyDescent="0.3">
      <c r="A89">
        <v>0.6</v>
      </c>
      <c r="B89">
        <v>30</v>
      </c>
      <c r="C89">
        <v>1</v>
      </c>
      <c r="D89" s="1">
        <v>7.5</v>
      </c>
      <c r="E89" s="3">
        <v>15.228</v>
      </c>
      <c r="F89" s="8">
        <f t="shared" si="38"/>
        <v>4.925137903861307</v>
      </c>
      <c r="G89" s="9">
        <v>2.82</v>
      </c>
      <c r="H89" s="10">
        <v>9.2599999999999991E-3</v>
      </c>
      <c r="I89" s="11">
        <f t="shared" si="39"/>
        <v>9.3639554192051406</v>
      </c>
      <c r="J89" s="9">
        <v>4.5</v>
      </c>
      <c r="K89" s="9">
        <v>2.36</v>
      </c>
      <c r="L89" s="14">
        <f t="shared" si="30"/>
        <v>7.7757071894323238</v>
      </c>
      <c r="M89" s="6"/>
      <c r="N89" s="2">
        <f t="shared" si="40"/>
        <v>-0.48258511722731895</v>
      </c>
    </row>
    <row r="90" spans="1:14" x14ac:dyDescent="0.3">
      <c r="A90">
        <v>0.6</v>
      </c>
      <c r="B90">
        <v>30</v>
      </c>
      <c r="C90">
        <v>1</v>
      </c>
      <c r="D90" s="1">
        <v>10</v>
      </c>
      <c r="E90" s="3">
        <v>15.228</v>
      </c>
      <c r="F90" s="8">
        <f t="shared" si="38"/>
        <v>6.5668505384817433</v>
      </c>
      <c r="G90" s="9">
        <v>2.82</v>
      </c>
      <c r="H90" s="10">
        <v>9.2599999999999991E-3</v>
      </c>
      <c r="I90" s="11">
        <f t="shared" si="39"/>
        <v>12.485273892273524</v>
      </c>
      <c r="J90" s="9">
        <v>4.5</v>
      </c>
      <c r="K90" s="9">
        <v>13.75</v>
      </c>
      <c r="L90" s="14">
        <f t="shared" si="30"/>
        <v>-2.8597552531996331</v>
      </c>
      <c r="M90" s="6"/>
      <c r="N90" s="2">
        <f t="shared" si="40"/>
        <v>-16.381562181447503</v>
      </c>
    </row>
    <row r="91" spans="1:14" x14ac:dyDescent="0.3">
      <c r="A91">
        <v>0.6</v>
      </c>
      <c r="B91">
        <v>30</v>
      </c>
      <c r="C91">
        <v>1</v>
      </c>
      <c r="D91" s="1">
        <v>12.5</v>
      </c>
      <c r="E91" s="3">
        <v>15.228</v>
      </c>
      <c r="F91" s="8">
        <f t="shared" si="38"/>
        <v>8.2085631731021795</v>
      </c>
      <c r="G91" s="9">
        <v>2.82</v>
      </c>
      <c r="H91" s="10">
        <v>9.2599999999999991E-3</v>
      </c>
      <c r="I91" s="11">
        <f t="shared" si="39"/>
        <v>15.606592365341905</v>
      </c>
      <c r="J91" s="9">
        <v>4.5</v>
      </c>
      <c r="K91" s="9">
        <v>20.43</v>
      </c>
      <c r="L91" s="14">
        <f t="shared" si="30"/>
        <v>-7.590782776895173</v>
      </c>
      <c r="M91" s="6"/>
      <c r="N91" s="2">
        <f t="shared" si="40"/>
        <v>-36.16484862385321</v>
      </c>
    </row>
    <row r="92" spans="1:14" x14ac:dyDescent="0.3">
      <c r="A92">
        <v>0.6</v>
      </c>
      <c r="B92">
        <v>30</v>
      </c>
      <c r="C92">
        <v>1</v>
      </c>
      <c r="D92" s="1">
        <v>15</v>
      </c>
      <c r="E92" s="3">
        <v>15.228</v>
      </c>
      <c r="F92" s="8">
        <f t="shared" si="38"/>
        <v>9.850275807722614</v>
      </c>
      <c r="G92" s="9">
        <v>2.82</v>
      </c>
      <c r="H92" s="10">
        <v>9.2599999999999991E-3</v>
      </c>
      <c r="I92" s="11">
        <f t="shared" si="39"/>
        <v>18.727910838410281</v>
      </c>
      <c r="J92" s="9">
        <v>4.5</v>
      </c>
      <c r="K92" s="9">
        <v>23.48</v>
      </c>
      <c r="L92" s="14">
        <f t="shared" si="30"/>
        <v>-7.6178491433072688</v>
      </c>
      <c r="M92" s="6"/>
      <c r="N92" s="2">
        <f t="shared" si="40"/>
        <v>-47.768994903160042</v>
      </c>
    </row>
    <row r="93" spans="1:14" x14ac:dyDescent="0.3">
      <c r="A93">
        <v>0.6</v>
      </c>
      <c r="B93">
        <v>30</v>
      </c>
      <c r="C93">
        <v>1</v>
      </c>
      <c r="D93" s="1">
        <v>17.600000000000001</v>
      </c>
      <c r="E93" s="3">
        <v>15.228</v>
      </c>
      <c r="F93" s="8">
        <f t="shared" si="38"/>
        <v>11.557656947727869</v>
      </c>
      <c r="G93" s="9">
        <v>2.82</v>
      </c>
      <c r="H93" s="10">
        <v>9.2599999999999991E-3</v>
      </c>
      <c r="I93" s="11">
        <f t="shared" si="39"/>
        <v>21.974082050401403</v>
      </c>
      <c r="J93" s="9">
        <v>4.5</v>
      </c>
      <c r="K93" s="9">
        <v>29.15</v>
      </c>
      <c r="L93" s="14">
        <f t="shared" si="30"/>
        <v>-9.3311125189193014</v>
      </c>
      <c r="M93" s="6"/>
      <c r="N93" s="2">
        <f t="shared" si="40"/>
        <v>-73.625293068297637</v>
      </c>
    </row>
    <row r="94" spans="1:14" x14ac:dyDescent="0.3">
      <c r="A94">
        <v>0.6</v>
      </c>
      <c r="B94">
        <v>30</v>
      </c>
      <c r="C94">
        <v>2</v>
      </c>
      <c r="D94" s="1">
        <v>2.5</v>
      </c>
      <c r="E94" s="3">
        <v>15.228</v>
      </c>
      <c r="F94" s="8">
        <f>(D94*10^-3)/(E94*10^-4)</f>
        <v>1.6417126346204358</v>
      </c>
      <c r="G94" s="9">
        <v>2.82</v>
      </c>
      <c r="H94" s="10">
        <v>4.6299999999999996E-3</v>
      </c>
      <c r="I94" s="11">
        <f>(F94)/((9.81*G94*10^-2))^(1/2)</f>
        <v>3.1213184730683809</v>
      </c>
      <c r="J94" s="9">
        <v>3</v>
      </c>
      <c r="K94" s="9">
        <v>0</v>
      </c>
      <c r="L94" s="14">
        <f t="shared" si="30"/>
        <v>73.494368720805909</v>
      </c>
      <c r="M94" s="6"/>
      <c r="N94" s="2">
        <f>-(1.7*K94^2)/19.62</f>
        <v>0</v>
      </c>
    </row>
    <row r="95" spans="1:14" x14ac:dyDescent="0.3">
      <c r="A95">
        <v>0.6</v>
      </c>
      <c r="B95">
        <v>30</v>
      </c>
      <c r="C95">
        <v>2</v>
      </c>
      <c r="D95" s="1">
        <v>5</v>
      </c>
      <c r="E95" s="3">
        <v>15.228</v>
      </c>
      <c r="F95" s="8">
        <f t="shared" ref="F95:F100" si="41">(D95*10^-3)/(E95*10^-4)</f>
        <v>3.2834252692408716</v>
      </c>
      <c r="G95" s="9">
        <v>2.82</v>
      </c>
      <c r="H95" s="10">
        <v>4.6299999999999996E-3</v>
      </c>
      <c r="I95" s="11">
        <f t="shared" ref="I95:I100" si="42">(F95)/((9.81*G95*10^-2))^(1/2)</f>
        <v>6.2426369461367619</v>
      </c>
      <c r="J95" s="9">
        <v>4.5</v>
      </c>
      <c r="K95" s="9">
        <v>0.6</v>
      </c>
      <c r="L95" s="14">
        <f t="shared" si="30"/>
        <v>18.316825022518277</v>
      </c>
      <c r="M95" s="6"/>
      <c r="N95" s="2">
        <f t="shared" ref="N95:N100" si="43">-(1.7*K95^2)/19.62</f>
        <v>-3.1192660550458714E-2</v>
      </c>
    </row>
    <row r="96" spans="1:14" x14ac:dyDescent="0.3">
      <c r="A96">
        <v>0.6</v>
      </c>
      <c r="B96">
        <v>30</v>
      </c>
      <c r="C96">
        <v>2</v>
      </c>
      <c r="D96" s="1">
        <v>7.5</v>
      </c>
      <c r="E96" s="3">
        <v>15.228</v>
      </c>
      <c r="F96" s="8">
        <f t="shared" si="41"/>
        <v>4.925137903861307</v>
      </c>
      <c r="G96" s="9">
        <v>2.82</v>
      </c>
      <c r="H96" s="10">
        <v>4.6299999999999996E-3</v>
      </c>
      <c r="I96" s="11">
        <f t="shared" si="42"/>
        <v>9.3639554192051406</v>
      </c>
      <c r="J96" s="9">
        <v>4.5</v>
      </c>
      <c r="K96" s="9">
        <v>3.34</v>
      </c>
      <c r="L96" s="14">
        <f t="shared" si="30"/>
        <v>7.3842240501504035</v>
      </c>
      <c r="M96" s="6"/>
      <c r="N96" s="2">
        <f t="shared" si="43"/>
        <v>-0.96659123343527009</v>
      </c>
    </row>
    <row r="97" spans="1:14" x14ac:dyDescent="0.3">
      <c r="A97">
        <v>0.6</v>
      </c>
      <c r="B97">
        <v>30</v>
      </c>
      <c r="C97">
        <v>2</v>
      </c>
      <c r="D97" s="1">
        <v>10</v>
      </c>
      <c r="E97" s="3">
        <v>15.228</v>
      </c>
      <c r="F97" s="8">
        <f t="shared" si="41"/>
        <v>6.5668505384817433</v>
      </c>
      <c r="G97" s="9">
        <v>2.82</v>
      </c>
      <c r="H97" s="10">
        <v>4.6299999999999996E-3</v>
      </c>
      <c r="I97" s="11">
        <f t="shared" si="42"/>
        <v>12.485273892273524</v>
      </c>
      <c r="J97" s="9">
        <v>4.5</v>
      </c>
      <c r="K97" s="9">
        <v>13.06</v>
      </c>
      <c r="L97" s="14">
        <f t="shared" si="30"/>
        <v>-2.1304983273206406</v>
      </c>
      <c r="M97" s="6"/>
      <c r="N97" s="2">
        <f t="shared" si="43"/>
        <v>-14.778701325178389</v>
      </c>
    </row>
    <row r="98" spans="1:14" x14ac:dyDescent="0.3">
      <c r="A98">
        <v>0.6</v>
      </c>
      <c r="B98">
        <v>30</v>
      </c>
      <c r="C98">
        <v>2</v>
      </c>
      <c r="D98" s="1">
        <v>12.5</v>
      </c>
      <c r="E98" s="3">
        <v>15.228</v>
      </c>
      <c r="F98" s="8">
        <f t="shared" si="41"/>
        <v>8.2085631731021795</v>
      </c>
      <c r="G98" s="9">
        <v>2.82</v>
      </c>
      <c r="H98" s="10">
        <v>4.6299999999999996E-3</v>
      </c>
      <c r="I98" s="11">
        <f t="shared" si="42"/>
        <v>15.606592365341905</v>
      </c>
      <c r="J98" s="9">
        <v>4.5</v>
      </c>
      <c r="K98" s="9">
        <v>20.5</v>
      </c>
      <c r="L98" s="14">
        <f t="shared" si="30"/>
        <v>-7.6630688139965653</v>
      </c>
      <c r="M98" s="6"/>
      <c r="N98" s="2">
        <f t="shared" si="43"/>
        <v>-36.413098878695202</v>
      </c>
    </row>
    <row r="99" spans="1:14" x14ac:dyDescent="0.3">
      <c r="A99">
        <v>0.6</v>
      </c>
      <c r="B99">
        <v>30</v>
      </c>
      <c r="C99">
        <v>2</v>
      </c>
      <c r="D99" s="1">
        <v>15</v>
      </c>
      <c r="E99" s="3">
        <v>15.228</v>
      </c>
      <c r="F99" s="8">
        <f t="shared" si="41"/>
        <v>9.850275807722614</v>
      </c>
      <c r="G99" s="9">
        <v>2.82</v>
      </c>
      <c r="H99" s="10">
        <v>4.6299999999999996E-3</v>
      </c>
      <c r="I99" s="11">
        <f t="shared" si="42"/>
        <v>18.727910838410281</v>
      </c>
      <c r="J99" s="9">
        <v>4.5</v>
      </c>
      <c r="K99" s="9">
        <v>23.93</v>
      </c>
      <c r="L99" s="14">
        <f t="shared" si="30"/>
        <v>-7.9916451079962281</v>
      </c>
      <c r="M99" s="6"/>
      <c r="N99" s="2">
        <f t="shared" si="43"/>
        <v>-49.617549949031599</v>
      </c>
    </row>
    <row r="100" spans="1:14" x14ac:dyDescent="0.3">
      <c r="A100">
        <v>0.6</v>
      </c>
      <c r="B100">
        <v>30</v>
      </c>
      <c r="C100">
        <v>2</v>
      </c>
      <c r="D100" s="1">
        <v>17.600000000000001</v>
      </c>
      <c r="E100" s="3">
        <v>15.228</v>
      </c>
      <c r="F100" s="8">
        <f t="shared" si="41"/>
        <v>11.557656947727869</v>
      </c>
      <c r="G100" s="9">
        <v>2.82</v>
      </c>
      <c r="H100" s="10">
        <v>4.6299999999999996E-3</v>
      </c>
      <c r="I100" s="11">
        <f t="shared" si="42"/>
        <v>21.974082050401403</v>
      </c>
      <c r="J100" s="9">
        <v>4.5</v>
      </c>
      <c r="K100" s="9">
        <v>31.99</v>
      </c>
      <c r="L100" s="14">
        <f t="shared" si="30"/>
        <v>-11.540913166313972</v>
      </c>
      <c r="M100" s="6"/>
      <c r="N100" s="2">
        <f t="shared" si="43"/>
        <v>-88.67034505606523</v>
      </c>
    </row>
    <row r="101" spans="1:14" x14ac:dyDescent="0.3">
      <c r="A101">
        <v>0.6</v>
      </c>
      <c r="B101">
        <v>30</v>
      </c>
      <c r="C101">
        <v>4</v>
      </c>
      <c r="D101" s="1">
        <v>2.5</v>
      </c>
      <c r="E101" s="3">
        <v>15.228</v>
      </c>
      <c r="F101" s="8">
        <f>(D101*10^-3)/(E101*10^-4)</f>
        <v>1.6417126346204358</v>
      </c>
      <c r="G101" s="9">
        <v>2.82</v>
      </c>
      <c r="H101" s="10">
        <v>2.3149999999999998E-3</v>
      </c>
      <c r="I101" s="11">
        <f>(F101)/((9.81*G101*10^-2))^(1/2)</f>
        <v>3.1213184730683809</v>
      </c>
      <c r="J101" s="9">
        <v>3</v>
      </c>
      <c r="K101" s="9">
        <v>0</v>
      </c>
      <c r="L101" s="14">
        <f t="shared" si="30"/>
        <v>73.494368720805909</v>
      </c>
      <c r="M101" s="6"/>
      <c r="N101" s="2">
        <f>-(1.7*K101^2)/19.62</f>
        <v>0</v>
      </c>
    </row>
    <row r="102" spans="1:14" x14ac:dyDescent="0.3">
      <c r="A102">
        <v>0.6</v>
      </c>
      <c r="B102">
        <v>30</v>
      </c>
      <c r="C102">
        <v>4</v>
      </c>
      <c r="D102" s="1">
        <v>5</v>
      </c>
      <c r="E102" s="3">
        <v>15.228</v>
      </c>
      <c r="F102" s="8">
        <f t="shared" ref="F102:F107" si="44">(D102*10^-3)/(E102*10^-4)</f>
        <v>3.2834252692408716</v>
      </c>
      <c r="G102" s="9">
        <v>2.82</v>
      </c>
      <c r="H102" s="10">
        <v>2.3149999999999998E-3</v>
      </c>
      <c r="I102" s="11">
        <f t="shared" ref="I102:I107" si="45">(F102)/((9.81*G102*10^-2))^(1/2)</f>
        <v>6.2426369461367619</v>
      </c>
      <c r="J102" s="9">
        <v>4.5</v>
      </c>
      <c r="K102" s="9">
        <v>0</v>
      </c>
      <c r="L102" s="14">
        <f t="shared" si="30"/>
        <v>18.373592180201477</v>
      </c>
      <c r="M102" s="6"/>
      <c r="N102" s="2">
        <f t="shared" ref="N102:N107" si="46">-(1.7*K102^2)/19.62</f>
        <v>0</v>
      </c>
    </row>
    <row r="103" spans="1:14" x14ac:dyDescent="0.3">
      <c r="A103">
        <v>0.6</v>
      </c>
      <c r="B103">
        <v>30</v>
      </c>
      <c r="C103">
        <v>4</v>
      </c>
      <c r="D103" s="1">
        <v>7.5</v>
      </c>
      <c r="E103" s="3">
        <v>15.228</v>
      </c>
      <c r="F103" s="8">
        <f t="shared" si="44"/>
        <v>4.925137903861307</v>
      </c>
      <c r="G103" s="9">
        <v>2.82</v>
      </c>
      <c r="H103" s="10">
        <v>2.3149999999999998E-3</v>
      </c>
      <c r="I103" s="11">
        <f t="shared" si="45"/>
        <v>9.3639554192051406</v>
      </c>
      <c r="J103" s="9">
        <v>4.5</v>
      </c>
      <c r="K103" s="9">
        <v>3.66</v>
      </c>
      <c r="L103" s="14">
        <f t="shared" si="30"/>
        <v>7.2272383301376033</v>
      </c>
      <c r="M103" s="6"/>
      <c r="N103" s="2">
        <f t="shared" si="46"/>
        <v>-1.1606788990825689</v>
      </c>
    </row>
    <row r="104" spans="1:14" x14ac:dyDescent="0.3">
      <c r="A104">
        <v>0.6</v>
      </c>
      <c r="B104">
        <v>30</v>
      </c>
      <c r="C104">
        <v>4</v>
      </c>
      <c r="D104" s="1">
        <v>10</v>
      </c>
      <c r="E104" s="3">
        <v>15.228</v>
      </c>
      <c r="F104" s="8">
        <f t="shared" si="44"/>
        <v>6.5668505384817433</v>
      </c>
      <c r="G104" s="9">
        <v>2.82</v>
      </c>
      <c r="H104" s="10">
        <v>2.3149999999999998E-3</v>
      </c>
      <c r="I104" s="11">
        <f t="shared" si="45"/>
        <v>12.485273892273524</v>
      </c>
      <c r="J104" s="9">
        <v>4.5</v>
      </c>
      <c r="K104" s="9">
        <v>14.59</v>
      </c>
      <c r="L104" s="14">
        <f t="shared" si="30"/>
        <v>-3.7982109816324008</v>
      </c>
      <c r="M104" s="6"/>
      <c r="N104" s="2">
        <f t="shared" si="46"/>
        <v>-18.444228848114168</v>
      </c>
    </row>
    <row r="105" spans="1:14" x14ac:dyDescent="0.3">
      <c r="A105">
        <v>0.6</v>
      </c>
      <c r="B105">
        <v>30</v>
      </c>
      <c r="C105">
        <v>4</v>
      </c>
      <c r="D105" s="1">
        <v>12.5</v>
      </c>
      <c r="E105" s="3">
        <v>15.228</v>
      </c>
      <c r="F105" s="8">
        <f t="shared" si="44"/>
        <v>8.2085631731021795</v>
      </c>
      <c r="G105" s="9">
        <v>2.82</v>
      </c>
      <c r="H105" s="10">
        <v>2.3149999999999998E-3</v>
      </c>
      <c r="I105" s="11">
        <f t="shared" si="45"/>
        <v>15.606592365341905</v>
      </c>
      <c r="J105" s="9">
        <v>4.5</v>
      </c>
      <c r="K105" s="9">
        <v>20.83</v>
      </c>
      <c r="L105" s="14">
        <f t="shared" si="30"/>
        <v>-8.0071761859634076</v>
      </c>
      <c r="M105" s="6"/>
      <c r="N105" s="2">
        <f t="shared" si="46"/>
        <v>-37.594858817533122</v>
      </c>
    </row>
    <row r="106" spans="1:14" x14ac:dyDescent="0.3">
      <c r="A106">
        <v>0.6</v>
      </c>
      <c r="B106">
        <v>30</v>
      </c>
      <c r="C106">
        <v>4</v>
      </c>
      <c r="D106" s="1">
        <v>15</v>
      </c>
      <c r="E106" s="3">
        <v>15.228</v>
      </c>
      <c r="F106" s="8">
        <f t="shared" si="44"/>
        <v>9.850275807722614</v>
      </c>
      <c r="G106" s="9">
        <v>2.82</v>
      </c>
      <c r="H106" s="10">
        <v>2.3149999999999998E-3</v>
      </c>
      <c r="I106" s="11">
        <f t="shared" si="45"/>
        <v>18.727910838410281</v>
      </c>
      <c r="J106" s="9">
        <v>4.5</v>
      </c>
      <c r="K106" s="9">
        <v>21.55</v>
      </c>
      <c r="L106" s="14">
        <f t="shared" si="30"/>
        <v>-6.0951594941665954</v>
      </c>
      <c r="M106" s="6"/>
      <c r="N106" s="2">
        <f t="shared" si="46"/>
        <v>-40.23874872579001</v>
      </c>
    </row>
    <row r="107" spans="1:14" x14ac:dyDescent="0.3">
      <c r="A107">
        <v>0.6</v>
      </c>
      <c r="B107">
        <v>30</v>
      </c>
      <c r="C107">
        <v>4</v>
      </c>
      <c r="D107" s="1">
        <v>17.600000000000001</v>
      </c>
      <c r="E107" s="3">
        <v>15.228</v>
      </c>
      <c r="F107" s="8">
        <f t="shared" si="44"/>
        <v>11.557656947727869</v>
      </c>
      <c r="G107" s="9">
        <v>2.82</v>
      </c>
      <c r="H107" s="10">
        <v>2.3149999999999998E-3</v>
      </c>
      <c r="I107" s="11">
        <f t="shared" si="45"/>
        <v>21.974082050401403</v>
      </c>
      <c r="J107" s="9">
        <v>4.5</v>
      </c>
      <c r="K107" s="9">
        <v>26.43</v>
      </c>
      <c r="L107" s="14">
        <f t="shared" si="30"/>
        <v>-7.4071492854285594</v>
      </c>
      <c r="M107" s="6"/>
      <c r="N107" s="2">
        <f t="shared" si="46"/>
        <v>-60.526316513761458</v>
      </c>
    </row>
    <row r="108" spans="1:14" x14ac:dyDescent="0.3">
      <c r="A108">
        <v>0.6</v>
      </c>
      <c r="B108">
        <v>30</v>
      </c>
      <c r="C108">
        <v>6</v>
      </c>
      <c r="D108" s="1">
        <v>2.5</v>
      </c>
      <c r="E108" s="3">
        <v>15.228</v>
      </c>
      <c r="F108" s="8">
        <f>(D108*10^-3)/(E108*10^-4)</f>
        <v>1.6417126346204358</v>
      </c>
      <c r="G108" s="9">
        <v>2.82</v>
      </c>
      <c r="H108" s="10">
        <v>1.5433333333333332E-3</v>
      </c>
      <c r="I108" s="11">
        <f>(F108)/((9.81*G108*10^-2))^(1/2)</f>
        <v>3.1213184730683809</v>
      </c>
      <c r="J108" s="9">
        <v>3</v>
      </c>
      <c r="K108" s="9">
        <v>0</v>
      </c>
      <c r="L108" s="14">
        <f t="shared" si="30"/>
        <v>73.494368720805909</v>
      </c>
      <c r="M108" s="6"/>
      <c r="N108" s="2">
        <f>-(1.7*K108^2)/19.62</f>
        <v>0</v>
      </c>
    </row>
    <row r="109" spans="1:14" x14ac:dyDescent="0.3">
      <c r="A109">
        <v>0.6</v>
      </c>
      <c r="B109">
        <v>30</v>
      </c>
      <c r="C109">
        <v>6</v>
      </c>
      <c r="D109" s="1">
        <v>5</v>
      </c>
      <c r="E109" s="3">
        <v>15.228</v>
      </c>
      <c r="F109" s="8">
        <f t="shared" ref="F109:F114" si="47">(D109*10^-3)/(E109*10^-4)</f>
        <v>3.2834252692408716</v>
      </c>
      <c r="G109" s="9">
        <v>2.82</v>
      </c>
      <c r="H109" s="10">
        <v>1.5433333333333332E-3</v>
      </c>
      <c r="I109" s="11">
        <f t="shared" ref="I109:I114" si="48">(F109)/((9.81*G109*10^-2))^(1/2)</f>
        <v>6.2426369461367619</v>
      </c>
      <c r="J109" s="9">
        <v>4.5</v>
      </c>
      <c r="K109" s="9">
        <v>0.4</v>
      </c>
      <c r="L109" s="14">
        <f t="shared" si="30"/>
        <v>18.348362332342276</v>
      </c>
      <c r="M109" s="6"/>
      <c r="N109" s="2">
        <f t="shared" ref="N109:N114" si="49">-(1.7*K109^2)/19.62</f>
        <v>-1.3863404689092763E-2</v>
      </c>
    </row>
    <row r="110" spans="1:14" x14ac:dyDescent="0.3">
      <c r="A110">
        <v>0.6</v>
      </c>
      <c r="B110">
        <v>30</v>
      </c>
      <c r="C110">
        <v>6</v>
      </c>
      <c r="D110" s="1">
        <v>7.5</v>
      </c>
      <c r="E110" s="3">
        <v>15.228</v>
      </c>
      <c r="F110" s="8">
        <f t="shared" si="47"/>
        <v>4.925137903861307</v>
      </c>
      <c r="G110" s="9">
        <v>2.82</v>
      </c>
      <c r="H110" s="10">
        <v>1.5433333333333332E-3</v>
      </c>
      <c r="I110" s="11">
        <f t="shared" si="48"/>
        <v>9.3639554192051406</v>
      </c>
      <c r="J110" s="9">
        <v>4.5</v>
      </c>
      <c r="K110" s="9">
        <v>2.98</v>
      </c>
      <c r="L110" s="14">
        <f t="shared" si="30"/>
        <v>7.5436766886205477</v>
      </c>
      <c r="M110" s="6"/>
      <c r="N110" s="2">
        <f t="shared" si="49"/>
        <v>-0.76945361875637097</v>
      </c>
    </row>
    <row r="111" spans="1:14" x14ac:dyDescent="0.3">
      <c r="A111">
        <v>0.6</v>
      </c>
      <c r="B111">
        <v>30</v>
      </c>
      <c r="C111">
        <v>6</v>
      </c>
      <c r="D111" s="1">
        <v>10</v>
      </c>
      <c r="E111" s="3">
        <v>15.228</v>
      </c>
      <c r="F111" s="8">
        <f t="shared" si="47"/>
        <v>6.5668505384817433</v>
      </c>
      <c r="G111" s="9">
        <v>2.82</v>
      </c>
      <c r="H111" s="10">
        <v>1.5433333333333332E-3</v>
      </c>
      <c r="I111" s="11">
        <f t="shared" si="48"/>
        <v>12.485273892273524</v>
      </c>
      <c r="J111" s="9">
        <v>4.5</v>
      </c>
      <c r="K111" s="9">
        <v>12.31</v>
      </c>
      <c r="L111" s="14">
        <f t="shared" si="30"/>
        <v>-1.3804031239754408</v>
      </c>
      <c r="M111" s="6"/>
      <c r="N111" s="2">
        <f t="shared" si="49"/>
        <v>-13.130039245667687</v>
      </c>
    </row>
    <row r="112" spans="1:14" x14ac:dyDescent="0.3">
      <c r="A112">
        <v>0.6</v>
      </c>
      <c r="B112">
        <v>30</v>
      </c>
      <c r="C112">
        <v>6</v>
      </c>
      <c r="D112" s="1">
        <v>12.5</v>
      </c>
      <c r="E112" s="3">
        <v>15.228</v>
      </c>
      <c r="F112" s="8">
        <f t="shared" si="47"/>
        <v>8.2085631731021795</v>
      </c>
      <c r="G112" s="9">
        <v>2.82</v>
      </c>
      <c r="H112" s="10">
        <v>1.5433333333333332E-3</v>
      </c>
      <c r="I112" s="11">
        <f t="shared" si="48"/>
        <v>15.606592365341905</v>
      </c>
      <c r="J112" s="9">
        <v>4.5</v>
      </c>
      <c r="K112" s="9">
        <v>13</v>
      </c>
      <c r="L112" s="14">
        <f t="shared" si="30"/>
        <v>-1.3240695393725646</v>
      </c>
      <c r="M112" s="6"/>
      <c r="N112" s="2">
        <f t="shared" si="49"/>
        <v>-14.64322120285423</v>
      </c>
    </row>
    <row r="113" spans="1:14" x14ac:dyDescent="0.3">
      <c r="A113">
        <v>0.6</v>
      </c>
      <c r="B113">
        <v>30</v>
      </c>
      <c r="C113">
        <v>6</v>
      </c>
      <c r="D113" s="1">
        <v>15</v>
      </c>
      <c r="E113" s="3">
        <v>15.228</v>
      </c>
      <c r="F113" s="8">
        <f t="shared" si="47"/>
        <v>9.850275807722614</v>
      </c>
      <c r="G113" s="9">
        <v>2.82</v>
      </c>
      <c r="H113" s="10">
        <v>1.5433333333333332E-3</v>
      </c>
      <c r="I113" s="11">
        <f t="shared" si="48"/>
        <v>18.727910838410281</v>
      </c>
      <c r="J113" s="9">
        <v>4.5</v>
      </c>
      <c r="K113" s="9">
        <v>16.45</v>
      </c>
      <c r="L113" s="14">
        <f t="shared" si="30"/>
        <v>-2.6996424697825923</v>
      </c>
      <c r="M113" s="6"/>
      <c r="N113" s="2">
        <f t="shared" si="49"/>
        <v>-23.446699796126396</v>
      </c>
    </row>
    <row r="114" spans="1:14" x14ac:dyDescent="0.3">
      <c r="A114">
        <v>0.6</v>
      </c>
      <c r="B114">
        <v>30</v>
      </c>
      <c r="C114">
        <v>6</v>
      </c>
      <c r="D114" s="1">
        <v>17.600000000000001</v>
      </c>
      <c r="E114" s="3">
        <v>15.228</v>
      </c>
      <c r="F114" s="8">
        <f t="shared" si="47"/>
        <v>11.557656947727869</v>
      </c>
      <c r="G114" s="9">
        <v>2.82</v>
      </c>
      <c r="H114" s="10">
        <v>1.5433333333333332E-3</v>
      </c>
      <c r="I114" s="11">
        <f t="shared" si="48"/>
        <v>21.974082050401403</v>
      </c>
      <c r="J114" s="9">
        <v>4.5</v>
      </c>
      <c r="K114" s="9">
        <v>20.32</v>
      </c>
      <c r="L114" s="14">
        <f t="shared" si="30"/>
        <v>-3.7719171616061162</v>
      </c>
      <c r="M114" s="6"/>
      <c r="N114" s="2">
        <f t="shared" si="49"/>
        <v>-35.776456676860342</v>
      </c>
    </row>
    <row r="115" spans="1:14" x14ac:dyDescent="0.3">
      <c r="A115">
        <v>0.6</v>
      </c>
      <c r="B115">
        <v>40</v>
      </c>
      <c r="C115">
        <v>1</v>
      </c>
      <c r="D115" s="1">
        <v>3.2</v>
      </c>
      <c r="E115" s="3">
        <v>20.303999999999998</v>
      </c>
      <c r="F115" s="8">
        <f>(D115*10^-3)/(E115*10^-4)</f>
        <v>1.5760441292356187</v>
      </c>
      <c r="G115" s="9">
        <v>3.76</v>
      </c>
      <c r="H115" s="10">
        <v>9.2599999999999991E-3</v>
      </c>
      <c r="I115" s="11">
        <f>(F115)/((9.81*G115*10^-2))^(1/2)</f>
        <v>2.5950154473397178</v>
      </c>
      <c r="J115" s="9">
        <v>3</v>
      </c>
      <c r="K115" s="9">
        <v>0</v>
      </c>
      <c r="L115" s="14">
        <f t="shared" si="30"/>
        <v>79.746493837680006</v>
      </c>
      <c r="M115" s="6"/>
      <c r="N115" s="2">
        <f>-(1.7*K115^2)/19.62</f>
        <v>0</v>
      </c>
    </row>
    <row r="116" spans="1:14" x14ac:dyDescent="0.3">
      <c r="A116">
        <v>0.6</v>
      </c>
      <c r="B116">
        <v>40</v>
      </c>
      <c r="C116">
        <v>1</v>
      </c>
      <c r="D116" s="1">
        <v>6.4</v>
      </c>
      <c r="E116" s="3">
        <v>20.303999999999998</v>
      </c>
      <c r="F116" s="8">
        <f t="shared" ref="F116:F121" si="50">(D116*10^-3)/(E116*10^-4)</f>
        <v>3.1520882584712373</v>
      </c>
      <c r="G116" s="9">
        <v>3.76</v>
      </c>
      <c r="H116" s="10">
        <v>9.2599999999999991E-3</v>
      </c>
      <c r="I116" s="11">
        <f t="shared" ref="I116:I121" si="51">(F116)/((9.81*G116*10^-2))^(1/2)</f>
        <v>5.1900308946794356</v>
      </c>
      <c r="J116" s="9">
        <v>3</v>
      </c>
      <c r="K116" s="9">
        <v>0</v>
      </c>
      <c r="L116" s="14">
        <f t="shared" si="30"/>
        <v>19.936623459420002</v>
      </c>
      <c r="M116" s="6"/>
      <c r="N116" s="2">
        <f t="shared" ref="N116:N121" si="52">-(1.7*K116^2)/19.62</f>
        <v>0</v>
      </c>
    </row>
    <row r="117" spans="1:14" x14ac:dyDescent="0.3">
      <c r="A117">
        <v>0.6</v>
      </c>
      <c r="B117">
        <v>40</v>
      </c>
      <c r="C117">
        <v>1</v>
      </c>
      <c r="D117" s="1">
        <v>9.6</v>
      </c>
      <c r="E117" s="3">
        <v>20.303999999999998</v>
      </c>
      <c r="F117" s="8">
        <f t="shared" si="50"/>
        <v>4.7281323877068555</v>
      </c>
      <c r="G117" s="9">
        <v>3.76</v>
      </c>
      <c r="H117" s="10">
        <v>9.2599999999999991E-3</v>
      </c>
      <c r="I117" s="11">
        <f t="shared" si="51"/>
        <v>7.7850463420191529</v>
      </c>
      <c r="J117" s="9">
        <v>4.5</v>
      </c>
      <c r="K117" s="9">
        <v>1.02</v>
      </c>
      <c r="L117" s="14">
        <f t="shared" si="30"/>
        <v>8.7816045015900031</v>
      </c>
      <c r="M117" s="6"/>
      <c r="N117" s="2">
        <f t="shared" si="52"/>
        <v>-9.0146788990825691E-2</v>
      </c>
    </row>
    <row r="118" spans="1:14" x14ac:dyDescent="0.3">
      <c r="A118">
        <v>0.6</v>
      </c>
      <c r="B118">
        <v>40</v>
      </c>
      <c r="C118">
        <v>1</v>
      </c>
      <c r="D118" s="1">
        <v>12.8</v>
      </c>
      <c r="E118" s="3">
        <v>20.303999999999998</v>
      </c>
      <c r="F118" s="8">
        <f t="shared" si="50"/>
        <v>6.3041765169424746</v>
      </c>
      <c r="G118" s="9">
        <v>3.76</v>
      </c>
      <c r="H118" s="10">
        <v>9.2599999999999991E-3</v>
      </c>
      <c r="I118" s="11">
        <f t="shared" si="51"/>
        <v>10.380061789358871</v>
      </c>
      <c r="J118" s="9">
        <v>4.5</v>
      </c>
      <c r="K118" s="9">
        <v>3.76</v>
      </c>
      <c r="L118" s="14">
        <f t="shared" si="30"/>
        <v>4.3794169985250004</v>
      </c>
      <c r="M118" s="6"/>
      <c r="N118" s="2">
        <f t="shared" si="52"/>
        <v>-1.2249704383282363</v>
      </c>
    </row>
    <row r="119" spans="1:14" x14ac:dyDescent="0.3">
      <c r="A119">
        <v>0.6</v>
      </c>
      <c r="B119">
        <v>40</v>
      </c>
      <c r="C119">
        <v>1</v>
      </c>
      <c r="D119" s="1">
        <v>16</v>
      </c>
      <c r="E119" s="3">
        <v>20.303999999999998</v>
      </c>
      <c r="F119" s="8">
        <f t="shared" si="50"/>
        <v>7.8802206461780937</v>
      </c>
      <c r="G119" s="9">
        <v>3.76</v>
      </c>
      <c r="H119" s="10">
        <v>9.2599999999999991E-3</v>
      </c>
      <c r="I119" s="11">
        <f t="shared" si="51"/>
        <v>12.97507723669859</v>
      </c>
      <c r="J119" s="9">
        <v>4.5</v>
      </c>
      <c r="K119" s="9">
        <v>6.82</v>
      </c>
      <c r="L119" s="14">
        <f t="shared" si="30"/>
        <v>1.9165299189083997</v>
      </c>
      <c r="M119" s="6"/>
      <c r="N119" s="2">
        <f t="shared" si="52"/>
        <v>-4.030126401630989</v>
      </c>
    </row>
    <row r="120" spans="1:14" x14ac:dyDescent="0.3">
      <c r="A120">
        <v>0.6</v>
      </c>
      <c r="B120">
        <v>40</v>
      </c>
      <c r="C120">
        <v>1</v>
      </c>
      <c r="D120" s="1">
        <v>19.2</v>
      </c>
      <c r="E120" s="3">
        <v>20.303999999999998</v>
      </c>
      <c r="F120" s="8">
        <f t="shared" si="50"/>
        <v>9.456264775413711</v>
      </c>
      <c r="G120" s="9">
        <v>3.76</v>
      </c>
      <c r="H120" s="10">
        <v>9.2599999999999991E-3</v>
      </c>
      <c r="I120" s="11">
        <f t="shared" si="51"/>
        <v>15.570092684038306</v>
      </c>
      <c r="J120" s="9">
        <v>4.5</v>
      </c>
      <c r="K120" s="9">
        <v>11.92</v>
      </c>
      <c r="L120" s="14">
        <f t="shared" si="30"/>
        <v>-0.48605347133999982</v>
      </c>
      <c r="M120" s="6"/>
      <c r="N120" s="2">
        <f t="shared" si="52"/>
        <v>-12.311257900101936</v>
      </c>
    </row>
    <row r="121" spans="1:14" x14ac:dyDescent="0.3">
      <c r="A121">
        <v>0.6</v>
      </c>
      <c r="B121">
        <v>40</v>
      </c>
      <c r="C121">
        <v>1</v>
      </c>
      <c r="D121" s="1">
        <v>22.3</v>
      </c>
      <c r="E121" s="3">
        <v>20.303999999999998</v>
      </c>
      <c r="F121" s="8">
        <f t="shared" si="50"/>
        <v>10.983057525610718</v>
      </c>
      <c r="G121" s="9">
        <v>3.76</v>
      </c>
      <c r="H121" s="10">
        <v>9.2599999999999991E-3</v>
      </c>
      <c r="I121" s="11">
        <f t="shared" si="51"/>
        <v>18.08401389864866</v>
      </c>
      <c r="J121" s="9">
        <v>4.5</v>
      </c>
      <c r="K121" s="9">
        <v>17.190000000000001</v>
      </c>
      <c r="L121" s="14">
        <f t="shared" si="30"/>
        <v>-2.5223080748516482</v>
      </c>
      <c r="M121" s="6"/>
      <c r="N121" s="2">
        <f t="shared" si="52"/>
        <v>-25.603637614678902</v>
      </c>
    </row>
    <row r="122" spans="1:14" x14ac:dyDescent="0.3">
      <c r="A122">
        <v>0.6</v>
      </c>
      <c r="B122">
        <v>40</v>
      </c>
      <c r="C122">
        <v>2</v>
      </c>
      <c r="D122" s="1">
        <v>3.2</v>
      </c>
      <c r="E122" s="3">
        <v>20.303999999999998</v>
      </c>
      <c r="F122" s="8">
        <f>(D122*10^-3)/(E122*10^-4)</f>
        <v>1.5760441292356187</v>
      </c>
      <c r="G122" s="9">
        <v>3.76</v>
      </c>
      <c r="H122" s="10">
        <v>4.6299999999999996E-3</v>
      </c>
      <c r="I122" s="11">
        <f>(F122)/((9.81*G122*10^-2))^(1/2)</f>
        <v>2.5950154473397178</v>
      </c>
      <c r="J122" s="9">
        <v>3</v>
      </c>
      <c r="K122" s="9">
        <v>0</v>
      </c>
      <c r="L122" s="14">
        <f t="shared" si="30"/>
        <v>79.746493837680006</v>
      </c>
      <c r="M122" s="6"/>
      <c r="N122" s="2">
        <f>-(1.7*K122^2)/19.62</f>
        <v>0</v>
      </c>
    </row>
    <row r="123" spans="1:14" x14ac:dyDescent="0.3">
      <c r="A123">
        <v>0.6</v>
      </c>
      <c r="B123">
        <v>40</v>
      </c>
      <c r="C123">
        <v>2</v>
      </c>
      <c r="D123" s="1">
        <v>6.4</v>
      </c>
      <c r="E123" s="3">
        <v>20.303999999999998</v>
      </c>
      <c r="F123" s="8">
        <f t="shared" ref="F123:F128" si="53">(D123*10^-3)/(E123*10^-4)</f>
        <v>3.1520882584712373</v>
      </c>
      <c r="G123" s="9">
        <v>3.76</v>
      </c>
      <c r="H123" s="10">
        <v>4.6299999999999996E-3</v>
      </c>
      <c r="I123" s="11">
        <f t="shared" ref="I123:I128" si="54">(F123)/((9.81*G123*10^-2))^(1/2)</f>
        <v>5.1900308946794356</v>
      </c>
      <c r="J123" s="9">
        <v>4.5</v>
      </c>
      <c r="K123" s="9">
        <v>0.6</v>
      </c>
      <c r="L123" s="14">
        <f t="shared" si="30"/>
        <v>19.875027151169999</v>
      </c>
      <c r="M123" s="6"/>
      <c r="N123" s="2">
        <f t="shared" ref="N123:N128" si="55">-(1.7*K123^2)/19.62</f>
        <v>-3.1192660550458714E-2</v>
      </c>
    </row>
    <row r="124" spans="1:14" x14ac:dyDescent="0.3">
      <c r="A124">
        <v>0.6</v>
      </c>
      <c r="B124">
        <v>40</v>
      </c>
      <c r="C124">
        <v>2</v>
      </c>
      <c r="D124" s="1">
        <v>9.6</v>
      </c>
      <c r="E124" s="3">
        <v>20.303999999999998</v>
      </c>
      <c r="F124" s="8">
        <f t="shared" si="53"/>
        <v>4.7281323877068555</v>
      </c>
      <c r="G124" s="9">
        <v>3.76</v>
      </c>
      <c r="H124" s="10">
        <v>4.6299999999999996E-3</v>
      </c>
      <c r="I124" s="11">
        <f t="shared" si="54"/>
        <v>7.7850463420191529</v>
      </c>
      <c r="J124" s="9">
        <v>4.5</v>
      </c>
      <c r="K124" s="9">
        <v>3.23</v>
      </c>
      <c r="L124" s="14">
        <f t="shared" si="30"/>
        <v>8.0673534827775022</v>
      </c>
      <c r="M124" s="6"/>
      <c r="N124" s="2">
        <f t="shared" si="55"/>
        <v>-0.90397196738022423</v>
      </c>
    </row>
    <row r="125" spans="1:14" x14ac:dyDescent="0.3">
      <c r="A125">
        <v>0.6</v>
      </c>
      <c r="B125">
        <v>40</v>
      </c>
      <c r="C125">
        <v>2</v>
      </c>
      <c r="D125" s="1">
        <v>12.8</v>
      </c>
      <c r="E125" s="3">
        <v>20.303999999999998</v>
      </c>
      <c r="F125" s="8">
        <f t="shared" si="53"/>
        <v>6.3041765169424746</v>
      </c>
      <c r="G125" s="9">
        <v>3.76</v>
      </c>
      <c r="H125" s="10">
        <v>4.6299999999999996E-3</v>
      </c>
      <c r="I125" s="11">
        <f t="shared" si="54"/>
        <v>10.380061789358871</v>
      </c>
      <c r="J125" s="9">
        <v>4.5</v>
      </c>
      <c r="K125" s="9">
        <v>8.25</v>
      </c>
      <c r="L125" s="14">
        <f t="shared" si="30"/>
        <v>2.072767857726094</v>
      </c>
      <c r="M125" s="6"/>
      <c r="N125" s="2">
        <f t="shared" si="55"/>
        <v>-5.8973623853211006</v>
      </c>
    </row>
    <row r="126" spans="1:14" x14ac:dyDescent="0.3">
      <c r="A126">
        <v>0.6</v>
      </c>
      <c r="B126">
        <v>40</v>
      </c>
      <c r="C126">
        <v>2</v>
      </c>
      <c r="D126" s="1">
        <v>16</v>
      </c>
      <c r="E126" s="3">
        <v>20.303999999999998</v>
      </c>
      <c r="F126" s="8">
        <f t="shared" si="53"/>
        <v>7.8802206461780937</v>
      </c>
      <c r="G126" s="9">
        <v>3.76</v>
      </c>
      <c r="H126" s="10">
        <v>4.6299999999999996E-3</v>
      </c>
      <c r="I126" s="11">
        <f t="shared" si="54"/>
        <v>12.97507723669859</v>
      </c>
      <c r="J126" s="9">
        <v>4.5</v>
      </c>
      <c r="K126" s="9">
        <v>13.69</v>
      </c>
      <c r="L126" s="14">
        <f t="shared" si="30"/>
        <v>-1.9408690760984997</v>
      </c>
      <c r="M126" s="6"/>
      <c r="N126" s="2">
        <f t="shared" si="55"/>
        <v>-16.238907747196738</v>
      </c>
    </row>
    <row r="127" spans="1:14" x14ac:dyDescent="0.3">
      <c r="A127">
        <v>0.6</v>
      </c>
      <c r="B127">
        <v>40</v>
      </c>
      <c r="C127">
        <v>2</v>
      </c>
      <c r="D127" s="1">
        <v>19.2</v>
      </c>
      <c r="E127" s="3">
        <v>20.303999999999998</v>
      </c>
      <c r="F127" s="8">
        <f t="shared" si="53"/>
        <v>9.456264775413711</v>
      </c>
      <c r="G127" s="9">
        <v>3.76</v>
      </c>
      <c r="H127" s="10">
        <v>4.6299999999999996E-3</v>
      </c>
      <c r="I127" s="11">
        <f t="shared" si="54"/>
        <v>15.570092684038306</v>
      </c>
      <c r="J127" s="9">
        <v>4.5</v>
      </c>
      <c r="K127" s="9">
        <v>17.260000000000002</v>
      </c>
      <c r="L127" s="14">
        <f t="shared" si="30"/>
        <v>-3.4484024426625011</v>
      </c>
      <c r="M127" s="6"/>
      <c r="N127" s="2">
        <f t="shared" si="55"/>
        <v>-25.812585117227322</v>
      </c>
    </row>
    <row r="128" spans="1:14" x14ac:dyDescent="0.3">
      <c r="A128">
        <v>0.6</v>
      </c>
      <c r="B128">
        <v>40</v>
      </c>
      <c r="C128">
        <v>2</v>
      </c>
      <c r="D128" s="1">
        <v>22.3</v>
      </c>
      <c r="E128" s="3">
        <v>20.303999999999998</v>
      </c>
      <c r="F128" s="8">
        <f t="shared" si="53"/>
        <v>10.983057525610718</v>
      </c>
      <c r="G128" s="9">
        <v>3.76</v>
      </c>
      <c r="H128" s="10">
        <v>4.6299999999999996E-3</v>
      </c>
      <c r="I128" s="11">
        <f t="shared" si="54"/>
        <v>18.08401389864866</v>
      </c>
      <c r="J128" s="9">
        <v>4.5</v>
      </c>
      <c r="K128" s="13">
        <v>24.4</v>
      </c>
      <c r="L128" s="14">
        <f t="shared" si="30"/>
        <v>-6.7482798281245868</v>
      </c>
      <c r="M128" s="6"/>
      <c r="N128" s="2">
        <f t="shared" si="55"/>
        <v>-51.585728848114158</v>
      </c>
    </row>
    <row r="129" spans="1:14" x14ac:dyDescent="0.3">
      <c r="A129">
        <v>0.6</v>
      </c>
      <c r="B129">
        <v>40</v>
      </c>
      <c r="C129">
        <v>4</v>
      </c>
      <c r="D129" s="1">
        <v>3.2</v>
      </c>
      <c r="E129" s="3">
        <v>20.303999999999998</v>
      </c>
      <c r="F129" s="8">
        <f>(D129*10^-3)/(E129*10^-4)</f>
        <v>1.5760441292356187</v>
      </c>
      <c r="G129" s="9">
        <v>3.76</v>
      </c>
      <c r="H129" s="10">
        <v>2.3149999999999998E-3</v>
      </c>
      <c r="I129" s="11">
        <f>(F129)/((9.81*G129*10^-2))^(1/2)</f>
        <v>2.5950154473397178</v>
      </c>
      <c r="J129" s="9">
        <v>3</v>
      </c>
      <c r="K129" s="9">
        <v>0</v>
      </c>
      <c r="L129" s="14">
        <f t="shared" si="30"/>
        <v>79.746493837680006</v>
      </c>
      <c r="M129" s="6"/>
      <c r="N129" s="2">
        <f>-(1.7*K129^2)/19.62</f>
        <v>0</v>
      </c>
    </row>
    <row r="130" spans="1:14" x14ac:dyDescent="0.3">
      <c r="A130">
        <v>0.6</v>
      </c>
      <c r="B130">
        <v>40</v>
      </c>
      <c r="C130">
        <v>4</v>
      </c>
      <c r="D130" s="1">
        <v>6.4</v>
      </c>
      <c r="E130" s="3">
        <v>20.303999999999998</v>
      </c>
      <c r="F130" s="8">
        <f t="shared" ref="F130:F135" si="56">(D130*10^-3)/(E130*10^-4)</f>
        <v>3.1520882584712373</v>
      </c>
      <c r="G130" s="9">
        <v>3.76</v>
      </c>
      <c r="H130" s="10">
        <v>2.3149999999999998E-3</v>
      </c>
      <c r="I130" s="11">
        <f t="shared" ref="I130:I135" si="57">(F130)/((9.81*G130*10^-2))^(1/2)</f>
        <v>5.1900308946794356</v>
      </c>
      <c r="J130" s="9">
        <v>4.5</v>
      </c>
      <c r="K130" s="9">
        <v>0</v>
      </c>
      <c r="L130" s="14">
        <f t="shared" si="30"/>
        <v>19.936623459420002</v>
      </c>
      <c r="M130" s="6"/>
      <c r="N130" s="2">
        <f t="shared" ref="N130:N135" si="58">-(1.7*K130^2)/19.62</f>
        <v>0</v>
      </c>
    </row>
    <row r="131" spans="1:14" x14ac:dyDescent="0.3">
      <c r="A131">
        <v>0.6</v>
      </c>
      <c r="B131">
        <v>40</v>
      </c>
      <c r="C131">
        <v>4</v>
      </c>
      <c r="D131" s="1">
        <v>9.6</v>
      </c>
      <c r="E131" s="3">
        <v>20.303999999999998</v>
      </c>
      <c r="F131" s="8">
        <f t="shared" si="56"/>
        <v>4.7281323877068555</v>
      </c>
      <c r="G131" s="9">
        <v>3.76</v>
      </c>
      <c r="H131" s="10">
        <v>2.3149999999999998E-3</v>
      </c>
      <c r="I131" s="11">
        <f t="shared" si="57"/>
        <v>7.7850463420191529</v>
      </c>
      <c r="J131" s="9">
        <v>4.5</v>
      </c>
      <c r="K131" s="9">
        <v>3.69</v>
      </c>
      <c r="L131" s="14">
        <f t="shared" ref="L131:L194" si="59">(10.33+N131-0.234)/((F131^2)/19.62)</f>
        <v>7.8252875958375014</v>
      </c>
      <c r="M131" s="6"/>
      <c r="N131" s="2">
        <f t="shared" si="58"/>
        <v>-1.1797844036697247</v>
      </c>
    </row>
    <row r="132" spans="1:14" x14ac:dyDescent="0.3">
      <c r="A132">
        <v>0.6</v>
      </c>
      <c r="B132">
        <v>40</v>
      </c>
      <c r="C132">
        <v>4</v>
      </c>
      <c r="D132" s="1">
        <v>12.8</v>
      </c>
      <c r="E132" s="3">
        <v>20.303999999999998</v>
      </c>
      <c r="F132" s="8">
        <f t="shared" si="56"/>
        <v>6.3041765169424746</v>
      </c>
      <c r="G132" s="9">
        <v>3.76</v>
      </c>
      <c r="H132" s="10">
        <v>2.3149999999999998E-3</v>
      </c>
      <c r="I132" s="11">
        <f t="shared" si="57"/>
        <v>10.380061789358871</v>
      </c>
      <c r="J132" s="9">
        <v>4.5</v>
      </c>
      <c r="K132" s="9">
        <v>8.57</v>
      </c>
      <c r="L132" s="14">
        <f t="shared" si="59"/>
        <v>1.842534545556094</v>
      </c>
      <c r="M132" s="6"/>
      <c r="N132" s="2">
        <f t="shared" si="58"/>
        <v>-6.363727319062181</v>
      </c>
    </row>
    <row r="133" spans="1:14" x14ac:dyDescent="0.3">
      <c r="A133">
        <v>0.6</v>
      </c>
      <c r="B133">
        <v>40</v>
      </c>
      <c r="C133">
        <v>4</v>
      </c>
      <c r="D133" s="1">
        <v>16</v>
      </c>
      <c r="E133" s="3">
        <v>20.303999999999998</v>
      </c>
      <c r="F133" s="8">
        <f t="shared" si="56"/>
        <v>7.8802206461780937</v>
      </c>
      <c r="G133" s="9">
        <v>3.76</v>
      </c>
      <c r="H133" s="10">
        <v>2.3149999999999998E-3</v>
      </c>
      <c r="I133" s="11">
        <f t="shared" si="57"/>
        <v>12.97507723669859</v>
      </c>
      <c r="J133" s="9">
        <v>4.5</v>
      </c>
      <c r="K133" s="9">
        <v>13.22</v>
      </c>
      <c r="L133" s="14">
        <f t="shared" si="59"/>
        <v>-1.5946239081635998</v>
      </c>
      <c r="M133" s="6"/>
      <c r="N133" s="2">
        <f t="shared" si="58"/>
        <v>-15.143031600407747</v>
      </c>
    </row>
    <row r="134" spans="1:14" x14ac:dyDescent="0.3">
      <c r="A134">
        <v>0.6</v>
      </c>
      <c r="B134">
        <v>40</v>
      </c>
      <c r="C134">
        <v>4</v>
      </c>
      <c r="D134" s="1">
        <v>19.2</v>
      </c>
      <c r="E134" s="3">
        <v>20.303999999999998</v>
      </c>
      <c r="F134" s="8">
        <f t="shared" si="56"/>
        <v>9.456264775413711</v>
      </c>
      <c r="G134" s="9">
        <v>3.76</v>
      </c>
      <c r="H134" s="10">
        <v>2.3149999999999998E-3</v>
      </c>
      <c r="I134" s="11">
        <f t="shared" si="57"/>
        <v>15.570092684038306</v>
      </c>
      <c r="J134" s="9">
        <v>4.5</v>
      </c>
      <c r="K134" s="9">
        <v>15.81</v>
      </c>
      <c r="L134" s="14">
        <f t="shared" si="59"/>
        <v>-2.5367865861656256</v>
      </c>
      <c r="M134" s="6"/>
      <c r="N134" s="2">
        <f t="shared" si="58"/>
        <v>-21.657766055045872</v>
      </c>
    </row>
    <row r="135" spans="1:14" x14ac:dyDescent="0.3">
      <c r="A135">
        <v>0.6</v>
      </c>
      <c r="B135">
        <v>40</v>
      </c>
      <c r="C135">
        <v>4</v>
      </c>
      <c r="D135" s="1">
        <v>22.3</v>
      </c>
      <c r="E135" s="3">
        <v>20.303999999999998</v>
      </c>
      <c r="F135" s="8">
        <f t="shared" si="56"/>
        <v>10.983057525610718</v>
      </c>
      <c r="G135" s="9">
        <v>3.76</v>
      </c>
      <c r="H135" s="10">
        <v>2.3149999999999998E-3</v>
      </c>
      <c r="I135" s="11">
        <f t="shared" si="57"/>
        <v>18.08401389864866</v>
      </c>
      <c r="J135" s="9">
        <v>4.5</v>
      </c>
      <c r="K135" s="9">
        <v>18.62</v>
      </c>
      <c r="L135" s="14">
        <f t="shared" si="59"/>
        <v>-3.2439849066847786</v>
      </c>
      <c r="M135" s="6"/>
      <c r="N135" s="2">
        <f t="shared" si="58"/>
        <v>-30.040646279306827</v>
      </c>
    </row>
    <row r="136" spans="1:14" x14ac:dyDescent="0.3">
      <c r="A136">
        <v>0.6</v>
      </c>
      <c r="B136">
        <v>40</v>
      </c>
      <c r="C136">
        <v>6</v>
      </c>
      <c r="D136" s="1">
        <v>3.2</v>
      </c>
      <c r="E136" s="3">
        <v>20.303999999999998</v>
      </c>
      <c r="F136" s="8">
        <f>(D136*10^-3)/(E136*10^-4)</f>
        <v>1.5760441292356187</v>
      </c>
      <c r="G136" s="9">
        <v>3.76</v>
      </c>
      <c r="H136" s="10">
        <v>1.5433333333333332E-3</v>
      </c>
      <c r="I136" s="11">
        <f>(F136)/((9.81*G136*10^-2))^(1/2)</f>
        <v>2.5950154473397178</v>
      </c>
      <c r="J136" s="9">
        <v>3</v>
      </c>
      <c r="K136" s="9">
        <v>0</v>
      </c>
      <c r="L136" s="14">
        <f t="shared" si="59"/>
        <v>79.746493837680006</v>
      </c>
      <c r="M136" s="6"/>
      <c r="N136" s="2">
        <f>-(1.7*K136^2)/19.62</f>
        <v>0</v>
      </c>
    </row>
    <row r="137" spans="1:14" x14ac:dyDescent="0.3">
      <c r="A137">
        <v>0.6</v>
      </c>
      <c r="B137">
        <v>40</v>
      </c>
      <c r="C137">
        <v>6</v>
      </c>
      <c r="D137" s="1">
        <v>6.4</v>
      </c>
      <c r="E137" s="3">
        <v>20.303999999999998</v>
      </c>
      <c r="F137" s="8">
        <f t="shared" ref="F137:F142" si="60">(D137*10^-3)/(E137*10^-4)</f>
        <v>3.1520882584712373</v>
      </c>
      <c r="G137" s="9">
        <v>3.76</v>
      </c>
      <c r="H137" s="10">
        <v>1.5433333333333332E-3</v>
      </c>
      <c r="I137" s="11">
        <f t="shared" ref="I137:I142" si="61">(F137)/((9.81*G137*10^-2))^(1/2)</f>
        <v>5.1900308946794356</v>
      </c>
      <c r="J137" s="9">
        <v>4.5</v>
      </c>
      <c r="K137" s="9">
        <v>0.45</v>
      </c>
      <c r="L137" s="14">
        <f t="shared" si="59"/>
        <v>19.901975536029376</v>
      </c>
      <c r="M137" s="6"/>
      <c r="N137" s="2">
        <f t="shared" ref="N137:N142" si="62">-(1.7*K137^2)/19.62</f>
        <v>-1.7545871559633025E-2</v>
      </c>
    </row>
    <row r="138" spans="1:14" x14ac:dyDescent="0.3">
      <c r="A138">
        <v>0.6</v>
      </c>
      <c r="B138">
        <v>40</v>
      </c>
      <c r="C138">
        <v>6</v>
      </c>
      <c r="D138" s="1">
        <v>9.6</v>
      </c>
      <c r="E138" s="3">
        <v>20.303999999999998</v>
      </c>
      <c r="F138" s="8">
        <f t="shared" si="60"/>
        <v>4.7281323877068555</v>
      </c>
      <c r="G138" s="9">
        <v>3.76</v>
      </c>
      <c r="H138" s="10">
        <v>1.5433333333333332E-3</v>
      </c>
      <c r="I138" s="11">
        <f t="shared" si="61"/>
        <v>7.7850463420191529</v>
      </c>
      <c r="J138" s="9">
        <v>4.5</v>
      </c>
      <c r="K138" s="9">
        <v>2.23</v>
      </c>
      <c r="L138" s="14">
        <f t="shared" si="59"/>
        <v>8.4825582272775026</v>
      </c>
      <c r="M138" s="6"/>
      <c r="N138" s="2">
        <f t="shared" si="62"/>
        <v>-0.43088328236493373</v>
      </c>
    </row>
    <row r="139" spans="1:14" x14ac:dyDescent="0.3">
      <c r="A139">
        <v>0.6</v>
      </c>
      <c r="B139">
        <v>40</v>
      </c>
      <c r="C139">
        <v>6</v>
      </c>
      <c r="D139" s="1">
        <v>12.8</v>
      </c>
      <c r="E139" s="3">
        <v>20.303999999999998</v>
      </c>
      <c r="F139" s="8">
        <f t="shared" si="60"/>
        <v>6.3041765169424746</v>
      </c>
      <c r="G139" s="9">
        <v>3.76</v>
      </c>
      <c r="H139" s="10">
        <v>1.5433333333333332E-3</v>
      </c>
      <c r="I139" s="11">
        <f t="shared" si="61"/>
        <v>10.380061789358871</v>
      </c>
      <c r="J139" s="9">
        <v>4.5</v>
      </c>
      <c r="K139" s="9">
        <v>5.37</v>
      </c>
      <c r="L139" s="14">
        <f t="shared" si="59"/>
        <v>3.7506512944560941</v>
      </c>
      <c r="M139" s="6"/>
      <c r="N139" s="2">
        <f t="shared" si="62"/>
        <v>-2.4986100917431191</v>
      </c>
    </row>
    <row r="140" spans="1:14" x14ac:dyDescent="0.3">
      <c r="A140">
        <v>0.6</v>
      </c>
      <c r="B140">
        <v>40</v>
      </c>
      <c r="C140">
        <v>6</v>
      </c>
      <c r="D140" s="1">
        <v>16</v>
      </c>
      <c r="E140" s="3">
        <v>20.303999999999998</v>
      </c>
      <c r="F140" s="8">
        <f t="shared" si="60"/>
        <v>7.8802206461780937</v>
      </c>
      <c r="G140" s="9">
        <v>3.76</v>
      </c>
      <c r="H140" s="10">
        <v>1.5433333333333332E-3</v>
      </c>
      <c r="I140" s="11">
        <f t="shared" si="61"/>
        <v>12.97507723669859</v>
      </c>
      <c r="J140" s="9">
        <v>4.5</v>
      </c>
      <c r="K140" s="9">
        <v>6.96</v>
      </c>
      <c r="L140" s="14">
        <f t="shared" si="59"/>
        <v>1.8637158754080001</v>
      </c>
      <c r="M140" s="6"/>
      <c r="N140" s="2">
        <f t="shared" si="62"/>
        <v>-4.1972844036697241</v>
      </c>
    </row>
    <row r="141" spans="1:14" x14ac:dyDescent="0.3">
      <c r="A141">
        <v>0.6</v>
      </c>
      <c r="B141">
        <v>40</v>
      </c>
      <c r="C141">
        <v>6</v>
      </c>
      <c r="D141" s="1">
        <v>19.2</v>
      </c>
      <c r="E141" s="3">
        <v>20.303999999999998</v>
      </c>
      <c r="F141" s="8">
        <f t="shared" si="60"/>
        <v>9.456264775413711</v>
      </c>
      <c r="G141" s="9">
        <v>3.76</v>
      </c>
      <c r="H141" s="10">
        <v>1.5433333333333332E-3</v>
      </c>
      <c r="I141" s="11">
        <f t="shared" si="61"/>
        <v>15.570092684038306</v>
      </c>
      <c r="J141" s="9">
        <v>4.5</v>
      </c>
      <c r="K141" s="9">
        <v>9.08</v>
      </c>
      <c r="L141" s="14">
        <f t="shared" si="59"/>
        <v>0.64777486941000051</v>
      </c>
      <c r="M141" s="6"/>
      <c r="N141" s="2">
        <f t="shared" si="62"/>
        <v>-7.1436738022426081</v>
      </c>
    </row>
    <row r="142" spans="1:14" x14ac:dyDescent="0.3">
      <c r="A142">
        <v>0.6</v>
      </c>
      <c r="B142">
        <v>40</v>
      </c>
      <c r="C142">
        <v>6</v>
      </c>
      <c r="D142" s="1">
        <v>22.3</v>
      </c>
      <c r="E142" s="3">
        <v>20.303999999999998</v>
      </c>
      <c r="F142" s="8">
        <f t="shared" si="60"/>
        <v>10.983057525610718</v>
      </c>
      <c r="G142" s="9">
        <v>3.76</v>
      </c>
      <c r="H142" s="10">
        <v>1.5433333333333332E-3</v>
      </c>
      <c r="I142" s="11">
        <f t="shared" si="61"/>
        <v>18.08401389864866</v>
      </c>
      <c r="J142" s="9">
        <v>4.5</v>
      </c>
      <c r="K142" s="9">
        <v>11.39</v>
      </c>
      <c r="L142" s="14">
        <f t="shared" si="59"/>
        <v>-0.18620165554096771</v>
      </c>
      <c r="M142" s="6"/>
      <c r="N142" s="2">
        <f t="shared" si="62"/>
        <v>-11.240803771661568</v>
      </c>
    </row>
    <row r="143" spans="1:14" x14ac:dyDescent="0.3">
      <c r="A143">
        <v>0.6</v>
      </c>
      <c r="B143">
        <v>60</v>
      </c>
      <c r="C143">
        <v>1</v>
      </c>
      <c r="D143" s="1">
        <v>4.2</v>
      </c>
      <c r="E143" s="3">
        <v>30.456</v>
      </c>
      <c r="F143" s="8">
        <f>(D143*10^-3)/(E143*10^-4)</f>
        <v>1.3790386130811663</v>
      </c>
      <c r="G143" s="9">
        <v>5.64</v>
      </c>
      <c r="H143" s="10">
        <v>1.3789999999999998E-2</v>
      </c>
      <c r="I143" s="11">
        <f>(F143)/((9.81*G143*10^-2))^(1/2)</f>
        <v>1.8539685851815737</v>
      </c>
      <c r="J143" s="9">
        <v>3</v>
      </c>
      <c r="K143" s="9">
        <v>0</v>
      </c>
      <c r="L143" s="14">
        <f t="shared" si="59"/>
        <v>104.15868582880654</v>
      </c>
      <c r="M143" s="6"/>
      <c r="N143" s="2">
        <f>-(1.7*K143^2)/19.62</f>
        <v>0</v>
      </c>
    </row>
    <row r="144" spans="1:14" x14ac:dyDescent="0.3">
      <c r="A144">
        <v>0.6</v>
      </c>
      <c r="B144">
        <v>60</v>
      </c>
      <c r="C144">
        <v>1</v>
      </c>
      <c r="D144" s="1">
        <v>8.4</v>
      </c>
      <c r="E144" s="3">
        <v>30.456</v>
      </c>
      <c r="F144" s="8">
        <f t="shared" ref="F144:F149" si="63">(D144*10^-3)/(E144*10^-4)</f>
        <v>2.7580772261623325</v>
      </c>
      <c r="G144" s="9">
        <v>5.64</v>
      </c>
      <c r="H144" s="10">
        <v>1.3789999999999998E-2</v>
      </c>
      <c r="I144" s="11">
        <f t="shared" ref="I144:I149" si="64">(F144)/((9.81*G144*10^-2))^(1/2)</f>
        <v>3.7079371703631474</v>
      </c>
      <c r="J144" s="9">
        <v>4.5</v>
      </c>
      <c r="K144" s="9">
        <v>0</v>
      </c>
      <c r="L144" s="14">
        <f t="shared" si="59"/>
        <v>26.039671457201635</v>
      </c>
      <c r="M144" s="6"/>
      <c r="N144" s="2">
        <f t="shared" ref="N144:N149" si="65">-(1.7*K144^2)/19.62</f>
        <v>0</v>
      </c>
    </row>
    <row r="145" spans="1:14" x14ac:dyDescent="0.3">
      <c r="A145">
        <v>0.6</v>
      </c>
      <c r="B145">
        <v>60</v>
      </c>
      <c r="C145">
        <v>1</v>
      </c>
      <c r="D145" s="1">
        <v>12.6</v>
      </c>
      <c r="E145" s="3">
        <v>30.456</v>
      </c>
      <c r="F145" s="8">
        <f t="shared" si="63"/>
        <v>4.1371158392434983</v>
      </c>
      <c r="G145" s="9">
        <v>5.64</v>
      </c>
      <c r="H145" s="10">
        <v>1.3789999999999998E-2</v>
      </c>
      <c r="I145" s="11">
        <f t="shared" si="64"/>
        <v>5.5619057555447204</v>
      </c>
      <c r="J145" s="9">
        <v>4.5</v>
      </c>
      <c r="K145" s="9">
        <v>0.52</v>
      </c>
      <c r="L145" s="14">
        <f t="shared" si="59"/>
        <v>11.546330144444084</v>
      </c>
      <c r="M145" s="6"/>
      <c r="N145" s="2">
        <f t="shared" si="65"/>
        <v>-2.3429153924566768E-2</v>
      </c>
    </row>
    <row r="146" spans="1:14" x14ac:dyDescent="0.3">
      <c r="A146">
        <v>0.6</v>
      </c>
      <c r="B146">
        <v>60</v>
      </c>
      <c r="C146">
        <v>1</v>
      </c>
      <c r="D146" s="1">
        <v>16.8</v>
      </c>
      <c r="E146" s="3">
        <v>30.456</v>
      </c>
      <c r="F146" s="8">
        <f t="shared" si="63"/>
        <v>5.5161544523246651</v>
      </c>
      <c r="G146" s="9">
        <v>5.64</v>
      </c>
      <c r="H146" s="10">
        <v>1.3789999999999998E-2</v>
      </c>
      <c r="I146" s="11">
        <f t="shared" si="64"/>
        <v>7.4158743407262948</v>
      </c>
      <c r="J146" s="9">
        <v>4.5</v>
      </c>
      <c r="K146" s="9">
        <v>3.03</v>
      </c>
      <c r="L146" s="14">
        <f t="shared" si="59"/>
        <v>5.9969840353548989</v>
      </c>
      <c r="M146" s="6"/>
      <c r="N146" s="2">
        <f t="shared" si="65"/>
        <v>-0.79549082568807328</v>
      </c>
    </row>
    <row r="147" spans="1:14" x14ac:dyDescent="0.3">
      <c r="A147">
        <v>0.6</v>
      </c>
      <c r="B147">
        <v>60</v>
      </c>
      <c r="C147">
        <v>1</v>
      </c>
      <c r="D147" s="1">
        <v>21</v>
      </c>
      <c r="E147" s="3">
        <v>30.456</v>
      </c>
      <c r="F147" s="8">
        <f t="shared" si="63"/>
        <v>6.8951930654058309</v>
      </c>
      <c r="G147" s="9">
        <v>5.64</v>
      </c>
      <c r="H147" s="10">
        <v>1.3789999999999998E-2</v>
      </c>
      <c r="I147" s="11">
        <f t="shared" si="64"/>
        <v>9.2698429259078683</v>
      </c>
      <c r="J147" s="9">
        <v>4.5</v>
      </c>
      <c r="K147" s="9">
        <v>6.4</v>
      </c>
      <c r="L147" s="14">
        <f t="shared" si="59"/>
        <v>2.7017576254526694</v>
      </c>
      <c r="M147" s="6"/>
      <c r="N147" s="2">
        <f t="shared" si="65"/>
        <v>-3.5490316004077473</v>
      </c>
    </row>
    <row r="148" spans="1:14" x14ac:dyDescent="0.3">
      <c r="A148">
        <v>0.6</v>
      </c>
      <c r="B148">
        <v>60</v>
      </c>
      <c r="C148">
        <v>1</v>
      </c>
      <c r="D148" s="1">
        <v>25.2</v>
      </c>
      <c r="E148" s="3">
        <v>30.456</v>
      </c>
      <c r="F148" s="8">
        <f t="shared" si="63"/>
        <v>8.2742316784869967</v>
      </c>
      <c r="G148" s="9">
        <v>5.64</v>
      </c>
      <c r="H148" s="10">
        <v>1.3789999999999998E-2</v>
      </c>
      <c r="I148" s="11">
        <f t="shared" si="64"/>
        <v>11.123811511089441</v>
      </c>
      <c r="J148" s="9">
        <v>4.5</v>
      </c>
      <c r="K148" s="9">
        <v>9</v>
      </c>
      <c r="L148" s="14">
        <f t="shared" si="59"/>
        <v>0.88198880408816371</v>
      </c>
      <c r="M148" s="6"/>
      <c r="N148" s="2">
        <f t="shared" si="65"/>
        <v>-7.0183486238532105</v>
      </c>
    </row>
    <row r="149" spans="1:14" x14ac:dyDescent="0.3">
      <c r="A149">
        <v>0.6</v>
      </c>
      <c r="B149">
        <v>60</v>
      </c>
      <c r="C149">
        <v>1</v>
      </c>
      <c r="D149" s="1">
        <v>29.5</v>
      </c>
      <c r="E149" s="3">
        <v>30.456</v>
      </c>
      <c r="F149" s="8">
        <f t="shared" si="63"/>
        <v>9.6861045442605729</v>
      </c>
      <c r="G149" s="9">
        <v>5.64</v>
      </c>
      <c r="H149" s="10">
        <v>1.3789999999999998E-2</v>
      </c>
      <c r="I149" s="11">
        <f t="shared" si="64"/>
        <v>13.021922205442007</v>
      </c>
      <c r="J149" s="9">
        <v>4.5</v>
      </c>
      <c r="K149" s="9">
        <v>12.79</v>
      </c>
      <c r="L149" s="14">
        <f t="shared" si="59"/>
        <v>-0.85279173107722117</v>
      </c>
      <c r="M149" s="6"/>
      <c r="N149" s="2">
        <f t="shared" si="65"/>
        <v>-14.17395361875637</v>
      </c>
    </row>
    <row r="150" spans="1:14" x14ac:dyDescent="0.3">
      <c r="A150">
        <v>0.6</v>
      </c>
      <c r="B150">
        <v>60</v>
      </c>
      <c r="C150">
        <v>2</v>
      </c>
      <c r="D150" s="1">
        <v>4.2</v>
      </c>
      <c r="E150" s="3">
        <v>30.456</v>
      </c>
      <c r="F150" s="8">
        <f>(D150*10^-3)/(E150*10^-4)</f>
        <v>1.3790386130811663</v>
      </c>
      <c r="G150" s="9">
        <v>5.64</v>
      </c>
      <c r="H150" s="10">
        <v>6.8949999999999992E-3</v>
      </c>
      <c r="I150" s="11">
        <f>(F150)/((9.81*G150*10^-2))^(1/2)</f>
        <v>1.8539685851815737</v>
      </c>
      <c r="J150" s="9">
        <v>3</v>
      </c>
      <c r="K150" s="9">
        <v>0</v>
      </c>
      <c r="L150" s="14">
        <f t="shared" si="59"/>
        <v>104.15868582880654</v>
      </c>
      <c r="M150" s="6"/>
      <c r="N150" s="2">
        <f>-(1.7*K150^2)/19.62</f>
        <v>0</v>
      </c>
    </row>
    <row r="151" spans="1:14" x14ac:dyDescent="0.3">
      <c r="A151">
        <v>0.6</v>
      </c>
      <c r="B151">
        <v>60</v>
      </c>
      <c r="C151">
        <v>2</v>
      </c>
      <c r="D151" s="1">
        <v>8.4</v>
      </c>
      <c r="E151" s="3">
        <v>30.456</v>
      </c>
      <c r="F151" s="8">
        <f t="shared" ref="F151:F156" si="66">(D151*10^-3)/(E151*10^-4)</f>
        <v>2.7580772261623325</v>
      </c>
      <c r="G151" s="9">
        <v>5.64</v>
      </c>
      <c r="H151" s="10">
        <v>6.8949999999999992E-3</v>
      </c>
      <c r="I151" s="11">
        <f t="shared" ref="I151:I156" si="67">(F151)/((9.81*G151*10^-2))^(1/2)</f>
        <v>3.7079371703631474</v>
      </c>
      <c r="J151" s="9">
        <v>4.5</v>
      </c>
      <c r="K151" s="9">
        <v>0</v>
      </c>
      <c r="L151" s="14">
        <f t="shared" si="59"/>
        <v>26.039671457201635</v>
      </c>
      <c r="M151" s="6"/>
      <c r="N151" s="2">
        <f t="shared" ref="N151:N156" si="68">-(1.7*K151^2)/19.62</f>
        <v>0</v>
      </c>
    </row>
    <row r="152" spans="1:14" x14ac:dyDescent="0.3">
      <c r="A152">
        <v>0.6</v>
      </c>
      <c r="B152">
        <v>60</v>
      </c>
      <c r="C152">
        <v>2</v>
      </c>
      <c r="D152" s="1">
        <v>12.6</v>
      </c>
      <c r="E152" s="3">
        <v>30.456</v>
      </c>
      <c r="F152" s="8">
        <f t="shared" si="66"/>
        <v>4.1371158392434983</v>
      </c>
      <c r="G152" s="9">
        <v>5.64</v>
      </c>
      <c r="H152" s="10">
        <v>6.8949999999999992E-3</v>
      </c>
      <c r="I152" s="11">
        <f t="shared" si="67"/>
        <v>5.5619057555447204</v>
      </c>
      <c r="J152" s="9">
        <v>4.5</v>
      </c>
      <c r="K152" s="9">
        <v>2.44</v>
      </c>
      <c r="L152" s="14">
        <f t="shared" si="59"/>
        <v>10.981852822726534</v>
      </c>
      <c r="M152" s="6"/>
      <c r="N152" s="2">
        <f t="shared" si="68"/>
        <v>-0.51585728848114165</v>
      </c>
    </row>
    <row r="153" spans="1:14" x14ac:dyDescent="0.3">
      <c r="A153">
        <v>0.6</v>
      </c>
      <c r="B153">
        <v>60</v>
      </c>
      <c r="C153">
        <v>2</v>
      </c>
      <c r="D153" s="1">
        <v>16.8</v>
      </c>
      <c r="E153" s="3">
        <v>30.456</v>
      </c>
      <c r="F153" s="8">
        <f t="shared" si="66"/>
        <v>5.5161544523246651</v>
      </c>
      <c r="G153" s="9">
        <v>5.64</v>
      </c>
      <c r="H153" s="10">
        <v>6.8949999999999992E-3</v>
      </c>
      <c r="I153" s="11">
        <f t="shared" si="67"/>
        <v>7.4158743407262948</v>
      </c>
      <c r="J153" s="9">
        <v>4.5</v>
      </c>
      <c r="K153" s="9">
        <v>4.8899999999999997</v>
      </c>
      <c r="L153" s="14">
        <f t="shared" si="59"/>
        <v>5.1739567917336746</v>
      </c>
      <c r="M153" s="6"/>
      <c r="N153" s="2">
        <f t="shared" si="68"/>
        <v>-2.0718944954128431</v>
      </c>
    </row>
    <row r="154" spans="1:14" x14ac:dyDescent="0.3">
      <c r="A154">
        <v>0.6</v>
      </c>
      <c r="B154">
        <v>60</v>
      </c>
      <c r="C154">
        <v>2</v>
      </c>
      <c r="D154" s="1">
        <v>21</v>
      </c>
      <c r="E154" s="3">
        <v>30.456</v>
      </c>
      <c r="F154" s="8">
        <f t="shared" si="66"/>
        <v>6.8951930654058309</v>
      </c>
      <c r="G154" s="9">
        <v>5.64</v>
      </c>
      <c r="H154" s="10">
        <v>6.8949999999999992E-3</v>
      </c>
      <c r="I154" s="11">
        <f t="shared" si="67"/>
        <v>9.2698429259078683</v>
      </c>
      <c r="J154" s="9">
        <v>4.5</v>
      </c>
      <c r="K154" s="9">
        <v>9.18</v>
      </c>
      <c r="L154" s="14">
        <f t="shared" si="59"/>
        <v>1.1530540222542378</v>
      </c>
      <c r="M154" s="6"/>
      <c r="N154" s="2">
        <f t="shared" si="68"/>
        <v>-7.3018899082568787</v>
      </c>
    </row>
    <row r="155" spans="1:14" x14ac:dyDescent="0.3">
      <c r="A155">
        <v>0.6</v>
      </c>
      <c r="B155">
        <v>60</v>
      </c>
      <c r="C155">
        <v>2</v>
      </c>
      <c r="D155" s="1">
        <v>25.2</v>
      </c>
      <c r="E155" s="3">
        <v>30.456</v>
      </c>
      <c r="F155" s="8">
        <f t="shared" si="66"/>
        <v>8.2742316784869967</v>
      </c>
      <c r="G155" s="9">
        <v>5.64</v>
      </c>
      <c r="H155" s="10">
        <v>6.8949999999999992E-3</v>
      </c>
      <c r="I155" s="11">
        <f t="shared" si="67"/>
        <v>11.123811511089441</v>
      </c>
      <c r="J155" s="9">
        <v>4.5</v>
      </c>
      <c r="K155" s="9">
        <v>11.12</v>
      </c>
      <c r="L155" s="14">
        <f t="shared" si="59"/>
        <v>-0.17716103541550965</v>
      </c>
      <c r="M155" s="6"/>
      <c r="N155" s="2">
        <f t="shared" si="68"/>
        <v>-10.714193679918449</v>
      </c>
    </row>
    <row r="156" spans="1:14" x14ac:dyDescent="0.3">
      <c r="A156">
        <v>0.6</v>
      </c>
      <c r="B156">
        <v>60</v>
      </c>
      <c r="C156">
        <v>2</v>
      </c>
      <c r="D156" s="1">
        <v>29.5</v>
      </c>
      <c r="E156" s="3">
        <v>30.456</v>
      </c>
      <c r="F156" s="8">
        <f t="shared" si="66"/>
        <v>9.6861045442605729</v>
      </c>
      <c r="G156" s="9">
        <v>5.64</v>
      </c>
      <c r="H156" s="10">
        <v>6.8949999999999992E-3</v>
      </c>
      <c r="I156" s="11">
        <f t="shared" si="67"/>
        <v>13.021922205442007</v>
      </c>
      <c r="J156" s="9">
        <v>4.5</v>
      </c>
      <c r="K156" s="9">
        <v>14.27</v>
      </c>
      <c r="L156" s="14">
        <f t="shared" si="59"/>
        <v>-1.5784633275606514</v>
      </c>
      <c r="M156" s="6"/>
      <c r="N156" s="2">
        <f t="shared" si="68"/>
        <v>-17.644033129459732</v>
      </c>
    </row>
    <row r="157" spans="1:14" x14ac:dyDescent="0.3">
      <c r="A157">
        <v>0.6</v>
      </c>
      <c r="B157">
        <v>60</v>
      </c>
      <c r="C157">
        <v>4</v>
      </c>
      <c r="D157" s="1">
        <v>4.2</v>
      </c>
      <c r="E157" s="3">
        <v>30.456</v>
      </c>
      <c r="F157" s="8">
        <f>(D157*10^-3)/(E157*10^-4)</f>
        <v>1.3790386130811663</v>
      </c>
      <c r="G157" s="9">
        <v>5.64</v>
      </c>
      <c r="H157" s="10">
        <v>3.4474999999999996E-3</v>
      </c>
      <c r="I157" s="11">
        <f>(F157)/((9.81*G157*10^-2))^(1/2)</f>
        <v>1.8539685851815737</v>
      </c>
      <c r="J157" s="9">
        <v>3</v>
      </c>
      <c r="K157" s="9">
        <v>0</v>
      </c>
      <c r="L157" s="14">
        <f t="shared" si="59"/>
        <v>104.15868582880654</v>
      </c>
      <c r="M157" s="6"/>
      <c r="N157" s="2">
        <f>-(1.7*K157^2)/19.62</f>
        <v>0</v>
      </c>
    </row>
    <row r="158" spans="1:14" x14ac:dyDescent="0.3">
      <c r="A158">
        <v>0.6</v>
      </c>
      <c r="B158">
        <v>60</v>
      </c>
      <c r="C158">
        <v>4</v>
      </c>
      <c r="D158" s="1">
        <v>8.4</v>
      </c>
      <c r="E158" s="3">
        <v>30.456</v>
      </c>
      <c r="F158" s="8">
        <f t="shared" ref="F158:F163" si="69">(D158*10^-3)/(E158*10^-4)</f>
        <v>2.7580772261623325</v>
      </c>
      <c r="G158" s="9">
        <v>5.64</v>
      </c>
      <c r="H158" s="10">
        <v>3.4474999999999996E-3</v>
      </c>
      <c r="I158" s="11">
        <f t="shared" ref="I158:I163" si="70">(F158)/((9.81*G158*10^-2))^(1/2)</f>
        <v>3.7079371703631474</v>
      </c>
      <c r="J158" s="9">
        <v>3</v>
      </c>
      <c r="K158" s="9">
        <v>0</v>
      </c>
      <c r="L158" s="14">
        <f t="shared" si="59"/>
        <v>26.039671457201635</v>
      </c>
      <c r="M158" s="6"/>
      <c r="N158" s="2">
        <f t="shared" ref="N158:N163" si="71">-(1.7*K158^2)/19.62</f>
        <v>0</v>
      </c>
    </row>
    <row r="159" spans="1:14" x14ac:dyDescent="0.3">
      <c r="A159">
        <v>0.6</v>
      </c>
      <c r="B159">
        <v>60</v>
      </c>
      <c r="C159">
        <v>4</v>
      </c>
      <c r="D159" s="1">
        <v>12.6</v>
      </c>
      <c r="E159" s="3">
        <v>30.456</v>
      </c>
      <c r="F159" s="8">
        <f t="shared" si="69"/>
        <v>4.1371158392434983</v>
      </c>
      <c r="G159" s="9">
        <v>5.64</v>
      </c>
      <c r="H159" s="10">
        <v>3.4474999999999996E-3</v>
      </c>
      <c r="I159" s="11">
        <f t="shared" si="70"/>
        <v>5.5619057555447204</v>
      </c>
      <c r="J159" s="9">
        <v>4.5</v>
      </c>
      <c r="K159" s="9">
        <v>1.56</v>
      </c>
      <c r="L159" s="14">
        <f t="shared" si="59"/>
        <v>11.331472785502044</v>
      </c>
      <c r="M159" s="6"/>
      <c r="N159" s="2">
        <f t="shared" si="71"/>
        <v>-0.21086238532110094</v>
      </c>
    </row>
    <row r="160" spans="1:14" x14ac:dyDescent="0.3">
      <c r="A160">
        <v>0.6</v>
      </c>
      <c r="B160">
        <v>60</v>
      </c>
      <c r="C160">
        <v>4</v>
      </c>
      <c r="D160" s="1">
        <v>16.8</v>
      </c>
      <c r="E160" s="3">
        <v>30.456</v>
      </c>
      <c r="F160" s="8">
        <f t="shared" si="69"/>
        <v>5.5161544523246651</v>
      </c>
      <c r="G160" s="9">
        <v>5.64</v>
      </c>
      <c r="H160" s="10">
        <v>3.4474999999999996E-3</v>
      </c>
      <c r="I160" s="11">
        <f t="shared" si="70"/>
        <v>7.4158743407262948</v>
      </c>
      <c r="J160" s="9">
        <v>4.5</v>
      </c>
      <c r="K160" s="9">
        <v>4.49</v>
      </c>
      <c r="L160" s="14">
        <f t="shared" si="59"/>
        <v>5.3835797836193882</v>
      </c>
      <c r="M160" s="6"/>
      <c r="N160" s="2">
        <f t="shared" si="71"/>
        <v>-1.7467976554536189</v>
      </c>
    </row>
    <row r="161" spans="1:14" x14ac:dyDescent="0.3">
      <c r="A161">
        <v>0.6</v>
      </c>
      <c r="B161">
        <v>60</v>
      </c>
      <c r="C161">
        <v>4</v>
      </c>
      <c r="D161" s="1">
        <v>21</v>
      </c>
      <c r="E161" s="3">
        <v>30.456</v>
      </c>
      <c r="F161" s="8">
        <f t="shared" si="69"/>
        <v>6.8951930654058309</v>
      </c>
      <c r="G161" s="9">
        <v>5.64</v>
      </c>
      <c r="H161" s="10">
        <v>3.4474999999999996E-3</v>
      </c>
      <c r="I161" s="11">
        <f t="shared" si="70"/>
        <v>9.2698429259078683</v>
      </c>
      <c r="J161" s="9">
        <v>4.5</v>
      </c>
      <c r="K161" s="9">
        <v>6.73</v>
      </c>
      <c r="L161" s="14">
        <f t="shared" si="59"/>
        <v>2.5468279091982371</v>
      </c>
      <c r="M161" s="6"/>
      <c r="N161" s="2">
        <f t="shared" si="71"/>
        <v>-3.9244612640163097</v>
      </c>
    </row>
    <row r="162" spans="1:14" x14ac:dyDescent="0.3">
      <c r="A162">
        <v>0.6</v>
      </c>
      <c r="B162">
        <v>60</v>
      </c>
      <c r="C162">
        <v>4</v>
      </c>
      <c r="D162" s="1">
        <v>25.2</v>
      </c>
      <c r="E162" s="3">
        <v>30.456</v>
      </c>
      <c r="F162" s="8">
        <f t="shared" si="69"/>
        <v>8.2742316784869967</v>
      </c>
      <c r="G162" s="9">
        <v>5.64</v>
      </c>
      <c r="H162" s="10">
        <v>3.4474999999999996E-3</v>
      </c>
      <c r="I162" s="11">
        <f t="shared" si="70"/>
        <v>11.123811511089441</v>
      </c>
      <c r="J162" s="9">
        <v>4.5</v>
      </c>
      <c r="K162" s="9">
        <v>7.18</v>
      </c>
      <c r="L162" s="14">
        <f t="shared" si="59"/>
        <v>1.6132010779395924</v>
      </c>
      <c r="M162" s="6"/>
      <c r="N162" s="2">
        <f t="shared" si="71"/>
        <v>-4.4668236493374103</v>
      </c>
    </row>
    <row r="163" spans="1:14" x14ac:dyDescent="0.3">
      <c r="A163">
        <v>0.6</v>
      </c>
      <c r="B163">
        <v>60</v>
      </c>
      <c r="C163">
        <v>4</v>
      </c>
      <c r="D163" s="1">
        <v>29.5</v>
      </c>
      <c r="E163" s="3">
        <v>30.456</v>
      </c>
      <c r="F163" s="8">
        <f t="shared" si="69"/>
        <v>9.6861045442605729</v>
      </c>
      <c r="G163" s="9">
        <v>5.64</v>
      </c>
      <c r="H163" s="10">
        <v>3.4474999999999996E-3</v>
      </c>
      <c r="I163" s="11">
        <f t="shared" si="70"/>
        <v>13.021922205442007</v>
      </c>
      <c r="J163" s="9">
        <v>4.5</v>
      </c>
      <c r="K163" s="9">
        <v>8.82</v>
      </c>
      <c r="L163" s="14">
        <f t="shared" si="59"/>
        <v>0.70172675397170747</v>
      </c>
      <c r="M163" s="6"/>
      <c r="N163" s="2">
        <f t="shared" si="71"/>
        <v>-6.7404220183486236</v>
      </c>
    </row>
    <row r="164" spans="1:14" x14ac:dyDescent="0.3">
      <c r="A164">
        <v>0.6</v>
      </c>
      <c r="B164">
        <v>60</v>
      </c>
      <c r="C164">
        <v>6</v>
      </c>
      <c r="D164" s="1">
        <v>4.2</v>
      </c>
      <c r="E164" s="3">
        <v>30.456</v>
      </c>
      <c r="F164" s="8">
        <f>(D164*10^-3)/(E164*10^-4)</f>
        <v>1.3790386130811663</v>
      </c>
      <c r="G164" s="9">
        <v>5.64</v>
      </c>
      <c r="H164" s="10">
        <v>2.2983333333333332E-3</v>
      </c>
      <c r="I164" s="11">
        <f>(F164)/((9.81*G164*10^-2))^(1/2)</f>
        <v>1.8539685851815737</v>
      </c>
      <c r="J164" s="9">
        <v>3</v>
      </c>
      <c r="K164" s="9">
        <v>0</v>
      </c>
      <c r="L164" s="14">
        <f t="shared" si="59"/>
        <v>104.15868582880654</v>
      </c>
      <c r="M164" s="6"/>
      <c r="N164" s="2">
        <f>-(1.7*K164^2)/19.62</f>
        <v>0</v>
      </c>
    </row>
    <row r="165" spans="1:14" x14ac:dyDescent="0.3">
      <c r="A165">
        <v>0.6</v>
      </c>
      <c r="B165">
        <v>60</v>
      </c>
      <c r="C165">
        <v>6</v>
      </c>
      <c r="D165" s="1">
        <v>8.4</v>
      </c>
      <c r="E165" s="3">
        <v>30.456</v>
      </c>
      <c r="F165" s="8">
        <f t="shared" ref="F165:F228" si="72">(D165*10^-3)/(E165*10^-4)</f>
        <v>2.7580772261623325</v>
      </c>
      <c r="G165" s="9">
        <v>5.64</v>
      </c>
      <c r="H165" s="10">
        <v>2.2983333333333332E-3</v>
      </c>
      <c r="I165" s="11">
        <f t="shared" ref="I165:I228" si="73">(F165)/((9.81*G165*10^-2))^(1/2)</f>
        <v>3.7079371703631474</v>
      </c>
      <c r="J165" s="9">
        <v>3</v>
      </c>
      <c r="K165" s="9">
        <v>0</v>
      </c>
      <c r="L165" s="14">
        <f t="shared" si="59"/>
        <v>26.039671457201635</v>
      </c>
      <c r="M165" s="6"/>
      <c r="N165" s="2">
        <f t="shared" ref="N165:N170" si="74">-(1.7*K165^2)/19.62</f>
        <v>0</v>
      </c>
    </row>
    <row r="166" spans="1:14" x14ac:dyDescent="0.3">
      <c r="A166">
        <v>0.6</v>
      </c>
      <c r="B166">
        <v>60</v>
      </c>
      <c r="C166">
        <v>6</v>
      </c>
      <c r="D166" s="1">
        <v>12.6</v>
      </c>
      <c r="E166" s="3">
        <v>30.456</v>
      </c>
      <c r="F166" s="8">
        <f t="shared" si="72"/>
        <v>4.1371158392434983</v>
      </c>
      <c r="G166" s="9">
        <v>5.64</v>
      </c>
      <c r="H166" s="10">
        <v>2.2983333333333332E-3</v>
      </c>
      <c r="I166" s="11">
        <f t="shared" si="73"/>
        <v>5.5619057555447204</v>
      </c>
      <c r="J166" s="9">
        <v>1.5</v>
      </c>
      <c r="K166" s="9">
        <v>0</v>
      </c>
      <c r="L166" s="14">
        <f t="shared" si="59"/>
        <v>11.57318731431184</v>
      </c>
      <c r="M166" s="6"/>
      <c r="N166" s="2">
        <f t="shared" si="74"/>
        <v>0</v>
      </c>
    </row>
    <row r="167" spans="1:14" x14ac:dyDescent="0.3">
      <c r="A167">
        <v>0.6</v>
      </c>
      <c r="B167">
        <v>60</v>
      </c>
      <c r="C167">
        <v>6</v>
      </c>
      <c r="D167" s="1">
        <v>16.8</v>
      </c>
      <c r="E167" s="3">
        <v>30.456</v>
      </c>
      <c r="F167" s="8">
        <f t="shared" si="72"/>
        <v>5.5161544523246651</v>
      </c>
      <c r="G167" s="9">
        <v>5.64</v>
      </c>
      <c r="H167" s="10">
        <v>2.2983333333333332E-3</v>
      </c>
      <c r="I167" s="11">
        <f t="shared" si="73"/>
        <v>7.4158743407262948</v>
      </c>
      <c r="J167" s="9">
        <v>3</v>
      </c>
      <c r="K167" s="9">
        <v>0</v>
      </c>
      <c r="L167" s="14">
        <f t="shared" si="59"/>
        <v>6.5099178643004088</v>
      </c>
      <c r="M167" s="6"/>
      <c r="N167" s="2">
        <f t="shared" si="74"/>
        <v>0</v>
      </c>
    </row>
    <row r="168" spans="1:14" x14ac:dyDescent="0.3">
      <c r="A168">
        <v>0.6</v>
      </c>
      <c r="B168">
        <v>60</v>
      </c>
      <c r="C168">
        <v>6</v>
      </c>
      <c r="D168" s="1">
        <v>21</v>
      </c>
      <c r="E168" s="3">
        <v>30.456</v>
      </c>
      <c r="F168" s="8">
        <f t="shared" si="72"/>
        <v>6.8951930654058309</v>
      </c>
      <c r="G168" s="9">
        <v>5.64</v>
      </c>
      <c r="H168" s="10">
        <v>2.2983333333333332E-3</v>
      </c>
      <c r="I168" s="11">
        <f t="shared" si="73"/>
        <v>9.2698429259078683</v>
      </c>
      <c r="J168" s="9">
        <v>3</v>
      </c>
      <c r="K168" s="9">
        <v>0.75</v>
      </c>
      <c r="L168" s="14">
        <f t="shared" si="59"/>
        <v>4.1462343529073635</v>
      </c>
      <c r="M168" s="6"/>
      <c r="N168" s="2">
        <f t="shared" si="74"/>
        <v>-4.8738532110091735E-2</v>
      </c>
    </row>
    <row r="169" spans="1:14" x14ac:dyDescent="0.3">
      <c r="A169">
        <v>0.6</v>
      </c>
      <c r="B169">
        <v>60</v>
      </c>
      <c r="C169">
        <v>6</v>
      </c>
      <c r="D169" s="1">
        <v>25.2</v>
      </c>
      <c r="E169" s="3">
        <v>30.456</v>
      </c>
      <c r="F169" s="8">
        <f t="shared" si="72"/>
        <v>8.2742316784869967</v>
      </c>
      <c r="G169" s="9">
        <v>5.64</v>
      </c>
      <c r="H169" s="10">
        <v>2.2983333333333332E-3</v>
      </c>
      <c r="I169" s="11">
        <f t="shared" si="73"/>
        <v>11.123811511089441</v>
      </c>
      <c r="J169" s="9">
        <v>4.5</v>
      </c>
      <c r="K169" s="9">
        <v>1.06</v>
      </c>
      <c r="L169" s="14">
        <f t="shared" si="59"/>
        <v>2.8653967582530617</v>
      </c>
      <c r="M169" s="6"/>
      <c r="N169" s="2">
        <f t="shared" si="74"/>
        <v>-9.7355759429153935E-2</v>
      </c>
    </row>
    <row r="170" spans="1:14" x14ac:dyDescent="0.3">
      <c r="A170">
        <v>0.6</v>
      </c>
      <c r="B170">
        <v>60</v>
      </c>
      <c r="C170">
        <v>6</v>
      </c>
      <c r="D170" s="1">
        <v>29.5</v>
      </c>
      <c r="E170" s="3">
        <v>30.456</v>
      </c>
      <c r="F170" s="8">
        <f t="shared" si="72"/>
        <v>9.6861045442605729</v>
      </c>
      <c r="G170" s="9">
        <v>5.64</v>
      </c>
      <c r="H170" s="10">
        <v>2.2983333333333332E-3</v>
      </c>
      <c r="I170" s="11">
        <f t="shared" si="73"/>
        <v>13.021922205442007</v>
      </c>
      <c r="J170" s="9">
        <v>4.5</v>
      </c>
      <c r="K170" s="9">
        <v>1.64</v>
      </c>
      <c r="L170" s="14">
        <f t="shared" si="59"/>
        <v>2.0625657498061845</v>
      </c>
      <c r="M170" s="6"/>
      <c r="N170" s="2">
        <f t="shared" si="74"/>
        <v>-0.23304383282364929</v>
      </c>
    </row>
    <row r="171" spans="1:14" x14ac:dyDescent="0.3">
      <c r="A171">
        <f>100/60</f>
        <v>1.6666666666666667</v>
      </c>
      <c r="B171">
        <v>10</v>
      </c>
      <c r="C171">
        <v>1</v>
      </c>
      <c r="D171" s="1">
        <v>0.95</v>
      </c>
      <c r="E171" s="3">
        <v>5.0759999999999996</v>
      </c>
      <c r="F171" s="8">
        <f t="shared" si="72"/>
        <v>1.8715524034672972</v>
      </c>
      <c r="G171" s="11">
        <v>0.54</v>
      </c>
      <c r="H171" s="15">
        <v>2.5500000000000002E-3</v>
      </c>
      <c r="I171" s="11">
        <f t="shared" si="73"/>
        <v>8.131498912699044</v>
      </c>
      <c r="J171" s="16">
        <v>4.5</v>
      </c>
      <c r="K171" s="9">
        <v>0</v>
      </c>
      <c r="L171" s="14">
        <f t="shared" si="59"/>
        <v>56.551530256083318</v>
      </c>
      <c r="M171" s="6"/>
      <c r="N171" s="2">
        <f>-(1.7*K171^2)/19.62</f>
        <v>0</v>
      </c>
    </row>
    <row r="172" spans="1:14" x14ac:dyDescent="0.3">
      <c r="A172">
        <f t="shared" ref="A172:A235" si="75">100/60</f>
        <v>1.6666666666666667</v>
      </c>
      <c r="B172">
        <v>10</v>
      </c>
      <c r="C172">
        <v>1</v>
      </c>
      <c r="D172" s="1">
        <v>1.9</v>
      </c>
      <c r="E172" s="3">
        <v>5.0759999999999996</v>
      </c>
      <c r="F172" s="8">
        <f t="shared" si="72"/>
        <v>3.7431048069345945</v>
      </c>
      <c r="G172" s="11">
        <v>0.54</v>
      </c>
      <c r="H172" s="15">
        <v>2.5500000000000002E-3</v>
      </c>
      <c r="I172" s="11">
        <f t="shared" si="73"/>
        <v>16.262997825398088</v>
      </c>
      <c r="J172" s="16">
        <v>4.5</v>
      </c>
      <c r="K172" s="9">
        <v>0.6</v>
      </c>
      <c r="L172" s="14">
        <f t="shared" si="59"/>
        <v>14.094202079500052</v>
      </c>
      <c r="M172" s="6"/>
      <c r="N172" s="2">
        <f t="shared" ref="N172:N177" si="76">-(1.7*K172^2)/19.62</f>
        <v>-3.1192660550458714E-2</v>
      </c>
    </row>
    <row r="173" spans="1:14" x14ac:dyDescent="0.3">
      <c r="A173">
        <f t="shared" si="75"/>
        <v>1.6666666666666667</v>
      </c>
      <c r="B173">
        <v>10</v>
      </c>
      <c r="C173">
        <v>1</v>
      </c>
      <c r="D173" s="1">
        <v>2.85</v>
      </c>
      <c r="E173" s="3">
        <v>5.0759999999999996</v>
      </c>
      <c r="F173" s="8">
        <f t="shared" si="72"/>
        <v>5.6146572104018917</v>
      </c>
      <c r="G173" s="11">
        <v>0.54</v>
      </c>
      <c r="H173" s="15">
        <v>2.5500000000000002E-3</v>
      </c>
      <c r="I173" s="11">
        <f t="shared" si="73"/>
        <v>24.394496738097136</v>
      </c>
      <c r="J173" s="16">
        <v>4.5</v>
      </c>
      <c r="K173" s="9">
        <v>2.11</v>
      </c>
      <c r="L173" s="14">
        <f t="shared" si="59"/>
        <v>6.0434170838426597</v>
      </c>
      <c r="M173" s="6"/>
      <c r="N173" s="2">
        <f t="shared" si="76"/>
        <v>-0.38575790010193672</v>
      </c>
    </row>
    <row r="174" spans="1:14" x14ac:dyDescent="0.3">
      <c r="A174">
        <f t="shared" si="75"/>
        <v>1.6666666666666667</v>
      </c>
      <c r="B174">
        <v>10</v>
      </c>
      <c r="C174">
        <v>1</v>
      </c>
      <c r="D174" s="1">
        <v>3.8</v>
      </c>
      <c r="E174" s="3">
        <v>5.0759999999999996</v>
      </c>
      <c r="F174" s="8">
        <f t="shared" si="72"/>
        <v>7.4862096138691889</v>
      </c>
      <c r="G174" s="11">
        <v>0.54</v>
      </c>
      <c r="H174" s="15">
        <v>2.5500000000000002E-3</v>
      </c>
      <c r="I174" s="11">
        <f t="shared" si="73"/>
        <v>32.525995650796176</v>
      </c>
      <c r="J174" s="16">
        <v>4.5</v>
      </c>
      <c r="K174" s="9">
        <v>5.12</v>
      </c>
      <c r="L174" s="14">
        <f t="shared" si="59"/>
        <v>2.7392916872403319</v>
      </c>
      <c r="M174" s="6"/>
      <c r="N174" s="2">
        <f t="shared" si="76"/>
        <v>-2.2713802242609584</v>
      </c>
    </row>
    <row r="175" spans="1:14" x14ac:dyDescent="0.3">
      <c r="A175">
        <f t="shared" si="75"/>
        <v>1.6666666666666667</v>
      </c>
      <c r="B175">
        <v>10</v>
      </c>
      <c r="C175">
        <v>1</v>
      </c>
      <c r="D175" s="1">
        <v>4.75</v>
      </c>
      <c r="E175" s="3">
        <v>5.0759999999999996</v>
      </c>
      <c r="F175" s="8">
        <f t="shared" si="72"/>
        <v>9.3577620173364853</v>
      </c>
      <c r="G175" s="11">
        <v>0.54</v>
      </c>
      <c r="H175" s="15">
        <v>2.5500000000000002E-3</v>
      </c>
      <c r="I175" s="11">
        <f t="shared" si="73"/>
        <v>40.65749456349522</v>
      </c>
      <c r="J175" s="16">
        <v>4.5</v>
      </c>
      <c r="K175" s="9">
        <v>9.1999999999999993</v>
      </c>
      <c r="L175" s="14">
        <f t="shared" si="59"/>
        <v>0.61889845031513391</v>
      </c>
      <c r="M175" s="6"/>
      <c r="N175" s="2">
        <f t="shared" si="76"/>
        <v>-7.3337410805300696</v>
      </c>
    </row>
    <row r="176" spans="1:14" x14ac:dyDescent="0.3">
      <c r="A176">
        <f t="shared" si="75"/>
        <v>1.6666666666666667</v>
      </c>
      <c r="B176">
        <v>10</v>
      </c>
      <c r="C176">
        <v>1</v>
      </c>
      <c r="D176" s="1">
        <v>5.7</v>
      </c>
      <c r="E176" s="3">
        <v>5.0759999999999996</v>
      </c>
      <c r="F176" s="8">
        <f t="shared" si="72"/>
        <v>11.229314420803783</v>
      </c>
      <c r="G176" s="11">
        <v>0.54</v>
      </c>
      <c r="H176" s="15">
        <v>2.5500000000000002E-3</v>
      </c>
      <c r="I176" s="11">
        <f t="shared" si="73"/>
        <v>48.788993476194271</v>
      </c>
      <c r="J176" s="16">
        <v>4.5</v>
      </c>
      <c r="K176" s="9">
        <v>15.01</v>
      </c>
      <c r="L176" s="14">
        <f t="shared" si="59"/>
        <v>-1.4665369776332404</v>
      </c>
      <c r="M176" s="6"/>
      <c r="N176" s="2">
        <f t="shared" si="76"/>
        <v>-19.521415392456674</v>
      </c>
    </row>
    <row r="177" spans="1:14" x14ac:dyDescent="0.3">
      <c r="A177">
        <f t="shared" si="75"/>
        <v>1.6666666666666667</v>
      </c>
      <c r="B177">
        <v>10</v>
      </c>
      <c r="C177">
        <v>1</v>
      </c>
      <c r="D177" s="1">
        <v>6.7</v>
      </c>
      <c r="E177" s="3">
        <v>5.0759999999999996</v>
      </c>
      <c r="F177" s="8">
        <f t="shared" si="72"/>
        <v>13.199369582348307</v>
      </c>
      <c r="G177" s="11">
        <v>0.54</v>
      </c>
      <c r="H177" s="15">
        <v>2.5500000000000002E-3</v>
      </c>
      <c r="I177" s="11">
        <f t="shared" si="73"/>
        <v>57.348466015877477</v>
      </c>
      <c r="J177" s="16">
        <v>4.5</v>
      </c>
      <c r="K177" s="9">
        <v>18.13</v>
      </c>
      <c r="L177" s="14">
        <f t="shared" si="59"/>
        <v>-2.0703378435707185</v>
      </c>
      <c r="M177" s="6"/>
      <c r="N177" s="2">
        <f t="shared" si="76"/>
        <v>-28.48036340468909</v>
      </c>
    </row>
    <row r="178" spans="1:14" x14ac:dyDescent="0.3">
      <c r="A178">
        <f t="shared" si="75"/>
        <v>1.6666666666666667</v>
      </c>
      <c r="B178">
        <v>10</v>
      </c>
      <c r="C178">
        <v>2</v>
      </c>
      <c r="D178" s="1">
        <v>0.95</v>
      </c>
      <c r="E178" s="3">
        <v>5.0759999999999996</v>
      </c>
      <c r="F178" s="8">
        <f t="shared" si="72"/>
        <v>1.8715524034672972</v>
      </c>
      <c r="G178" s="11">
        <v>0.54</v>
      </c>
      <c r="H178" s="15">
        <v>1.2750000000000001E-3</v>
      </c>
      <c r="I178" s="11">
        <f t="shared" si="73"/>
        <v>8.131498912699044</v>
      </c>
      <c r="J178" s="16">
        <v>4.5</v>
      </c>
      <c r="K178" s="9">
        <v>0.6</v>
      </c>
      <c r="L178" s="14">
        <f t="shared" si="59"/>
        <v>56.376808318000208</v>
      </c>
      <c r="M178" s="6"/>
      <c r="N178" s="2">
        <f>-(1.7*K178^2)/19.62</f>
        <v>-3.1192660550458714E-2</v>
      </c>
    </row>
    <row r="179" spans="1:14" x14ac:dyDescent="0.3">
      <c r="A179">
        <f t="shared" si="75"/>
        <v>1.6666666666666667</v>
      </c>
      <c r="B179">
        <v>10</v>
      </c>
      <c r="C179">
        <v>2</v>
      </c>
      <c r="D179" s="1">
        <v>1.9</v>
      </c>
      <c r="E179" s="3">
        <v>5.0759999999999996</v>
      </c>
      <c r="F179" s="8">
        <f t="shared" si="72"/>
        <v>3.7431048069345945</v>
      </c>
      <c r="G179" s="11">
        <v>0.54</v>
      </c>
      <c r="H179" s="15">
        <v>1.2750000000000001E-3</v>
      </c>
      <c r="I179" s="11">
        <f t="shared" si="73"/>
        <v>16.262997825398088</v>
      </c>
      <c r="J179" s="16">
        <v>4.5</v>
      </c>
      <c r="K179" s="9">
        <v>2.1800000000000002</v>
      </c>
      <c r="L179" s="14">
        <f t="shared" si="59"/>
        <v>13.561251634474901</v>
      </c>
      <c r="M179" s="6"/>
      <c r="N179" s="2">
        <f t="shared" ref="N179:N184" si="77">-(1.7*K179^2)/19.62</f>
        <v>-0.4117777777777778</v>
      </c>
    </row>
    <row r="180" spans="1:14" x14ac:dyDescent="0.3">
      <c r="A180">
        <f t="shared" si="75"/>
        <v>1.6666666666666667</v>
      </c>
      <c r="B180">
        <v>10</v>
      </c>
      <c r="C180">
        <v>2</v>
      </c>
      <c r="D180" s="1">
        <v>2.85</v>
      </c>
      <c r="E180" s="3">
        <v>5.0759999999999996</v>
      </c>
      <c r="F180" s="8">
        <f t="shared" si="72"/>
        <v>5.6146572104018917</v>
      </c>
      <c r="G180" s="11">
        <v>0.54</v>
      </c>
      <c r="H180" s="15">
        <v>1.2750000000000001E-3</v>
      </c>
      <c r="I180" s="11">
        <f t="shared" si="73"/>
        <v>24.394496738097136</v>
      </c>
      <c r="J180" s="16">
        <v>4.5</v>
      </c>
      <c r="K180" s="9">
        <v>5.92</v>
      </c>
      <c r="L180" s="14">
        <f t="shared" si="59"/>
        <v>4.3935728275785042</v>
      </c>
      <c r="M180" s="6"/>
      <c r="N180" s="2">
        <f t="shared" si="77"/>
        <v>-3.0366401630988786</v>
      </c>
    </row>
    <row r="181" spans="1:14" x14ac:dyDescent="0.3">
      <c r="A181">
        <f t="shared" si="75"/>
        <v>1.6666666666666667</v>
      </c>
      <c r="B181">
        <v>10</v>
      </c>
      <c r="C181">
        <v>2</v>
      </c>
      <c r="D181" s="1">
        <v>3.8</v>
      </c>
      <c r="E181" s="3">
        <v>5.0759999999999996</v>
      </c>
      <c r="F181" s="8">
        <f t="shared" si="72"/>
        <v>7.4862096138691889</v>
      </c>
      <c r="G181" s="11">
        <v>0.54</v>
      </c>
      <c r="H181" s="15">
        <v>1.2750000000000001E-3</v>
      </c>
      <c r="I181" s="11">
        <f t="shared" si="73"/>
        <v>32.525995650796176</v>
      </c>
      <c r="J181" s="16">
        <v>4.5</v>
      </c>
      <c r="K181" s="9">
        <v>10.45</v>
      </c>
      <c r="L181" s="14">
        <f t="shared" si="59"/>
        <v>0.22195806400520815</v>
      </c>
      <c r="M181" s="6"/>
      <c r="N181" s="2">
        <f t="shared" si="77"/>
        <v>-9.4619903160040764</v>
      </c>
    </row>
    <row r="182" spans="1:14" x14ac:dyDescent="0.3">
      <c r="A182">
        <f t="shared" si="75"/>
        <v>1.6666666666666667</v>
      </c>
      <c r="B182">
        <v>10</v>
      </c>
      <c r="C182">
        <v>2</v>
      </c>
      <c r="D182" s="1">
        <v>4.75</v>
      </c>
      <c r="E182" s="3">
        <v>5.0759999999999996</v>
      </c>
      <c r="F182" s="8">
        <f t="shared" si="72"/>
        <v>9.3577620173364853</v>
      </c>
      <c r="G182" s="11">
        <v>0.54</v>
      </c>
      <c r="H182" s="15">
        <v>1.2750000000000001E-3</v>
      </c>
      <c r="I182" s="11">
        <f t="shared" si="73"/>
        <v>40.65749456349522</v>
      </c>
      <c r="J182" s="16">
        <v>4.5</v>
      </c>
      <c r="K182" s="9">
        <v>17.510000000000002</v>
      </c>
      <c r="L182" s="14">
        <f t="shared" si="59"/>
        <v>-3.6901347551425601</v>
      </c>
      <c r="M182" s="6"/>
      <c r="N182" s="2">
        <f t="shared" si="77"/>
        <v>-26.565757900101939</v>
      </c>
    </row>
    <row r="183" spans="1:14" x14ac:dyDescent="0.3">
      <c r="A183">
        <f t="shared" si="75"/>
        <v>1.6666666666666667</v>
      </c>
      <c r="B183">
        <v>10</v>
      </c>
      <c r="C183">
        <v>2</v>
      </c>
      <c r="D183" s="1">
        <v>5.7</v>
      </c>
      <c r="E183" s="3">
        <v>5.0759999999999996</v>
      </c>
      <c r="F183" s="8">
        <f t="shared" si="72"/>
        <v>11.229314420803783</v>
      </c>
      <c r="G183" s="11">
        <v>0.54</v>
      </c>
      <c r="H183" s="15">
        <v>1.2750000000000001E-3</v>
      </c>
      <c r="I183" s="11">
        <f t="shared" si="73"/>
        <v>48.788993476194271</v>
      </c>
      <c r="J183" s="16">
        <v>4.5</v>
      </c>
      <c r="K183" s="9">
        <v>24.59</v>
      </c>
      <c r="L183" s="14">
        <f t="shared" si="59"/>
        <v>-6.5810363762991688</v>
      </c>
      <c r="M183" s="6"/>
      <c r="N183" s="2">
        <f t="shared" si="77"/>
        <v>-52.39224108053007</v>
      </c>
    </row>
    <row r="184" spans="1:14" x14ac:dyDescent="0.3">
      <c r="A184">
        <f t="shared" si="75"/>
        <v>1.6666666666666667</v>
      </c>
      <c r="B184">
        <v>10</v>
      </c>
      <c r="C184">
        <v>2</v>
      </c>
      <c r="D184" s="1">
        <v>6.6</v>
      </c>
      <c r="E184" s="3">
        <v>5.0759999999999996</v>
      </c>
      <c r="F184" s="8">
        <f t="shared" si="72"/>
        <v>13.002364066193854</v>
      </c>
      <c r="G184" s="11">
        <v>0.54</v>
      </c>
      <c r="H184" s="15">
        <v>1.2750000000000001E-3</v>
      </c>
      <c r="I184" s="11">
        <f t="shared" si="73"/>
        <v>56.492518761909153</v>
      </c>
      <c r="J184" s="16">
        <v>4.5</v>
      </c>
      <c r="K184" s="9">
        <v>28.6</v>
      </c>
      <c r="L184" s="14">
        <f t="shared" si="59"/>
        <v>-7.0533426141461151</v>
      </c>
      <c r="M184" s="6"/>
      <c r="N184" s="2">
        <f t="shared" si="77"/>
        <v>-70.873190621814473</v>
      </c>
    </row>
    <row r="185" spans="1:14" x14ac:dyDescent="0.3">
      <c r="A185">
        <f t="shared" si="75"/>
        <v>1.6666666666666667</v>
      </c>
      <c r="B185">
        <v>10</v>
      </c>
      <c r="C185">
        <v>4</v>
      </c>
      <c r="D185" s="1">
        <v>0.95</v>
      </c>
      <c r="E185" s="3">
        <v>5.0759999999999996</v>
      </c>
      <c r="F185" s="8">
        <f t="shared" si="72"/>
        <v>1.8715524034672972</v>
      </c>
      <c r="G185" s="11">
        <v>0.54</v>
      </c>
      <c r="H185" s="15">
        <v>6.3750000000000005E-4</v>
      </c>
      <c r="I185" s="11">
        <f t="shared" si="73"/>
        <v>8.131498912699044</v>
      </c>
      <c r="J185" s="16">
        <v>3</v>
      </c>
      <c r="K185" s="9">
        <v>0</v>
      </c>
      <c r="L185" s="14">
        <f t="shared" si="59"/>
        <v>56.551530256083318</v>
      </c>
      <c r="M185" s="6"/>
      <c r="N185" s="2">
        <f>-(1.7*K185^2)/19.62</f>
        <v>0</v>
      </c>
    </row>
    <row r="186" spans="1:14" x14ac:dyDescent="0.3">
      <c r="A186">
        <f t="shared" si="75"/>
        <v>1.6666666666666667</v>
      </c>
      <c r="B186">
        <v>10</v>
      </c>
      <c r="C186">
        <v>4</v>
      </c>
      <c r="D186" s="1">
        <v>1.9</v>
      </c>
      <c r="E186" s="3">
        <v>5.0759999999999996</v>
      </c>
      <c r="F186" s="8">
        <f t="shared" si="72"/>
        <v>3.7431048069345945</v>
      </c>
      <c r="G186" s="11">
        <v>0.54</v>
      </c>
      <c r="H186" s="15">
        <v>6.3750000000000005E-4</v>
      </c>
      <c r="I186" s="11">
        <f t="shared" si="73"/>
        <v>16.262997825398088</v>
      </c>
      <c r="J186" s="16">
        <v>4.5</v>
      </c>
      <c r="K186" s="9">
        <v>1.43</v>
      </c>
      <c r="L186" s="14">
        <f t="shared" si="59"/>
        <v>13.889765278474901</v>
      </c>
      <c r="M186" s="6"/>
      <c r="N186" s="2">
        <f t="shared" ref="N186:N191" si="78">-(1.7*K186^2)/19.62</f>
        <v>-0.17718297655453616</v>
      </c>
    </row>
    <row r="187" spans="1:14" x14ac:dyDescent="0.3">
      <c r="A187">
        <f t="shared" si="75"/>
        <v>1.6666666666666667</v>
      </c>
      <c r="B187">
        <v>10</v>
      </c>
      <c r="C187">
        <v>4</v>
      </c>
      <c r="D187" s="1">
        <v>2.85</v>
      </c>
      <c r="E187" s="3">
        <v>5.0759999999999996</v>
      </c>
      <c r="F187" s="8">
        <f t="shared" si="72"/>
        <v>5.6146572104018917</v>
      </c>
      <c r="G187" s="11">
        <v>0.54</v>
      </c>
      <c r="H187" s="15">
        <v>6.3750000000000005E-4</v>
      </c>
      <c r="I187" s="11">
        <f t="shared" si="73"/>
        <v>24.394496738097136</v>
      </c>
      <c r="J187" s="16">
        <v>4.5</v>
      </c>
      <c r="K187" s="9">
        <v>6.63</v>
      </c>
      <c r="L187" s="14">
        <f t="shared" si="59"/>
        <v>3.9130605345879226</v>
      </c>
      <c r="M187" s="6"/>
      <c r="N187" s="2">
        <f t="shared" si="78"/>
        <v>-3.8087018348623847</v>
      </c>
    </row>
    <row r="188" spans="1:14" x14ac:dyDescent="0.3">
      <c r="A188">
        <f t="shared" si="75"/>
        <v>1.6666666666666667</v>
      </c>
      <c r="B188">
        <v>10</v>
      </c>
      <c r="C188">
        <v>4</v>
      </c>
      <c r="D188" s="1">
        <v>3.8</v>
      </c>
      <c r="E188" s="3">
        <v>5.0759999999999996</v>
      </c>
      <c r="F188" s="8">
        <f t="shared" si="72"/>
        <v>7.4862096138691889</v>
      </c>
      <c r="G188" s="11">
        <v>0.54</v>
      </c>
      <c r="H188" s="15">
        <v>6.3750000000000005E-4</v>
      </c>
      <c r="I188" s="11">
        <f t="shared" si="73"/>
        <v>32.525995650796176</v>
      </c>
      <c r="J188" s="16">
        <v>4.5</v>
      </c>
      <c r="K188" s="9">
        <v>10.37</v>
      </c>
      <c r="L188" s="14">
        <f t="shared" si="59"/>
        <v>0.27248182443423874</v>
      </c>
      <c r="M188" s="6"/>
      <c r="N188" s="2">
        <f t="shared" si="78"/>
        <v>-9.3176722731906203</v>
      </c>
    </row>
    <row r="189" spans="1:14" x14ac:dyDescent="0.3">
      <c r="A189">
        <f t="shared" si="75"/>
        <v>1.6666666666666667</v>
      </c>
      <c r="B189">
        <v>10</v>
      </c>
      <c r="C189">
        <v>4</v>
      </c>
      <c r="D189" s="1">
        <v>4.75</v>
      </c>
      <c r="E189" s="3">
        <v>5.0759999999999996</v>
      </c>
      <c r="F189" s="8">
        <f t="shared" si="72"/>
        <v>9.3577620173364853</v>
      </c>
      <c r="G189" s="11">
        <v>0.54</v>
      </c>
      <c r="H189" s="15">
        <v>6.3750000000000005E-4</v>
      </c>
      <c r="I189" s="11">
        <f t="shared" si="73"/>
        <v>40.65749456349522</v>
      </c>
      <c r="J189" s="16">
        <v>4.5</v>
      </c>
      <c r="K189" s="9">
        <v>15.64</v>
      </c>
      <c r="L189" s="14">
        <f t="shared" si="59"/>
        <v>-2.4866791659491634</v>
      </c>
      <c r="M189" s="6"/>
      <c r="N189" s="2">
        <f t="shared" si="78"/>
        <v>-21.194511722731907</v>
      </c>
    </row>
    <row r="190" spans="1:14" x14ac:dyDescent="0.3">
      <c r="A190">
        <f t="shared" si="75"/>
        <v>1.6666666666666667</v>
      </c>
      <c r="B190">
        <v>10</v>
      </c>
      <c r="C190">
        <v>4</v>
      </c>
      <c r="D190" s="1">
        <v>5.7</v>
      </c>
      <c r="E190" s="3">
        <v>5.0759999999999996</v>
      </c>
      <c r="F190" s="8">
        <f t="shared" si="72"/>
        <v>11.229314420803783</v>
      </c>
      <c r="G190" s="11">
        <v>0.54</v>
      </c>
      <c r="H190" s="15">
        <v>6.3750000000000005E-4</v>
      </c>
      <c r="I190" s="11">
        <f t="shared" si="73"/>
        <v>48.788993476194271</v>
      </c>
      <c r="J190" s="16">
        <v>4.5</v>
      </c>
      <c r="K190" s="9">
        <v>19.23</v>
      </c>
      <c r="L190" s="14">
        <f t="shared" si="59"/>
        <v>-3.4145355929923555</v>
      </c>
      <c r="M190" s="6"/>
      <c r="N190" s="2">
        <f t="shared" si="78"/>
        <v>-32.041178899082574</v>
      </c>
    </row>
    <row r="191" spans="1:14" x14ac:dyDescent="0.3">
      <c r="A191">
        <f t="shared" si="75"/>
        <v>1.6666666666666667</v>
      </c>
      <c r="B191">
        <v>10</v>
      </c>
      <c r="C191">
        <v>4</v>
      </c>
      <c r="D191" s="1">
        <v>6.6</v>
      </c>
      <c r="E191" s="3">
        <v>5.0759999999999996</v>
      </c>
      <c r="F191" s="8">
        <f t="shared" si="72"/>
        <v>13.002364066193854</v>
      </c>
      <c r="G191" s="11">
        <v>0.54</v>
      </c>
      <c r="H191" s="15">
        <v>6.3750000000000005E-4</v>
      </c>
      <c r="I191" s="11">
        <f t="shared" si="73"/>
        <v>56.492518761909153</v>
      </c>
      <c r="J191" s="16">
        <v>4.5</v>
      </c>
      <c r="K191" s="9">
        <v>22.67</v>
      </c>
      <c r="L191" s="14">
        <f t="shared" si="59"/>
        <v>-3.996153616584794</v>
      </c>
      <c r="M191" s="6"/>
      <c r="N191" s="2">
        <f t="shared" si="78"/>
        <v>-44.530027013251789</v>
      </c>
    </row>
    <row r="192" spans="1:14" x14ac:dyDescent="0.3">
      <c r="A192">
        <f t="shared" si="75"/>
        <v>1.6666666666666667</v>
      </c>
      <c r="B192">
        <v>10</v>
      </c>
      <c r="C192">
        <v>6</v>
      </c>
      <c r="D192" s="1">
        <v>0.95</v>
      </c>
      <c r="E192" s="3">
        <v>5.0759999999999996</v>
      </c>
      <c r="F192" s="8">
        <f t="shared" si="72"/>
        <v>1.8715524034672972</v>
      </c>
      <c r="G192" s="11">
        <v>0.54</v>
      </c>
      <c r="H192" s="15">
        <v>4.2499999999999998E-4</v>
      </c>
      <c r="I192" s="11">
        <f t="shared" si="73"/>
        <v>8.131498912699044</v>
      </c>
      <c r="J192" s="16">
        <v>3</v>
      </c>
      <c r="K192" s="9">
        <v>0</v>
      </c>
      <c r="L192" s="14">
        <f t="shared" si="59"/>
        <v>56.551530256083318</v>
      </c>
      <c r="M192" s="6"/>
      <c r="N192" s="2">
        <f>-(1.7*K192^2)/19.62</f>
        <v>0</v>
      </c>
    </row>
    <row r="193" spans="1:14" x14ac:dyDescent="0.3">
      <c r="A193">
        <f t="shared" si="75"/>
        <v>1.6666666666666667</v>
      </c>
      <c r="B193">
        <v>10</v>
      </c>
      <c r="C193">
        <v>6</v>
      </c>
      <c r="D193" s="1">
        <v>1.9</v>
      </c>
      <c r="E193" s="3">
        <v>5.0759999999999996</v>
      </c>
      <c r="F193" s="8">
        <f t="shared" si="72"/>
        <v>3.7431048069345945</v>
      </c>
      <c r="G193" s="11">
        <v>0.54</v>
      </c>
      <c r="H193" s="15">
        <v>4.2499999999999998E-4</v>
      </c>
      <c r="I193" s="11">
        <f t="shared" si="73"/>
        <v>16.262997825398088</v>
      </c>
      <c r="J193" s="16">
        <v>4.5</v>
      </c>
      <c r="K193" s="9">
        <v>1.8</v>
      </c>
      <c r="L193" s="14">
        <f t="shared" si="59"/>
        <v>13.744758203333848</v>
      </c>
      <c r="M193" s="6"/>
      <c r="N193" s="2">
        <f t="shared" ref="N193:N198" si="79">-(1.7*K193^2)/19.62</f>
        <v>-0.2807339449541284</v>
      </c>
    </row>
    <row r="194" spans="1:14" x14ac:dyDescent="0.3">
      <c r="A194">
        <f t="shared" si="75"/>
        <v>1.6666666666666667</v>
      </c>
      <c r="B194">
        <v>10</v>
      </c>
      <c r="C194">
        <v>6</v>
      </c>
      <c r="D194" s="1">
        <v>2.85</v>
      </c>
      <c r="E194" s="3">
        <v>5.0759999999999996</v>
      </c>
      <c r="F194" s="8">
        <f t="shared" si="72"/>
        <v>5.6146572104018917</v>
      </c>
      <c r="G194" s="11">
        <v>0.54</v>
      </c>
      <c r="H194" s="15">
        <v>4.2499999999999998E-4</v>
      </c>
      <c r="I194" s="11">
        <f t="shared" si="73"/>
        <v>24.394496738097136</v>
      </c>
      <c r="J194" s="16">
        <v>4.5</v>
      </c>
      <c r="K194" s="9">
        <v>6.1</v>
      </c>
      <c r="L194" s="14">
        <f t="shared" si="59"/>
        <v>4.2768974000363436</v>
      </c>
      <c r="M194" s="6"/>
      <c r="N194" s="2">
        <f t="shared" si="79"/>
        <v>-3.2241080530071349</v>
      </c>
    </row>
    <row r="195" spans="1:14" x14ac:dyDescent="0.3">
      <c r="A195">
        <f t="shared" si="75"/>
        <v>1.6666666666666667</v>
      </c>
      <c r="B195">
        <v>10</v>
      </c>
      <c r="C195">
        <v>6</v>
      </c>
      <c r="D195" s="1">
        <v>3.8</v>
      </c>
      <c r="E195" s="3">
        <v>5.0759999999999996</v>
      </c>
      <c r="F195" s="8">
        <f t="shared" si="72"/>
        <v>7.4862096138691889</v>
      </c>
      <c r="G195" s="11">
        <v>0.54</v>
      </c>
      <c r="H195" s="15">
        <v>4.2499999999999998E-4</v>
      </c>
      <c r="I195" s="11">
        <f t="shared" si="73"/>
        <v>32.525995650796176</v>
      </c>
      <c r="J195" s="16">
        <v>4.5</v>
      </c>
      <c r="K195" s="9">
        <v>10.77</v>
      </c>
      <c r="L195" s="14">
        <f t="shared" ref="L195:L258" si="80">(10.33+N195-0.234)/((F195^2)/19.62)</f>
        <v>1.5980312553905942E-2</v>
      </c>
      <c r="M195" s="6"/>
      <c r="N195" s="2">
        <f t="shared" si="79"/>
        <v>-10.050353211009174</v>
      </c>
    </row>
    <row r="196" spans="1:14" x14ac:dyDescent="0.3">
      <c r="A196">
        <f t="shared" si="75"/>
        <v>1.6666666666666667</v>
      </c>
      <c r="B196">
        <v>10</v>
      </c>
      <c r="C196">
        <v>6</v>
      </c>
      <c r="D196" s="1">
        <v>4.75</v>
      </c>
      <c r="E196" s="3">
        <v>5.0759999999999996</v>
      </c>
      <c r="F196" s="8">
        <f t="shared" si="72"/>
        <v>9.3577620173364853</v>
      </c>
      <c r="G196" s="11">
        <v>0.54</v>
      </c>
      <c r="H196" s="15">
        <v>4.2499999999999998E-4</v>
      </c>
      <c r="I196" s="11">
        <f t="shared" si="73"/>
        <v>40.65749456349522</v>
      </c>
      <c r="J196" s="16">
        <v>4.5</v>
      </c>
      <c r="K196" s="9">
        <v>15.42</v>
      </c>
      <c r="L196" s="14">
        <f t="shared" si="80"/>
        <v>-2.3540225051370016</v>
      </c>
      <c r="M196" s="6"/>
      <c r="N196" s="2">
        <f t="shared" si="79"/>
        <v>-20.602440366972477</v>
      </c>
    </row>
    <row r="197" spans="1:14" x14ac:dyDescent="0.3">
      <c r="A197">
        <f t="shared" si="75"/>
        <v>1.6666666666666667</v>
      </c>
      <c r="B197">
        <v>10</v>
      </c>
      <c r="C197">
        <v>6</v>
      </c>
      <c r="D197" s="1">
        <v>5.7</v>
      </c>
      <c r="E197" s="3">
        <v>5.0759999999999996</v>
      </c>
      <c r="F197" s="8">
        <f t="shared" si="72"/>
        <v>11.229314420803783</v>
      </c>
      <c r="G197" s="11">
        <v>0.54</v>
      </c>
      <c r="H197" s="15">
        <v>4.2499999999999998E-4</v>
      </c>
      <c r="I197" s="11">
        <f t="shared" si="73"/>
        <v>48.788993476194271</v>
      </c>
      <c r="J197" s="16">
        <v>4.5</v>
      </c>
      <c r="K197" s="9">
        <v>18.62</v>
      </c>
      <c r="L197" s="14">
        <f t="shared" si="80"/>
        <v>-3.1032649550732407</v>
      </c>
      <c r="M197" s="6"/>
      <c r="N197" s="2">
        <f t="shared" si="79"/>
        <v>-30.040646279306827</v>
      </c>
    </row>
    <row r="198" spans="1:14" x14ac:dyDescent="0.3">
      <c r="A198">
        <f t="shared" si="75"/>
        <v>1.6666666666666667</v>
      </c>
      <c r="B198">
        <v>10</v>
      </c>
      <c r="C198">
        <v>6</v>
      </c>
      <c r="D198" s="1">
        <v>6.7</v>
      </c>
      <c r="E198" s="3">
        <v>5.0759999999999996</v>
      </c>
      <c r="F198" s="8">
        <f t="shared" si="72"/>
        <v>13.199369582348307</v>
      </c>
      <c r="G198" s="11">
        <v>0.54</v>
      </c>
      <c r="H198" s="15">
        <v>4.2499999999999998E-4</v>
      </c>
      <c r="I198" s="11">
        <f t="shared" si="73"/>
        <v>57.348466015877477</v>
      </c>
      <c r="J198" s="16">
        <v>4.5</v>
      </c>
      <c r="K198" s="9">
        <v>21.79</v>
      </c>
      <c r="L198" s="14">
        <f t="shared" si="80"/>
        <v>-3.4959919220332347</v>
      </c>
      <c r="M198" s="6"/>
      <c r="N198" s="2">
        <f t="shared" si="79"/>
        <v>-41.140008664627921</v>
      </c>
    </row>
    <row r="199" spans="1:14" x14ac:dyDescent="0.3">
      <c r="A199">
        <f t="shared" si="75"/>
        <v>1.6666666666666667</v>
      </c>
      <c r="B199">
        <v>15</v>
      </c>
      <c r="C199">
        <v>1</v>
      </c>
      <c r="D199" s="1">
        <v>1.4</v>
      </c>
      <c r="E199" s="3">
        <v>7.6139999999999999</v>
      </c>
      <c r="F199" s="8">
        <f t="shared" si="72"/>
        <v>1.8387181507748882</v>
      </c>
      <c r="G199" s="11">
        <v>0.81</v>
      </c>
      <c r="H199" s="15">
        <v>3.7299999999999998E-3</v>
      </c>
      <c r="I199" s="11">
        <f t="shared" si="73"/>
        <v>6.5228613923163552</v>
      </c>
      <c r="J199" s="16">
        <v>3</v>
      </c>
      <c r="K199" s="9">
        <v>0</v>
      </c>
      <c r="L199" s="14">
        <f t="shared" si="80"/>
        <v>58.589260778703682</v>
      </c>
      <c r="M199" s="6"/>
      <c r="N199" s="2">
        <f>-(1.7*K199^2)/19.62</f>
        <v>0</v>
      </c>
    </row>
    <row r="200" spans="1:14" x14ac:dyDescent="0.3">
      <c r="A200">
        <f t="shared" si="75"/>
        <v>1.6666666666666667</v>
      </c>
      <c r="B200">
        <v>15</v>
      </c>
      <c r="C200">
        <v>1</v>
      </c>
      <c r="D200" s="1">
        <v>2.8</v>
      </c>
      <c r="E200" s="3">
        <v>7.6139999999999999</v>
      </c>
      <c r="F200" s="8">
        <f t="shared" si="72"/>
        <v>3.6774363015497764</v>
      </c>
      <c r="G200" s="11">
        <v>0.81</v>
      </c>
      <c r="H200" s="15">
        <v>3.7299999999999998E-3</v>
      </c>
      <c r="I200" s="11">
        <f t="shared" si="73"/>
        <v>13.04572278463271</v>
      </c>
      <c r="J200" s="16">
        <v>4.5</v>
      </c>
      <c r="K200" s="9">
        <v>0.6</v>
      </c>
      <c r="L200" s="14">
        <f t="shared" si="80"/>
        <v>14.6020607641249</v>
      </c>
      <c r="M200" s="6"/>
      <c r="N200" s="2">
        <f t="shared" ref="N200:N205" si="81">-(1.7*K200^2)/19.62</f>
        <v>-3.1192660550458714E-2</v>
      </c>
    </row>
    <row r="201" spans="1:14" x14ac:dyDescent="0.3">
      <c r="A201">
        <f t="shared" si="75"/>
        <v>1.6666666666666667</v>
      </c>
      <c r="B201">
        <v>15</v>
      </c>
      <c r="C201">
        <v>1</v>
      </c>
      <c r="D201" s="1">
        <v>4.2</v>
      </c>
      <c r="E201" s="3">
        <v>7.6139999999999999</v>
      </c>
      <c r="F201" s="8">
        <f t="shared" si="72"/>
        <v>5.5161544523246651</v>
      </c>
      <c r="G201" s="11">
        <v>0.81</v>
      </c>
      <c r="H201" s="15">
        <v>3.7299999999999998E-3</v>
      </c>
      <c r="I201" s="11">
        <f t="shared" si="73"/>
        <v>19.568584176949066</v>
      </c>
      <c r="J201" s="16">
        <v>4.5</v>
      </c>
      <c r="K201" s="9">
        <v>5.84</v>
      </c>
      <c r="L201" s="14">
        <f t="shared" si="80"/>
        <v>4.6044493376326541</v>
      </c>
      <c r="M201" s="6"/>
      <c r="N201" s="2">
        <f t="shared" si="81"/>
        <v>-2.955123343527013</v>
      </c>
    </row>
    <row r="202" spans="1:14" x14ac:dyDescent="0.3">
      <c r="A202">
        <f t="shared" si="75"/>
        <v>1.6666666666666667</v>
      </c>
      <c r="B202">
        <v>15</v>
      </c>
      <c r="C202">
        <v>1</v>
      </c>
      <c r="D202" s="1">
        <v>5.6</v>
      </c>
      <c r="E202" s="3">
        <v>7.6139999999999999</v>
      </c>
      <c r="F202" s="8">
        <f t="shared" si="72"/>
        <v>7.3548726030995528</v>
      </c>
      <c r="G202" s="11">
        <v>0.81</v>
      </c>
      <c r="H202" s="15">
        <v>3.7299999999999998E-3</v>
      </c>
      <c r="I202" s="11">
        <f t="shared" si="73"/>
        <v>26.091445569265421</v>
      </c>
      <c r="J202" s="16">
        <v>4.5</v>
      </c>
      <c r="K202" s="9">
        <v>10.72</v>
      </c>
      <c r="L202" s="14">
        <f t="shared" si="80"/>
        <v>5.032410989510213E-2</v>
      </c>
      <c r="M202" s="6"/>
      <c r="N202" s="2">
        <f t="shared" si="81"/>
        <v>-9.9572517838939856</v>
      </c>
    </row>
    <row r="203" spans="1:14" x14ac:dyDescent="0.3">
      <c r="A203">
        <f t="shared" si="75"/>
        <v>1.6666666666666667</v>
      </c>
      <c r="B203">
        <v>15</v>
      </c>
      <c r="C203">
        <v>1</v>
      </c>
      <c r="D203" s="1">
        <v>7</v>
      </c>
      <c r="E203" s="3">
        <v>7.6139999999999999</v>
      </c>
      <c r="F203" s="8">
        <f t="shared" si="72"/>
        <v>9.1935907538744406</v>
      </c>
      <c r="G203" s="11">
        <v>0.81</v>
      </c>
      <c r="H203" s="15">
        <v>3.7299999999999998E-3</v>
      </c>
      <c r="I203" s="11">
        <f t="shared" si="73"/>
        <v>32.614306961581775</v>
      </c>
      <c r="J203" s="16">
        <v>4.5</v>
      </c>
      <c r="K203" s="9">
        <v>15.69</v>
      </c>
      <c r="L203" s="14">
        <f t="shared" si="80"/>
        <v>-2.6077892225278783</v>
      </c>
      <c r="M203" s="6"/>
      <c r="N203" s="2">
        <f t="shared" si="81"/>
        <v>-21.330243119266054</v>
      </c>
    </row>
    <row r="204" spans="1:14" x14ac:dyDescent="0.3">
      <c r="A204">
        <f t="shared" si="75"/>
        <v>1.6666666666666667</v>
      </c>
      <c r="B204">
        <v>15</v>
      </c>
      <c r="C204">
        <v>1</v>
      </c>
      <c r="D204" s="1">
        <v>8.4</v>
      </c>
      <c r="E204" s="3">
        <v>7.6139999999999999</v>
      </c>
      <c r="F204" s="8">
        <f t="shared" si="72"/>
        <v>11.03230890464933</v>
      </c>
      <c r="G204" s="11">
        <v>0.81</v>
      </c>
      <c r="H204" s="15">
        <v>3.7299999999999998E-3</v>
      </c>
      <c r="I204" s="11">
        <f t="shared" si="73"/>
        <v>39.137168353898133</v>
      </c>
      <c r="J204" s="16">
        <v>4.5</v>
      </c>
      <c r="K204" s="9">
        <v>18.45</v>
      </c>
      <c r="L204" s="14">
        <f t="shared" si="80"/>
        <v>-3.1270641436914794</v>
      </c>
      <c r="M204" s="6"/>
      <c r="N204" s="2">
        <f t="shared" si="81"/>
        <v>-29.494610091743112</v>
      </c>
    </row>
    <row r="205" spans="1:14" x14ac:dyDescent="0.3">
      <c r="A205">
        <f t="shared" si="75"/>
        <v>1.6666666666666667</v>
      </c>
      <c r="B205">
        <v>15</v>
      </c>
      <c r="C205">
        <v>1</v>
      </c>
      <c r="D205" s="9">
        <v>9.8000000000000007</v>
      </c>
      <c r="E205" s="3">
        <v>7.6139999999999999</v>
      </c>
      <c r="F205" s="8">
        <f t="shared" si="72"/>
        <v>12.87102705542422</v>
      </c>
      <c r="G205" s="11">
        <v>0.81</v>
      </c>
      <c r="H205" s="15">
        <v>3.7299999999999998E-3</v>
      </c>
      <c r="I205" s="11">
        <f t="shared" si="73"/>
        <v>45.660029746214491</v>
      </c>
      <c r="J205" s="16">
        <v>4.5</v>
      </c>
      <c r="K205" s="9">
        <v>22.75</v>
      </c>
      <c r="L205" s="14">
        <f t="shared" si="80"/>
        <v>-4.115411052602985</v>
      </c>
      <c r="M205" s="6"/>
      <c r="N205" s="2">
        <f t="shared" si="81"/>
        <v>-44.844864933741071</v>
      </c>
    </row>
    <row r="206" spans="1:14" x14ac:dyDescent="0.3">
      <c r="A206">
        <f t="shared" si="75"/>
        <v>1.6666666666666667</v>
      </c>
      <c r="B206">
        <v>15</v>
      </c>
      <c r="C206">
        <v>2</v>
      </c>
      <c r="D206" s="1">
        <v>1.4</v>
      </c>
      <c r="E206" s="3">
        <v>7.6139999999999999</v>
      </c>
      <c r="F206" s="8">
        <f t="shared" si="72"/>
        <v>1.8387181507748882</v>
      </c>
      <c r="G206" s="11">
        <v>0.81</v>
      </c>
      <c r="H206" s="15">
        <v>1.8649999999999999E-3</v>
      </c>
      <c r="I206" s="11">
        <f t="shared" si="73"/>
        <v>6.5228613923163552</v>
      </c>
      <c r="J206" s="16">
        <v>3</v>
      </c>
      <c r="K206" s="9">
        <v>0</v>
      </c>
      <c r="L206" s="14">
        <f t="shared" si="80"/>
        <v>58.589260778703682</v>
      </c>
      <c r="M206" s="6"/>
      <c r="N206" s="2">
        <f>-(1.7*K206^2)/19.62</f>
        <v>0</v>
      </c>
    </row>
    <row r="207" spans="1:14" x14ac:dyDescent="0.3">
      <c r="A207">
        <f t="shared" si="75"/>
        <v>1.6666666666666667</v>
      </c>
      <c r="B207">
        <v>15</v>
      </c>
      <c r="C207">
        <v>2</v>
      </c>
      <c r="D207" s="1">
        <v>2.8</v>
      </c>
      <c r="E207" s="3">
        <v>7.6139999999999999</v>
      </c>
      <c r="F207" s="8">
        <f t="shared" si="72"/>
        <v>3.6774363015497764</v>
      </c>
      <c r="G207" s="11">
        <v>0.81</v>
      </c>
      <c r="H207" s="15">
        <v>1.8649999999999999E-3</v>
      </c>
      <c r="I207" s="11">
        <f t="shared" si="73"/>
        <v>13.04572278463271</v>
      </c>
      <c r="J207" s="16">
        <v>4.5</v>
      </c>
      <c r="K207" s="9">
        <v>1.45</v>
      </c>
      <c r="L207" s="14">
        <f t="shared" si="80"/>
        <v>14.38301674958281</v>
      </c>
      <c r="M207" s="6"/>
      <c r="N207" s="2">
        <f t="shared" ref="N207:N212" si="82">-(1.7*K207^2)/19.62</f>
        <v>-0.18217380224260957</v>
      </c>
    </row>
    <row r="208" spans="1:14" x14ac:dyDescent="0.3">
      <c r="A208">
        <f t="shared" si="75"/>
        <v>1.6666666666666667</v>
      </c>
      <c r="B208">
        <v>15</v>
      </c>
      <c r="C208">
        <v>2</v>
      </c>
      <c r="D208" s="1">
        <v>4.2</v>
      </c>
      <c r="E208" s="3">
        <v>7.6139999999999999</v>
      </c>
      <c r="F208" s="8">
        <f t="shared" si="72"/>
        <v>5.5161544523246651</v>
      </c>
      <c r="G208" s="11">
        <v>0.81</v>
      </c>
      <c r="H208" s="15">
        <v>1.8649999999999999E-3</v>
      </c>
      <c r="I208" s="11">
        <f t="shared" si="73"/>
        <v>19.568584176949066</v>
      </c>
      <c r="J208" s="16">
        <v>4.5</v>
      </c>
      <c r="K208" s="9">
        <v>6.98</v>
      </c>
      <c r="L208" s="14">
        <f t="shared" si="80"/>
        <v>3.7879253232906129</v>
      </c>
      <c r="M208" s="6"/>
      <c r="N208" s="2">
        <f t="shared" si="82"/>
        <v>-4.2214413863404685</v>
      </c>
    </row>
    <row r="209" spans="1:14" x14ac:dyDescent="0.3">
      <c r="A209">
        <f t="shared" si="75"/>
        <v>1.6666666666666667</v>
      </c>
      <c r="B209">
        <v>15</v>
      </c>
      <c r="C209">
        <v>2</v>
      </c>
      <c r="D209" s="1">
        <v>5.6</v>
      </c>
      <c r="E209" s="3">
        <v>7.6139999999999999</v>
      </c>
      <c r="F209" s="8">
        <f t="shared" si="72"/>
        <v>7.3548726030995528</v>
      </c>
      <c r="G209" s="11">
        <v>0.81</v>
      </c>
      <c r="H209" s="15">
        <v>1.8649999999999999E-3</v>
      </c>
      <c r="I209" s="11">
        <f t="shared" si="73"/>
        <v>26.091445569265421</v>
      </c>
      <c r="J209" s="16">
        <v>4.5</v>
      </c>
      <c r="K209" s="9">
        <v>15.98</v>
      </c>
      <c r="L209" s="14">
        <f t="shared" si="80"/>
        <v>-4.3633027897204597</v>
      </c>
      <c r="M209" s="6"/>
      <c r="N209" s="2">
        <f t="shared" si="82"/>
        <v>-22.126028542303771</v>
      </c>
    </row>
    <row r="210" spans="1:14" x14ac:dyDescent="0.3">
      <c r="A210">
        <f t="shared" si="75"/>
        <v>1.6666666666666667</v>
      </c>
      <c r="B210">
        <v>15</v>
      </c>
      <c r="C210">
        <v>2</v>
      </c>
      <c r="D210" s="1">
        <v>7</v>
      </c>
      <c r="E210" s="3">
        <v>7.6139999999999999</v>
      </c>
      <c r="F210" s="8">
        <f t="shared" si="72"/>
        <v>9.1935907538744406</v>
      </c>
      <c r="G210" s="11">
        <v>0.81</v>
      </c>
      <c r="H210" s="15">
        <v>1.8649999999999999E-3</v>
      </c>
      <c r="I210" s="11">
        <f t="shared" si="73"/>
        <v>32.614306961581775</v>
      </c>
      <c r="J210" s="16">
        <v>4.5</v>
      </c>
      <c r="K210" s="9">
        <v>19.27</v>
      </c>
      <c r="L210" s="14">
        <f t="shared" si="80"/>
        <v>-5.125077984122524</v>
      </c>
      <c r="M210" s="6"/>
      <c r="N210" s="2">
        <f t="shared" si="82"/>
        <v>-32.174614169215083</v>
      </c>
    </row>
    <row r="211" spans="1:14" x14ac:dyDescent="0.3">
      <c r="A211">
        <f t="shared" si="75"/>
        <v>1.6666666666666667</v>
      </c>
      <c r="B211">
        <v>15</v>
      </c>
      <c r="C211">
        <v>2</v>
      </c>
      <c r="D211" s="1">
        <v>8.4</v>
      </c>
      <c r="E211" s="3">
        <v>7.6139999999999999</v>
      </c>
      <c r="F211" s="8">
        <f t="shared" si="72"/>
        <v>11.03230890464933</v>
      </c>
      <c r="G211" s="11">
        <v>0.81</v>
      </c>
      <c r="H211" s="15">
        <v>1.8649999999999999E-3</v>
      </c>
      <c r="I211" s="11">
        <f t="shared" si="73"/>
        <v>39.137168353898133</v>
      </c>
      <c r="J211" s="16">
        <v>4.5</v>
      </c>
      <c r="K211" s="9">
        <v>26.83</v>
      </c>
      <c r="L211" s="14">
        <f t="shared" si="80"/>
        <v>-8.4269501796898467</v>
      </c>
      <c r="M211" s="6"/>
      <c r="N211" s="2">
        <f t="shared" si="82"/>
        <v>-62.372228848114155</v>
      </c>
    </row>
    <row r="212" spans="1:14" x14ac:dyDescent="0.3">
      <c r="A212">
        <f t="shared" si="75"/>
        <v>1.6666666666666667</v>
      </c>
      <c r="B212">
        <v>15</v>
      </c>
      <c r="C212">
        <v>2</v>
      </c>
      <c r="D212" s="9">
        <v>9.8000000000000007</v>
      </c>
      <c r="E212" s="3">
        <v>7.6139999999999999</v>
      </c>
      <c r="F212" s="8">
        <f t="shared" si="72"/>
        <v>12.87102705542422</v>
      </c>
      <c r="G212" s="11">
        <v>0.81</v>
      </c>
      <c r="H212" s="15">
        <v>1.8649999999999999E-3</v>
      </c>
      <c r="I212" s="11">
        <f t="shared" si="73"/>
        <v>45.660029746214491</v>
      </c>
      <c r="J212" s="16">
        <v>4.5</v>
      </c>
      <c r="K212" s="9">
        <v>32.19</v>
      </c>
      <c r="L212" s="14">
        <f t="shared" si="80"/>
        <v>-9.4375126926541597</v>
      </c>
      <c r="M212" s="6"/>
      <c r="N212" s="2">
        <f t="shared" si="82"/>
        <v>-89.782536697247679</v>
      </c>
    </row>
    <row r="213" spans="1:14" x14ac:dyDescent="0.3">
      <c r="A213">
        <f t="shared" si="75"/>
        <v>1.6666666666666667</v>
      </c>
      <c r="B213">
        <v>15</v>
      </c>
      <c r="C213">
        <v>4</v>
      </c>
      <c r="D213" s="1">
        <v>1.4</v>
      </c>
      <c r="E213" s="3">
        <v>7.6139999999999999</v>
      </c>
      <c r="F213" s="8">
        <f t="shared" si="72"/>
        <v>1.8387181507748882</v>
      </c>
      <c r="G213" s="11">
        <v>0.81</v>
      </c>
      <c r="H213" s="15">
        <v>9.3249999999999995E-4</v>
      </c>
      <c r="I213" s="11">
        <f t="shared" si="73"/>
        <v>6.5228613923163552</v>
      </c>
      <c r="J213" s="16">
        <v>3</v>
      </c>
      <c r="K213" s="9">
        <v>0</v>
      </c>
      <c r="L213" s="14">
        <f t="shared" si="80"/>
        <v>58.589260778703682</v>
      </c>
      <c r="M213" s="6"/>
      <c r="N213" s="2">
        <f>-(1.7*K213^2)/19.62</f>
        <v>0</v>
      </c>
    </row>
    <row r="214" spans="1:14" x14ac:dyDescent="0.3">
      <c r="A214">
        <f t="shared" si="75"/>
        <v>1.6666666666666667</v>
      </c>
      <c r="B214">
        <v>15</v>
      </c>
      <c r="C214">
        <v>4</v>
      </c>
      <c r="D214" s="1">
        <v>2.8</v>
      </c>
      <c r="E214" s="3">
        <v>7.6139999999999999</v>
      </c>
      <c r="F214" s="8">
        <f t="shared" si="72"/>
        <v>3.6774363015497764</v>
      </c>
      <c r="G214" s="11">
        <v>0.81</v>
      </c>
      <c r="H214" s="15">
        <v>9.3249999999999995E-4</v>
      </c>
      <c r="I214" s="11">
        <f t="shared" si="73"/>
        <v>13.04572278463271</v>
      </c>
      <c r="J214" s="16">
        <v>4.5</v>
      </c>
      <c r="K214" s="9">
        <v>0.89</v>
      </c>
      <c r="L214" s="14">
        <f t="shared" si="80"/>
        <v>14.547742876788522</v>
      </c>
      <c r="M214" s="6"/>
      <c r="N214" s="2">
        <f t="shared" ref="N214:N219" si="83">-(1.7*K214^2)/19.62</f>
        <v>-6.8632517838939852E-2</v>
      </c>
    </row>
    <row r="215" spans="1:14" x14ac:dyDescent="0.3">
      <c r="A215">
        <f t="shared" si="75"/>
        <v>1.6666666666666667</v>
      </c>
      <c r="B215">
        <v>15</v>
      </c>
      <c r="C215">
        <v>4</v>
      </c>
      <c r="D215" s="1">
        <v>4.2</v>
      </c>
      <c r="E215" s="3">
        <v>7.6139999999999999</v>
      </c>
      <c r="F215" s="8">
        <f t="shared" si="72"/>
        <v>5.5161544523246651</v>
      </c>
      <c r="G215" s="11">
        <v>0.81</v>
      </c>
      <c r="H215" s="15">
        <v>9.3249999999999995E-4</v>
      </c>
      <c r="I215" s="11">
        <f t="shared" si="73"/>
        <v>19.568584176949066</v>
      </c>
      <c r="J215" s="16">
        <v>4.5</v>
      </c>
      <c r="K215" s="9">
        <v>6.78</v>
      </c>
      <c r="L215" s="14">
        <f t="shared" si="80"/>
        <v>3.9416786478293884</v>
      </c>
      <c r="M215" s="6"/>
      <c r="N215" s="2">
        <f t="shared" si="83"/>
        <v>-3.9829908256880735</v>
      </c>
    </row>
    <row r="216" spans="1:14" x14ac:dyDescent="0.3">
      <c r="A216">
        <f t="shared" si="75"/>
        <v>1.6666666666666667</v>
      </c>
      <c r="B216">
        <v>15</v>
      </c>
      <c r="C216">
        <v>4</v>
      </c>
      <c r="D216" s="1">
        <v>5.6</v>
      </c>
      <c r="E216" s="3">
        <v>7.6139999999999999</v>
      </c>
      <c r="F216" s="8">
        <f t="shared" si="72"/>
        <v>7.3548726030995528</v>
      </c>
      <c r="G216" s="11">
        <v>0.81</v>
      </c>
      <c r="H216" s="15">
        <v>9.3249999999999995E-4</v>
      </c>
      <c r="I216" s="11">
        <f t="shared" si="73"/>
        <v>26.091445569265421</v>
      </c>
      <c r="J216" s="16">
        <v>4.5</v>
      </c>
      <c r="K216" s="9">
        <v>14.56</v>
      </c>
      <c r="L216" s="14">
        <f t="shared" si="80"/>
        <v>-3.0004279016510198</v>
      </c>
      <c r="M216" s="6"/>
      <c r="N216" s="2">
        <f t="shared" si="83"/>
        <v>-18.368456676860344</v>
      </c>
    </row>
    <row r="217" spans="1:14" x14ac:dyDescent="0.3">
      <c r="A217">
        <f t="shared" si="75"/>
        <v>1.6666666666666667</v>
      </c>
      <c r="B217">
        <v>15</v>
      </c>
      <c r="C217">
        <v>4</v>
      </c>
      <c r="D217" s="1">
        <v>7</v>
      </c>
      <c r="E217" s="3">
        <v>7.6139999999999999</v>
      </c>
      <c r="F217" s="8">
        <f t="shared" si="72"/>
        <v>9.1935907538744406</v>
      </c>
      <c r="G217" s="11">
        <v>0.81</v>
      </c>
      <c r="H217" s="15">
        <v>9.3249999999999995E-4</v>
      </c>
      <c r="I217" s="11">
        <f t="shared" si="73"/>
        <v>32.614306961581775</v>
      </c>
      <c r="J217" s="16">
        <v>4.5</v>
      </c>
      <c r="K217" s="9">
        <v>18.12</v>
      </c>
      <c r="L217" s="14">
        <f t="shared" si="80"/>
        <v>-4.2602457032122789</v>
      </c>
      <c r="M217" s="6"/>
      <c r="N217" s="2">
        <f t="shared" si="83"/>
        <v>-28.448954128440366</v>
      </c>
    </row>
    <row r="218" spans="1:14" x14ac:dyDescent="0.3">
      <c r="A218">
        <f t="shared" si="75"/>
        <v>1.6666666666666667</v>
      </c>
      <c r="B218">
        <v>15</v>
      </c>
      <c r="C218">
        <v>4</v>
      </c>
      <c r="D218" s="1">
        <v>8.4</v>
      </c>
      <c r="E218" s="3">
        <v>7.6139999999999999</v>
      </c>
      <c r="F218" s="8">
        <f t="shared" si="72"/>
        <v>11.03230890464933</v>
      </c>
      <c r="G218" s="11">
        <v>0.81</v>
      </c>
      <c r="H218" s="15">
        <v>9.3249999999999995E-4</v>
      </c>
      <c r="I218" s="11">
        <f t="shared" si="73"/>
        <v>39.137168353898133</v>
      </c>
      <c r="J218" s="16">
        <v>4.5</v>
      </c>
      <c r="K218" s="9">
        <v>24.45</v>
      </c>
      <c r="L218" s="14">
        <f t="shared" si="80"/>
        <v>-6.7222772374669901</v>
      </c>
      <c r="M218" s="6"/>
      <c r="N218" s="2">
        <f t="shared" si="83"/>
        <v>-51.797362385321094</v>
      </c>
    </row>
    <row r="219" spans="1:14" x14ac:dyDescent="0.3">
      <c r="A219">
        <f t="shared" si="75"/>
        <v>1.6666666666666667</v>
      </c>
      <c r="B219">
        <v>15</v>
      </c>
      <c r="C219">
        <v>4</v>
      </c>
      <c r="D219" s="9">
        <v>9.8000000000000007</v>
      </c>
      <c r="E219" s="3">
        <v>7.6139999999999999</v>
      </c>
      <c r="F219" s="8">
        <f t="shared" si="72"/>
        <v>12.87102705542422</v>
      </c>
      <c r="G219" s="11">
        <v>0.81</v>
      </c>
      <c r="H219" s="15">
        <v>9.3249999999999995E-4</v>
      </c>
      <c r="I219" s="11">
        <f t="shared" si="73"/>
        <v>45.660029746214491</v>
      </c>
      <c r="J219" s="16">
        <v>4.5</v>
      </c>
      <c r="K219" s="9">
        <v>31.18</v>
      </c>
      <c r="L219" s="14">
        <f t="shared" si="80"/>
        <v>-8.7807210834345835</v>
      </c>
      <c r="M219" s="6"/>
      <c r="N219" s="2">
        <f t="shared" si="83"/>
        <v>-84.236854230377162</v>
      </c>
    </row>
    <row r="220" spans="1:14" x14ac:dyDescent="0.3">
      <c r="A220">
        <f t="shared" si="75"/>
        <v>1.6666666666666667</v>
      </c>
      <c r="B220">
        <v>15</v>
      </c>
      <c r="C220">
        <v>6</v>
      </c>
      <c r="D220" s="1">
        <v>1.4</v>
      </c>
      <c r="E220" s="3">
        <v>7.6139999999999999</v>
      </c>
      <c r="F220" s="8">
        <f t="shared" si="72"/>
        <v>1.8387181507748882</v>
      </c>
      <c r="G220" s="11">
        <v>0.81</v>
      </c>
      <c r="H220" s="15">
        <v>6.2169999999999999E-4</v>
      </c>
      <c r="I220" s="11">
        <f t="shared" si="73"/>
        <v>6.5228613923163552</v>
      </c>
      <c r="J220" s="16">
        <v>3</v>
      </c>
      <c r="K220" s="9">
        <v>0</v>
      </c>
      <c r="L220" s="14">
        <f t="shared" si="80"/>
        <v>58.589260778703682</v>
      </c>
      <c r="M220" s="6"/>
      <c r="N220" s="2">
        <f>-(1.7*K220^2)/19.62</f>
        <v>0</v>
      </c>
    </row>
    <row r="221" spans="1:14" x14ac:dyDescent="0.3">
      <c r="A221">
        <f t="shared" si="75"/>
        <v>1.6666666666666667</v>
      </c>
      <c r="B221">
        <v>15</v>
      </c>
      <c r="C221">
        <v>6</v>
      </c>
      <c r="D221" s="1">
        <v>2.8</v>
      </c>
      <c r="E221" s="3">
        <v>7.6139999999999999</v>
      </c>
      <c r="F221" s="8">
        <f t="shared" si="72"/>
        <v>3.6774363015497764</v>
      </c>
      <c r="G221" s="11">
        <v>0.81</v>
      </c>
      <c r="H221" s="15">
        <v>6.2169999999999999E-4</v>
      </c>
      <c r="I221" s="11">
        <f t="shared" si="73"/>
        <v>13.04572278463271</v>
      </c>
      <c r="J221" s="16">
        <v>4.5</v>
      </c>
      <c r="K221" s="9">
        <v>1.2</v>
      </c>
      <c r="L221" s="14">
        <f t="shared" si="80"/>
        <v>14.46629747247184</v>
      </c>
      <c r="M221" s="6"/>
      <c r="N221" s="2">
        <f t="shared" ref="N221:N226" si="84">-(1.7*K221^2)/19.62</f>
        <v>-0.12477064220183486</v>
      </c>
    </row>
    <row r="222" spans="1:14" x14ac:dyDescent="0.3">
      <c r="A222">
        <f t="shared" si="75"/>
        <v>1.6666666666666667</v>
      </c>
      <c r="B222">
        <v>15</v>
      </c>
      <c r="C222">
        <v>6</v>
      </c>
      <c r="D222" s="1">
        <v>4.2</v>
      </c>
      <c r="E222" s="3">
        <v>7.6139999999999999</v>
      </c>
      <c r="F222" s="8">
        <f t="shared" si="72"/>
        <v>5.5161544523246651</v>
      </c>
      <c r="G222" s="11">
        <v>0.81</v>
      </c>
      <c r="H222" s="15">
        <v>6.2169999999999999E-4</v>
      </c>
      <c r="I222" s="11">
        <f t="shared" si="73"/>
        <v>19.568584176949066</v>
      </c>
      <c r="J222" s="16">
        <v>4.5</v>
      </c>
      <c r="K222" s="9">
        <v>6.88</v>
      </c>
      <c r="L222" s="14">
        <f t="shared" si="80"/>
        <v>3.865360682233471</v>
      </c>
      <c r="M222" s="6"/>
      <c r="N222" s="2">
        <f t="shared" si="84"/>
        <v>-4.1013496432212015</v>
      </c>
    </row>
    <row r="223" spans="1:14" x14ac:dyDescent="0.3">
      <c r="A223">
        <f t="shared" si="75"/>
        <v>1.6666666666666667</v>
      </c>
      <c r="B223">
        <v>15</v>
      </c>
      <c r="C223">
        <v>6</v>
      </c>
      <c r="D223" s="1">
        <v>5.6</v>
      </c>
      <c r="E223" s="3">
        <v>7.6139999999999999</v>
      </c>
      <c r="F223" s="8">
        <f t="shared" si="72"/>
        <v>7.3548726030995528</v>
      </c>
      <c r="G223" s="11">
        <v>0.81</v>
      </c>
      <c r="H223" s="15">
        <v>6.2169999999999999E-4</v>
      </c>
      <c r="I223" s="11">
        <f t="shared" si="73"/>
        <v>26.091445569265421</v>
      </c>
      <c r="J223" s="16">
        <v>4.5</v>
      </c>
      <c r="K223" s="9">
        <v>12.78</v>
      </c>
      <c r="L223" s="14">
        <f t="shared" si="80"/>
        <v>-1.4710418505041325</v>
      </c>
      <c r="M223" s="6"/>
      <c r="N223" s="2">
        <f t="shared" si="84"/>
        <v>-14.151798165137613</v>
      </c>
    </row>
    <row r="224" spans="1:14" x14ac:dyDescent="0.3">
      <c r="A224">
        <f t="shared" si="75"/>
        <v>1.6666666666666667</v>
      </c>
      <c r="B224">
        <v>15</v>
      </c>
      <c r="C224">
        <v>6</v>
      </c>
      <c r="D224" s="1">
        <v>7</v>
      </c>
      <c r="E224" s="3">
        <v>7.6139999999999999</v>
      </c>
      <c r="F224" s="8">
        <f t="shared" si="72"/>
        <v>9.1935907538744406</v>
      </c>
      <c r="G224" s="11">
        <v>0.81</v>
      </c>
      <c r="H224" s="15">
        <v>6.2169999999999999E-4</v>
      </c>
      <c r="I224" s="11">
        <f t="shared" si="73"/>
        <v>32.614306961581775</v>
      </c>
      <c r="J224" s="16">
        <v>4.5</v>
      </c>
      <c r="K224" s="9">
        <v>18.73</v>
      </c>
      <c r="L224" s="14">
        <f t="shared" si="80"/>
        <v>-4.7123575774972188</v>
      </c>
      <c r="M224" s="6"/>
      <c r="N224" s="2">
        <f t="shared" si="84"/>
        <v>-30.396632517838938</v>
      </c>
    </row>
    <row r="225" spans="1:14" x14ac:dyDescent="0.3">
      <c r="A225">
        <f t="shared" si="75"/>
        <v>1.6666666666666667</v>
      </c>
      <c r="B225">
        <v>15</v>
      </c>
      <c r="C225">
        <v>6</v>
      </c>
      <c r="D225" s="1">
        <v>8.4</v>
      </c>
      <c r="E225" s="3">
        <v>7.6139999999999999</v>
      </c>
      <c r="F225" s="8">
        <f t="shared" si="72"/>
        <v>11.03230890464933</v>
      </c>
      <c r="G225" s="11">
        <v>0.81</v>
      </c>
      <c r="H225" s="15">
        <v>6.2169999999999999E-4</v>
      </c>
      <c r="I225" s="11">
        <f t="shared" si="73"/>
        <v>39.137168353898133</v>
      </c>
      <c r="J225" s="16">
        <v>4.5</v>
      </c>
      <c r="K225" s="9">
        <v>21.47</v>
      </c>
      <c r="L225" s="14">
        <f t="shared" si="80"/>
        <v>-4.8109535696612751</v>
      </c>
      <c r="M225" s="6"/>
      <c r="N225" s="2">
        <f t="shared" si="84"/>
        <v>-39.940546890927614</v>
      </c>
    </row>
    <row r="226" spans="1:14" x14ac:dyDescent="0.3">
      <c r="A226">
        <f t="shared" si="75"/>
        <v>1.6666666666666667</v>
      </c>
      <c r="B226">
        <v>15</v>
      </c>
      <c r="C226">
        <v>6</v>
      </c>
      <c r="D226" s="9">
        <v>9.8000000000000007</v>
      </c>
      <c r="E226" s="3">
        <v>7.6139999999999999</v>
      </c>
      <c r="F226" s="8">
        <f t="shared" si="72"/>
        <v>12.87102705542422</v>
      </c>
      <c r="G226" s="11">
        <v>0.81</v>
      </c>
      <c r="H226" s="15">
        <v>6.2169999999999999E-4</v>
      </c>
      <c r="I226" s="11">
        <f t="shared" si="73"/>
        <v>45.660029746214491</v>
      </c>
      <c r="J226" s="16">
        <v>4.5</v>
      </c>
      <c r="K226" s="9">
        <v>24.69</v>
      </c>
      <c r="L226" s="14">
        <f t="shared" si="80"/>
        <v>-5.0598392066983129</v>
      </c>
      <c r="M226" s="6"/>
      <c r="N226" s="2">
        <f t="shared" si="84"/>
        <v>-52.819233944954128</v>
      </c>
    </row>
    <row r="227" spans="1:14" x14ac:dyDescent="0.3">
      <c r="A227">
        <f t="shared" si="75"/>
        <v>1.6666666666666667</v>
      </c>
      <c r="B227">
        <v>20</v>
      </c>
      <c r="C227">
        <v>1</v>
      </c>
      <c r="D227" s="1">
        <v>1.7</v>
      </c>
      <c r="E227" s="3">
        <v>10.151999999999999</v>
      </c>
      <c r="F227" s="8">
        <f t="shared" si="72"/>
        <v>1.6745468873128448</v>
      </c>
      <c r="G227" s="11">
        <v>1.08</v>
      </c>
      <c r="H227" s="15">
        <v>4.8399999999999997E-3</v>
      </c>
      <c r="I227" s="11">
        <f t="shared" si="73"/>
        <v>5.144591914761528</v>
      </c>
      <c r="J227" s="16">
        <v>3</v>
      </c>
      <c r="K227" s="9">
        <v>0</v>
      </c>
      <c r="L227" s="14">
        <f t="shared" si="80"/>
        <v>70.640492811232093</v>
      </c>
      <c r="M227" s="6"/>
      <c r="N227" s="2">
        <f>-(1.7*K227^2)/19.62</f>
        <v>0</v>
      </c>
    </row>
    <row r="228" spans="1:14" x14ac:dyDescent="0.3">
      <c r="A228">
        <f t="shared" si="75"/>
        <v>1.6666666666666667</v>
      </c>
      <c r="B228">
        <v>20</v>
      </c>
      <c r="C228">
        <v>1</v>
      </c>
      <c r="D228" s="1">
        <v>3.4</v>
      </c>
      <c r="E228" s="3">
        <v>10.151999999999999</v>
      </c>
      <c r="F228" s="8">
        <f t="shared" si="72"/>
        <v>3.3490937746256897</v>
      </c>
      <c r="G228" s="11">
        <v>1.08</v>
      </c>
      <c r="H228" s="15">
        <v>4.8399999999999997E-3</v>
      </c>
      <c r="I228" s="11">
        <f t="shared" si="73"/>
        <v>10.289183829523056</v>
      </c>
      <c r="J228" s="16">
        <v>4.5</v>
      </c>
      <c r="K228" s="9">
        <v>0.4</v>
      </c>
      <c r="L228" s="14">
        <f t="shared" si="80"/>
        <v>17.635873060690376</v>
      </c>
      <c r="M228" s="6"/>
      <c r="N228" s="2">
        <f t="shared" ref="N228:N233" si="85">-(1.7*K228^2)/19.62</f>
        <v>-1.3863404689092763E-2</v>
      </c>
    </row>
    <row r="229" spans="1:14" x14ac:dyDescent="0.3">
      <c r="A229">
        <f t="shared" si="75"/>
        <v>1.6666666666666667</v>
      </c>
      <c r="B229">
        <v>20</v>
      </c>
      <c r="C229">
        <v>1</v>
      </c>
      <c r="D229" s="1">
        <v>5.0999999999999996</v>
      </c>
      <c r="E229" s="3">
        <v>10.151999999999999</v>
      </c>
      <c r="F229" s="8">
        <f t="shared" ref="F229:F292" si="86">(D229*10^-3)/(E229*10^-4)</f>
        <v>5.0236406619385336</v>
      </c>
      <c r="G229" s="11">
        <v>1.08</v>
      </c>
      <c r="H229" s="15">
        <v>4.8399999999999997E-3</v>
      </c>
      <c r="I229" s="11">
        <f t="shared" ref="I229:I292" si="87">(F229)/((9.81*G229*10^-2))^(1/2)</f>
        <v>15.433775744284583</v>
      </c>
      <c r="J229" s="16">
        <v>4.5</v>
      </c>
      <c r="K229" s="9">
        <v>3.77</v>
      </c>
      <c r="L229" s="14">
        <f t="shared" si="80"/>
        <v>6.8915412987371649</v>
      </c>
      <c r="M229" s="6"/>
      <c r="N229" s="2">
        <f t="shared" si="85"/>
        <v>-1.2314949031600406</v>
      </c>
    </row>
    <row r="230" spans="1:14" x14ac:dyDescent="0.3">
      <c r="A230">
        <f t="shared" si="75"/>
        <v>1.6666666666666667</v>
      </c>
      <c r="B230">
        <v>20</v>
      </c>
      <c r="C230">
        <v>1</v>
      </c>
      <c r="D230" s="1">
        <v>6.8</v>
      </c>
      <c r="E230" s="3">
        <v>10.151999999999999</v>
      </c>
      <c r="F230" s="8">
        <f t="shared" si="86"/>
        <v>6.6981875492513794</v>
      </c>
      <c r="G230" s="11">
        <v>1.08</v>
      </c>
      <c r="H230" s="15">
        <v>4.8399999999999997E-3</v>
      </c>
      <c r="I230" s="11">
        <f t="shared" si="87"/>
        <v>20.578367659046112</v>
      </c>
      <c r="J230" s="16">
        <v>4.5</v>
      </c>
      <c r="K230" s="9">
        <v>8.06</v>
      </c>
      <c r="L230" s="14">
        <f t="shared" si="80"/>
        <v>1.9535049687114177</v>
      </c>
      <c r="M230" s="6"/>
      <c r="N230" s="2">
        <f t="shared" si="85"/>
        <v>-5.6288542303771676</v>
      </c>
    </row>
    <row r="231" spans="1:14" x14ac:dyDescent="0.3">
      <c r="A231">
        <f t="shared" si="75"/>
        <v>1.6666666666666667</v>
      </c>
      <c r="B231">
        <v>20</v>
      </c>
      <c r="C231">
        <v>1</v>
      </c>
      <c r="D231" s="1">
        <v>8.5</v>
      </c>
      <c r="E231" s="3">
        <v>10.151999999999999</v>
      </c>
      <c r="F231" s="8">
        <f t="shared" si="86"/>
        <v>8.3727344365642242</v>
      </c>
      <c r="G231" s="11">
        <v>1.08</v>
      </c>
      <c r="H231" s="15">
        <v>4.8399999999999997E-3</v>
      </c>
      <c r="I231" s="11">
        <f t="shared" si="87"/>
        <v>25.722959573807643</v>
      </c>
      <c r="J231" s="16">
        <v>4.5</v>
      </c>
      <c r="K231" s="9">
        <v>12.27</v>
      </c>
      <c r="L231" s="14">
        <f t="shared" si="80"/>
        <v>-0.82530950877462084</v>
      </c>
      <c r="M231" s="6"/>
      <c r="N231" s="2">
        <f t="shared" si="85"/>
        <v>-13.044848623853209</v>
      </c>
    </row>
    <row r="232" spans="1:14" x14ac:dyDescent="0.3">
      <c r="A232">
        <f t="shared" si="75"/>
        <v>1.6666666666666667</v>
      </c>
      <c r="B232">
        <v>20</v>
      </c>
      <c r="C232">
        <v>1</v>
      </c>
      <c r="D232" s="1">
        <v>10.199999999999999</v>
      </c>
      <c r="E232" s="3">
        <v>10.151999999999999</v>
      </c>
      <c r="F232" s="8">
        <f t="shared" si="86"/>
        <v>10.047281323877067</v>
      </c>
      <c r="G232" s="11">
        <v>1.08</v>
      </c>
      <c r="H232" s="15">
        <v>4.8399999999999997E-3</v>
      </c>
      <c r="I232" s="11">
        <f t="shared" si="87"/>
        <v>30.867551488569166</v>
      </c>
      <c r="J232" s="16">
        <v>4.5</v>
      </c>
      <c r="K232" s="9">
        <v>15.72</v>
      </c>
      <c r="L232" s="14">
        <f t="shared" si="80"/>
        <v>-2.1993309773862983</v>
      </c>
      <c r="M232" s="6"/>
      <c r="N232" s="2">
        <f t="shared" si="85"/>
        <v>-21.411889908256882</v>
      </c>
    </row>
    <row r="233" spans="1:14" x14ac:dyDescent="0.3">
      <c r="A233">
        <f t="shared" si="75"/>
        <v>1.6666666666666667</v>
      </c>
      <c r="B233">
        <v>20</v>
      </c>
      <c r="C233">
        <v>1</v>
      </c>
      <c r="D233" s="1">
        <v>12.2</v>
      </c>
      <c r="E233" s="3">
        <v>10.151999999999999</v>
      </c>
      <c r="F233" s="8">
        <f t="shared" si="86"/>
        <v>12.017336485421591</v>
      </c>
      <c r="G233" s="11">
        <v>1.08</v>
      </c>
      <c r="H233" s="15">
        <v>4.8399999999999997E-3</v>
      </c>
      <c r="I233" s="11">
        <f t="shared" si="87"/>
        <v>36.920012564759197</v>
      </c>
      <c r="J233" s="16">
        <v>4.5</v>
      </c>
      <c r="K233" s="9">
        <v>20.85</v>
      </c>
      <c r="L233" s="14">
        <f t="shared" si="80"/>
        <v>-3.7457298418598453</v>
      </c>
      <c r="M233" s="6"/>
      <c r="N233" s="2">
        <f t="shared" si="85"/>
        <v>-37.667087155963301</v>
      </c>
    </row>
    <row r="234" spans="1:14" x14ac:dyDescent="0.3">
      <c r="A234">
        <f t="shared" si="75"/>
        <v>1.6666666666666667</v>
      </c>
      <c r="B234">
        <v>20</v>
      </c>
      <c r="C234">
        <v>2</v>
      </c>
      <c r="D234" s="1">
        <v>1.7</v>
      </c>
      <c r="E234" s="3">
        <v>10.151999999999999</v>
      </c>
      <c r="F234" s="8">
        <f t="shared" si="86"/>
        <v>1.6745468873128448</v>
      </c>
      <c r="G234" s="11">
        <v>1.08</v>
      </c>
      <c r="H234" s="15">
        <v>2.4199999999999998E-3</v>
      </c>
      <c r="I234" s="11">
        <f t="shared" si="87"/>
        <v>5.144591914761528</v>
      </c>
      <c r="J234" s="16">
        <v>4.5</v>
      </c>
      <c r="K234" s="9">
        <v>0</v>
      </c>
      <c r="L234" s="14">
        <f t="shared" si="80"/>
        <v>70.640492811232093</v>
      </c>
      <c r="M234" s="6"/>
      <c r="N234" s="2">
        <f>-(1.7*K234^2)/19.62</f>
        <v>0</v>
      </c>
    </row>
    <row r="235" spans="1:14" x14ac:dyDescent="0.3">
      <c r="A235">
        <f t="shared" si="75"/>
        <v>1.6666666666666667</v>
      </c>
      <c r="B235">
        <v>20</v>
      </c>
      <c r="C235">
        <v>2</v>
      </c>
      <c r="D235" s="1">
        <v>3.4</v>
      </c>
      <c r="E235" s="3">
        <v>10.151999999999999</v>
      </c>
      <c r="F235" s="8">
        <f t="shared" si="86"/>
        <v>3.3490937746256897</v>
      </c>
      <c r="G235" s="11">
        <v>1.08</v>
      </c>
      <c r="H235" s="15">
        <v>2.4199999999999998E-3</v>
      </c>
      <c r="I235" s="11">
        <f t="shared" si="87"/>
        <v>10.289183829523056</v>
      </c>
      <c r="J235" s="16">
        <v>4.5</v>
      </c>
      <c r="K235" s="9">
        <v>4.5199999999999996</v>
      </c>
      <c r="L235" s="14">
        <f t="shared" si="80"/>
        <v>14.563622555805674</v>
      </c>
      <c r="M235" s="6"/>
      <c r="N235" s="2">
        <f t="shared" ref="N235:N240" si="88">-(1.7*K235^2)/19.62</f>
        <v>-1.7702181447502543</v>
      </c>
    </row>
    <row r="236" spans="1:14" x14ac:dyDescent="0.3">
      <c r="A236">
        <f t="shared" ref="A236:A299" si="89">100/60</f>
        <v>1.6666666666666667</v>
      </c>
      <c r="B236">
        <v>20</v>
      </c>
      <c r="C236">
        <v>2</v>
      </c>
      <c r="D236" s="1">
        <v>5.0999999999999996</v>
      </c>
      <c r="E236" s="3">
        <v>10.151999999999999</v>
      </c>
      <c r="F236" s="8">
        <f t="shared" si="86"/>
        <v>5.0236406619385336</v>
      </c>
      <c r="G236" s="11">
        <v>1.08</v>
      </c>
      <c r="H236" s="15">
        <v>2.4199999999999998E-3</v>
      </c>
      <c r="I236" s="11">
        <f t="shared" si="87"/>
        <v>15.433775744284583</v>
      </c>
      <c r="J236" s="16">
        <v>4.5</v>
      </c>
      <c r="K236" s="9">
        <v>8.19</v>
      </c>
      <c r="L236" s="14">
        <f t="shared" si="80"/>
        <v>3.3305965409771647</v>
      </c>
      <c r="M236" s="6"/>
      <c r="N236" s="2">
        <f t="shared" si="88"/>
        <v>-5.8118944954128429</v>
      </c>
    </row>
    <row r="237" spans="1:14" x14ac:dyDescent="0.3">
      <c r="A237">
        <f t="shared" si="89"/>
        <v>1.6666666666666667</v>
      </c>
      <c r="B237">
        <v>20</v>
      </c>
      <c r="C237">
        <v>2</v>
      </c>
      <c r="D237" s="1">
        <v>6.8</v>
      </c>
      <c r="E237" s="3">
        <v>10.151999999999999</v>
      </c>
      <c r="F237" s="8">
        <f t="shared" si="86"/>
        <v>6.6981875492513794</v>
      </c>
      <c r="G237" s="11">
        <v>1.08</v>
      </c>
      <c r="H237" s="15">
        <v>2.4199999999999998E-3</v>
      </c>
      <c r="I237" s="11">
        <f t="shared" si="87"/>
        <v>20.578367659046112</v>
      </c>
      <c r="J237" s="16">
        <v>4.5</v>
      </c>
      <c r="K237" s="9">
        <v>12.26</v>
      </c>
      <c r="L237" s="14">
        <f t="shared" si="80"/>
        <v>-1.2802514826768161</v>
      </c>
      <c r="M237" s="6"/>
      <c r="N237" s="2">
        <f t="shared" si="88"/>
        <v>-13.023594291539245</v>
      </c>
    </row>
    <row r="238" spans="1:14" x14ac:dyDescent="0.3">
      <c r="A238">
        <f t="shared" si="89"/>
        <v>1.6666666666666667</v>
      </c>
      <c r="B238">
        <v>20</v>
      </c>
      <c r="C238">
        <v>2</v>
      </c>
      <c r="D238" s="1">
        <v>8.5</v>
      </c>
      <c r="E238" s="3">
        <v>10.151999999999999</v>
      </c>
      <c r="F238" s="8">
        <f t="shared" si="86"/>
        <v>8.3727344365642242</v>
      </c>
      <c r="G238" s="11">
        <v>1.08</v>
      </c>
      <c r="H238" s="15">
        <v>2.4199999999999998E-3</v>
      </c>
      <c r="I238" s="11">
        <f t="shared" si="87"/>
        <v>25.722959573807643</v>
      </c>
      <c r="J238" s="16">
        <v>4.5</v>
      </c>
      <c r="K238" s="9">
        <v>18.43</v>
      </c>
      <c r="L238" s="14">
        <f t="shared" si="80"/>
        <v>-5.4113023849270911</v>
      </c>
      <c r="M238" s="6"/>
      <c r="N238" s="2">
        <f t="shared" si="88"/>
        <v>-29.430699796126397</v>
      </c>
    </row>
    <row r="239" spans="1:14" x14ac:dyDescent="0.3">
      <c r="A239">
        <f t="shared" si="89"/>
        <v>1.6666666666666667</v>
      </c>
      <c r="B239">
        <v>20</v>
      </c>
      <c r="C239">
        <v>2</v>
      </c>
      <c r="D239" s="1">
        <v>10.199999999999999</v>
      </c>
      <c r="E239" s="3">
        <v>10.151999999999999</v>
      </c>
      <c r="F239" s="8">
        <f t="shared" si="86"/>
        <v>10.047281323877067</v>
      </c>
      <c r="G239" s="11">
        <v>1.08</v>
      </c>
      <c r="H239" s="15">
        <v>2.4199999999999998E-3</v>
      </c>
      <c r="I239" s="11">
        <f t="shared" si="87"/>
        <v>30.867551488569166</v>
      </c>
      <c r="J239" s="16">
        <v>4.5</v>
      </c>
      <c r="K239" s="9">
        <v>25.26</v>
      </c>
      <c r="L239" s="14">
        <f t="shared" si="80"/>
        <v>-8.7830626862615961</v>
      </c>
      <c r="M239" s="6"/>
      <c r="N239" s="2">
        <f t="shared" si="88"/>
        <v>-55.286183486238535</v>
      </c>
    </row>
    <row r="240" spans="1:14" x14ac:dyDescent="0.3">
      <c r="A240">
        <f t="shared" si="89"/>
        <v>1.6666666666666667</v>
      </c>
      <c r="B240">
        <v>20</v>
      </c>
      <c r="C240">
        <v>2</v>
      </c>
      <c r="D240" s="1">
        <v>12.2</v>
      </c>
      <c r="E240" s="3">
        <v>10.151999999999999</v>
      </c>
      <c r="F240" s="8">
        <f t="shared" si="86"/>
        <v>12.017336485421591</v>
      </c>
      <c r="G240" s="11">
        <v>1.08</v>
      </c>
      <c r="H240" s="15">
        <v>2.4199999999999998E-3</v>
      </c>
      <c r="I240" s="11">
        <f t="shared" si="87"/>
        <v>36.920012564759197</v>
      </c>
      <c r="J240" s="16">
        <v>4.5</v>
      </c>
      <c r="K240" s="9">
        <v>32.49</v>
      </c>
      <c r="L240" s="14">
        <f t="shared" si="80"/>
        <v>-11.054401806527926</v>
      </c>
      <c r="M240" s="6"/>
      <c r="N240" s="2">
        <f t="shared" si="88"/>
        <v>-91.463821100917443</v>
      </c>
    </row>
    <row r="241" spans="1:14" x14ac:dyDescent="0.3">
      <c r="A241">
        <f t="shared" si="89"/>
        <v>1.6666666666666667</v>
      </c>
      <c r="B241">
        <v>20</v>
      </c>
      <c r="C241">
        <v>4</v>
      </c>
      <c r="D241" s="1">
        <v>1.7</v>
      </c>
      <c r="E241" s="3">
        <v>10.151999999999999</v>
      </c>
      <c r="F241" s="8">
        <f t="shared" si="86"/>
        <v>1.6745468873128448</v>
      </c>
      <c r="G241" s="11">
        <v>1.08</v>
      </c>
      <c r="H241" s="15">
        <v>1.2099999999999999E-3</v>
      </c>
      <c r="I241" s="11">
        <f t="shared" si="87"/>
        <v>5.144591914761528</v>
      </c>
      <c r="J241" s="16">
        <v>4.5</v>
      </c>
      <c r="K241" s="9">
        <v>0</v>
      </c>
      <c r="L241" s="14">
        <f t="shared" si="80"/>
        <v>70.640492811232093</v>
      </c>
      <c r="M241" s="6"/>
      <c r="N241" s="2">
        <f>-(1.7*K241^2)/19.62</f>
        <v>0</v>
      </c>
    </row>
    <row r="242" spans="1:14" x14ac:dyDescent="0.3">
      <c r="A242">
        <f t="shared" si="89"/>
        <v>1.6666666666666667</v>
      </c>
      <c r="B242">
        <v>20</v>
      </c>
      <c r="C242">
        <v>4</v>
      </c>
      <c r="D242" s="1">
        <v>3.4</v>
      </c>
      <c r="E242" s="3">
        <v>10.151999999999999</v>
      </c>
      <c r="F242" s="8">
        <f t="shared" si="86"/>
        <v>3.3490937746256897</v>
      </c>
      <c r="G242" s="11">
        <v>1.08</v>
      </c>
      <c r="H242" s="15">
        <v>1.2099999999999999E-3</v>
      </c>
      <c r="I242" s="11">
        <f t="shared" si="87"/>
        <v>10.289183829523056</v>
      </c>
      <c r="J242" s="16">
        <v>4.5</v>
      </c>
      <c r="K242" s="9">
        <v>6.26</v>
      </c>
      <c r="L242" s="14">
        <f t="shared" si="80"/>
        <v>11.720717769998616</v>
      </c>
      <c r="M242" s="6"/>
      <c r="N242" s="2">
        <f t="shared" ref="N242:N247" si="90">-(1.7*K242^2)/19.62</f>
        <v>-3.3954597349643212</v>
      </c>
    </row>
    <row r="243" spans="1:14" x14ac:dyDescent="0.3">
      <c r="A243">
        <f t="shared" si="89"/>
        <v>1.6666666666666667</v>
      </c>
      <c r="B243">
        <v>20</v>
      </c>
      <c r="C243">
        <v>4</v>
      </c>
      <c r="D243" s="1">
        <v>5.0999999999999996</v>
      </c>
      <c r="E243" s="3">
        <v>10.151999999999999</v>
      </c>
      <c r="F243" s="8">
        <f t="shared" si="86"/>
        <v>5.0236406619385336</v>
      </c>
      <c r="G243" s="11">
        <v>1.08</v>
      </c>
      <c r="H243" s="15">
        <v>1.2099999999999999E-3</v>
      </c>
      <c r="I243" s="11">
        <f t="shared" si="87"/>
        <v>15.433775744284583</v>
      </c>
      <c r="J243" s="16">
        <v>4.5</v>
      </c>
      <c r="K243" s="9">
        <v>9.34</v>
      </c>
      <c r="L243" s="14">
        <f t="shared" si="80"/>
        <v>1.9726222631418706</v>
      </c>
      <c r="M243" s="6"/>
      <c r="N243" s="2">
        <f t="shared" si="90"/>
        <v>-7.5586401630988771</v>
      </c>
    </row>
    <row r="244" spans="1:14" x14ac:dyDescent="0.3">
      <c r="A244">
        <f t="shared" si="89"/>
        <v>1.6666666666666667</v>
      </c>
      <c r="B244">
        <v>20</v>
      </c>
      <c r="C244">
        <v>4</v>
      </c>
      <c r="D244" s="1">
        <v>6.8</v>
      </c>
      <c r="E244" s="3">
        <v>10.151999999999999</v>
      </c>
      <c r="F244" s="8">
        <f t="shared" si="86"/>
        <v>6.6981875492513794</v>
      </c>
      <c r="G244" s="11">
        <v>1.08</v>
      </c>
      <c r="H244" s="15">
        <v>1.2099999999999999E-3</v>
      </c>
      <c r="I244" s="11">
        <f t="shared" si="87"/>
        <v>20.578367659046112</v>
      </c>
      <c r="J244" s="16">
        <v>4.5</v>
      </c>
      <c r="K244" s="9">
        <v>13.87</v>
      </c>
      <c r="L244" s="14">
        <f t="shared" si="80"/>
        <v>-2.8742928948485784</v>
      </c>
      <c r="M244" s="6"/>
      <c r="N244" s="2">
        <f t="shared" si="90"/>
        <v>-16.668742609582054</v>
      </c>
    </row>
    <row r="245" spans="1:14" x14ac:dyDescent="0.3">
      <c r="A245">
        <f t="shared" si="89"/>
        <v>1.6666666666666667</v>
      </c>
      <c r="B245">
        <v>20</v>
      </c>
      <c r="C245">
        <v>4</v>
      </c>
      <c r="D245" s="1">
        <v>8.5</v>
      </c>
      <c r="E245" s="3">
        <v>10.151999999999999</v>
      </c>
      <c r="F245" s="8">
        <f t="shared" si="86"/>
        <v>8.3727344365642242</v>
      </c>
      <c r="G245" s="11">
        <v>1.08</v>
      </c>
      <c r="H245" s="15">
        <v>1.2099999999999999E-3</v>
      </c>
      <c r="I245" s="11">
        <f t="shared" si="87"/>
        <v>25.722959573807643</v>
      </c>
      <c r="J245" s="16">
        <v>4.5</v>
      </c>
      <c r="K245" s="9">
        <v>18.25</v>
      </c>
      <c r="L245" s="14">
        <f t="shared" si="80"/>
        <v>-5.2511932466095388</v>
      </c>
      <c r="M245" s="6"/>
      <c r="N245" s="2">
        <f t="shared" si="90"/>
        <v>-28.858626401630985</v>
      </c>
    </row>
    <row r="246" spans="1:14" x14ac:dyDescent="0.3">
      <c r="A246">
        <f t="shared" si="89"/>
        <v>1.6666666666666667</v>
      </c>
      <c r="B246">
        <v>20</v>
      </c>
      <c r="C246">
        <v>4</v>
      </c>
      <c r="D246" s="1">
        <v>10.199999999999999</v>
      </c>
      <c r="E246" s="3">
        <v>10.151999999999999</v>
      </c>
      <c r="F246" s="8">
        <f t="shared" si="86"/>
        <v>10.047281323877067</v>
      </c>
      <c r="G246" s="11">
        <v>1.08</v>
      </c>
      <c r="H246" s="15">
        <v>1.2099999999999999E-3</v>
      </c>
      <c r="I246" s="11">
        <f t="shared" si="87"/>
        <v>30.867551488569166</v>
      </c>
      <c r="J246" s="16">
        <v>4.5</v>
      </c>
      <c r="K246" s="9">
        <v>23.21</v>
      </c>
      <c r="L246" s="14">
        <f t="shared" si="80"/>
        <v>-7.1097439388263002</v>
      </c>
      <c r="M246" s="6"/>
      <c r="N246" s="2">
        <f t="shared" si="90"/>
        <v>-46.676705912334349</v>
      </c>
    </row>
    <row r="247" spans="1:14" x14ac:dyDescent="0.3">
      <c r="A247">
        <f t="shared" si="89"/>
        <v>1.6666666666666667</v>
      </c>
      <c r="B247">
        <v>20</v>
      </c>
      <c r="C247">
        <v>4</v>
      </c>
      <c r="D247" s="1">
        <v>12.2</v>
      </c>
      <c r="E247" s="3">
        <v>10.151999999999999</v>
      </c>
      <c r="F247" s="8">
        <f t="shared" si="86"/>
        <v>12.017336485421591</v>
      </c>
      <c r="G247" s="11">
        <v>1.08</v>
      </c>
      <c r="H247" s="15">
        <v>1.2099999999999999E-3</v>
      </c>
      <c r="I247" s="11">
        <f t="shared" si="87"/>
        <v>36.920012564759197</v>
      </c>
      <c r="J247" s="16">
        <v>4.5</v>
      </c>
      <c r="K247" s="9">
        <v>27</v>
      </c>
      <c r="L247" s="14">
        <f t="shared" si="80"/>
        <v>-7.2098227872046454</v>
      </c>
      <c r="M247" s="6"/>
      <c r="N247" s="2">
        <f t="shared" si="90"/>
        <v>-63.165137614678891</v>
      </c>
    </row>
    <row r="248" spans="1:14" x14ac:dyDescent="0.3">
      <c r="A248">
        <f t="shared" si="89"/>
        <v>1.6666666666666667</v>
      </c>
      <c r="B248">
        <v>20</v>
      </c>
      <c r="C248">
        <v>6</v>
      </c>
      <c r="D248" s="1">
        <v>1.7</v>
      </c>
      <c r="E248" s="3">
        <v>10.151999999999999</v>
      </c>
      <c r="F248" s="8">
        <f t="shared" si="86"/>
        <v>1.6745468873128448</v>
      </c>
      <c r="G248" s="11">
        <v>1.08</v>
      </c>
      <c r="H248" s="15">
        <v>8.0670000000000004E-4</v>
      </c>
      <c r="I248" s="11">
        <f t="shared" si="87"/>
        <v>5.144591914761528</v>
      </c>
      <c r="J248" s="16">
        <v>3</v>
      </c>
      <c r="K248" s="9">
        <v>0</v>
      </c>
      <c r="L248" s="14">
        <f t="shared" si="80"/>
        <v>70.640492811232093</v>
      </c>
      <c r="M248" s="6"/>
      <c r="N248" s="2">
        <f>-(1.7*K248^2)/19.62</f>
        <v>0</v>
      </c>
    </row>
    <row r="249" spans="1:14" x14ac:dyDescent="0.3">
      <c r="A249">
        <f t="shared" si="89"/>
        <v>1.6666666666666667</v>
      </c>
      <c r="B249">
        <v>20</v>
      </c>
      <c r="C249">
        <v>6</v>
      </c>
      <c r="D249" s="1">
        <v>3.4</v>
      </c>
      <c r="E249" s="3">
        <v>10.151999999999999</v>
      </c>
      <c r="F249" s="8">
        <f t="shared" si="86"/>
        <v>3.3490937746256897</v>
      </c>
      <c r="G249" s="11">
        <v>1.08</v>
      </c>
      <c r="H249" s="15">
        <v>8.0670000000000004E-4</v>
      </c>
      <c r="I249" s="11">
        <f t="shared" si="87"/>
        <v>10.289183829523056</v>
      </c>
      <c r="J249" s="16">
        <v>4.5</v>
      </c>
      <c r="K249" s="9">
        <v>4.45</v>
      </c>
      <c r="L249" s="14">
        <f t="shared" si="80"/>
        <v>14.658789207278613</v>
      </c>
      <c r="M249" s="6"/>
      <c r="N249" s="2">
        <f t="shared" ref="N249:N254" si="91">-(1.7*K249^2)/19.62</f>
        <v>-1.7158129459734965</v>
      </c>
    </row>
    <row r="250" spans="1:14" x14ac:dyDescent="0.3">
      <c r="A250">
        <f t="shared" si="89"/>
        <v>1.6666666666666667</v>
      </c>
      <c r="B250">
        <v>20</v>
      </c>
      <c r="C250">
        <v>6</v>
      </c>
      <c r="D250" s="1">
        <v>5.0999999999999996</v>
      </c>
      <c r="E250" s="3">
        <v>10.151999999999999</v>
      </c>
      <c r="F250" s="8">
        <f t="shared" si="86"/>
        <v>5.0236406619385336</v>
      </c>
      <c r="G250" s="11">
        <v>1.08</v>
      </c>
      <c r="H250" s="15">
        <v>8.0670000000000004E-4</v>
      </c>
      <c r="I250" s="11">
        <f t="shared" si="87"/>
        <v>15.433775744284583</v>
      </c>
      <c r="J250" s="16">
        <v>4.5</v>
      </c>
      <c r="K250" s="9">
        <v>7.88</v>
      </c>
      <c r="L250" s="14">
        <f t="shared" si="80"/>
        <v>3.6661713548312815</v>
      </c>
      <c r="M250" s="6"/>
      <c r="N250" s="2">
        <f t="shared" si="91"/>
        <v>-5.3802487257900102</v>
      </c>
    </row>
    <row r="251" spans="1:14" x14ac:dyDescent="0.3">
      <c r="A251">
        <f t="shared" si="89"/>
        <v>1.6666666666666667</v>
      </c>
      <c r="B251">
        <v>20</v>
      </c>
      <c r="C251">
        <v>6</v>
      </c>
      <c r="D251" s="1">
        <v>6.8</v>
      </c>
      <c r="E251" s="3">
        <v>10.151999999999999</v>
      </c>
      <c r="F251" s="8">
        <f t="shared" si="86"/>
        <v>6.6981875492513794</v>
      </c>
      <c r="G251" s="11">
        <v>1.08</v>
      </c>
      <c r="H251" s="15">
        <v>8.0670000000000004E-4</v>
      </c>
      <c r="I251" s="11">
        <f t="shared" si="87"/>
        <v>20.578367659046112</v>
      </c>
      <c r="J251" s="16">
        <v>4.5</v>
      </c>
      <c r="K251" s="9">
        <v>12.09</v>
      </c>
      <c r="L251" s="14">
        <f t="shared" si="80"/>
        <v>-1.1234023212768161</v>
      </c>
      <c r="M251" s="6"/>
      <c r="N251" s="2">
        <f t="shared" si="91"/>
        <v>-12.664922018348623</v>
      </c>
    </row>
    <row r="252" spans="1:14" x14ac:dyDescent="0.3">
      <c r="A252">
        <f t="shared" si="89"/>
        <v>1.6666666666666667</v>
      </c>
      <c r="B252">
        <v>20</v>
      </c>
      <c r="C252">
        <v>6</v>
      </c>
      <c r="D252" s="1">
        <v>8.5</v>
      </c>
      <c r="E252" s="3">
        <v>10.151999999999999</v>
      </c>
      <c r="F252" s="8">
        <f t="shared" si="86"/>
        <v>8.3727344365642242</v>
      </c>
      <c r="G252" s="11">
        <v>1.08</v>
      </c>
      <c r="H252" s="15">
        <v>8.0670000000000004E-4</v>
      </c>
      <c r="I252" s="11">
        <f t="shared" si="87"/>
        <v>25.722959573807643</v>
      </c>
      <c r="J252" s="16">
        <v>4.5</v>
      </c>
      <c r="K252" s="9">
        <v>16</v>
      </c>
      <c r="L252" s="14">
        <f t="shared" si="80"/>
        <v>-3.3824166696683622</v>
      </c>
      <c r="M252" s="6"/>
      <c r="N252" s="2">
        <f t="shared" si="91"/>
        <v>-22.181447502548419</v>
      </c>
    </row>
    <row r="253" spans="1:14" x14ac:dyDescent="0.3">
      <c r="A253">
        <f t="shared" si="89"/>
        <v>1.6666666666666667</v>
      </c>
      <c r="B253">
        <v>20</v>
      </c>
      <c r="C253">
        <v>6</v>
      </c>
      <c r="D253" s="1">
        <v>10.199999999999999</v>
      </c>
      <c r="E253" s="3">
        <v>10.151999999999999</v>
      </c>
      <c r="F253" s="8">
        <f t="shared" si="86"/>
        <v>10.047281323877067</v>
      </c>
      <c r="G253" s="11">
        <v>1.08</v>
      </c>
      <c r="H253" s="15">
        <v>8.0670000000000004E-4</v>
      </c>
      <c r="I253" s="11">
        <f t="shared" si="87"/>
        <v>30.867551488569166</v>
      </c>
      <c r="J253" s="16">
        <v>4.5</v>
      </c>
      <c r="K253" s="9">
        <v>17.71</v>
      </c>
      <c r="L253" s="14">
        <f t="shared" si="80"/>
        <v>-3.3196488103557109</v>
      </c>
      <c r="M253" s="6"/>
      <c r="N253" s="2">
        <f t="shared" si="91"/>
        <v>-27.176094291539243</v>
      </c>
    </row>
    <row r="254" spans="1:14" x14ac:dyDescent="0.3">
      <c r="A254">
        <f t="shared" si="89"/>
        <v>1.6666666666666667</v>
      </c>
      <c r="B254">
        <v>20</v>
      </c>
      <c r="C254">
        <v>6</v>
      </c>
      <c r="D254" s="1">
        <v>12.2</v>
      </c>
      <c r="E254" s="3">
        <v>10.151999999999999</v>
      </c>
      <c r="F254" s="8">
        <f t="shared" si="86"/>
        <v>12.017336485421591</v>
      </c>
      <c r="G254" s="11">
        <v>1.08</v>
      </c>
      <c r="H254" s="15">
        <v>8.0670000000000004E-4</v>
      </c>
      <c r="I254" s="11">
        <f t="shared" si="87"/>
        <v>36.920012564759197</v>
      </c>
      <c r="J254" s="16">
        <v>4.5</v>
      </c>
      <c r="K254" s="9">
        <v>21.12</v>
      </c>
      <c r="L254" s="14">
        <f t="shared" si="80"/>
        <v>-3.8791235088828175</v>
      </c>
      <c r="M254" s="6"/>
      <c r="N254" s="2">
        <f t="shared" si="91"/>
        <v>-38.648954128440366</v>
      </c>
    </row>
    <row r="255" spans="1:14" x14ac:dyDescent="0.3">
      <c r="A255">
        <f t="shared" si="89"/>
        <v>1.6666666666666667</v>
      </c>
      <c r="B255">
        <v>30</v>
      </c>
      <c r="C255">
        <v>1</v>
      </c>
      <c r="D255" s="7">
        <v>2.6</v>
      </c>
      <c r="E255" s="3">
        <v>15.228</v>
      </c>
      <c r="F255" s="8">
        <f t="shared" si="86"/>
        <v>1.7073811400052534</v>
      </c>
      <c r="G255" s="11">
        <v>1.62</v>
      </c>
      <c r="H255" s="15">
        <v>6.9100000000000003E-3</v>
      </c>
      <c r="I255" s="11">
        <f t="shared" si="87"/>
        <v>4.2829052715863334</v>
      </c>
      <c r="J255" s="16">
        <v>4.5</v>
      </c>
      <c r="K255" s="9">
        <v>0</v>
      </c>
      <c r="L255" s="14">
        <f t="shared" si="80"/>
        <v>67.949675222638575</v>
      </c>
      <c r="M255" s="6"/>
      <c r="N255" s="2">
        <f>-(1.7*K255^2)/19.62</f>
        <v>0</v>
      </c>
    </row>
    <row r="256" spans="1:14" x14ac:dyDescent="0.3">
      <c r="A256">
        <f t="shared" si="89"/>
        <v>1.6666666666666667</v>
      </c>
      <c r="B256">
        <v>30</v>
      </c>
      <c r="C256">
        <v>1</v>
      </c>
      <c r="D256" s="7">
        <v>5.2</v>
      </c>
      <c r="E256" s="3">
        <v>15.228</v>
      </c>
      <c r="F256" s="8">
        <f t="shared" si="86"/>
        <v>3.4147622800105069</v>
      </c>
      <c r="G256" s="11">
        <v>1.62</v>
      </c>
      <c r="H256" s="15">
        <v>6.9100000000000003E-3</v>
      </c>
      <c r="I256" s="11">
        <f t="shared" si="87"/>
        <v>8.5658105431726668</v>
      </c>
      <c r="J256" s="16">
        <v>4.5</v>
      </c>
      <c r="K256" s="9">
        <v>0.5</v>
      </c>
      <c r="L256" s="14">
        <f t="shared" si="80"/>
        <v>16.950971285985091</v>
      </c>
      <c r="M256" s="6"/>
      <c r="N256" s="2">
        <f t="shared" ref="N256:N261" si="92">-(1.7*K256^2)/19.62</f>
        <v>-2.1661569826707441E-2</v>
      </c>
    </row>
    <row r="257" spans="1:14" x14ac:dyDescent="0.3">
      <c r="A257">
        <f t="shared" si="89"/>
        <v>1.6666666666666667</v>
      </c>
      <c r="B257">
        <v>30</v>
      </c>
      <c r="C257">
        <v>1</v>
      </c>
      <c r="D257" s="7">
        <v>7.8</v>
      </c>
      <c r="E257" s="3">
        <v>15.228</v>
      </c>
      <c r="F257" s="8">
        <f t="shared" si="86"/>
        <v>5.1221434200157594</v>
      </c>
      <c r="G257" s="11">
        <v>1.62</v>
      </c>
      <c r="H257" s="15">
        <v>6.9100000000000003E-3</v>
      </c>
      <c r="I257" s="11">
        <f t="shared" si="87"/>
        <v>12.848715814758997</v>
      </c>
      <c r="J257" s="16">
        <v>4.5</v>
      </c>
      <c r="K257" s="9">
        <v>5.03</v>
      </c>
      <c r="L257" s="14">
        <f t="shared" si="80"/>
        <v>5.9105771571216597</v>
      </c>
      <c r="M257" s="6"/>
      <c r="N257" s="2">
        <f t="shared" si="92"/>
        <v>-2.1922288481141692</v>
      </c>
    </row>
    <row r="258" spans="1:14" x14ac:dyDescent="0.3">
      <c r="A258">
        <f t="shared" si="89"/>
        <v>1.6666666666666667</v>
      </c>
      <c r="B258">
        <v>30</v>
      </c>
      <c r="C258">
        <v>1</v>
      </c>
      <c r="D258" s="7">
        <v>10.4</v>
      </c>
      <c r="E258" s="3">
        <v>15.228</v>
      </c>
      <c r="F258" s="8">
        <f t="shared" si="86"/>
        <v>6.8295245600210137</v>
      </c>
      <c r="G258" s="11">
        <v>1.62</v>
      </c>
      <c r="H258" s="15">
        <v>6.9100000000000003E-3</v>
      </c>
      <c r="I258" s="11">
        <f t="shared" si="87"/>
        <v>17.131621086345334</v>
      </c>
      <c r="J258" s="16">
        <v>4.5</v>
      </c>
      <c r="K258" s="9">
        <v>12.46</v>
      </c>
      <c r="L258" s="14">
        <f t="shared" si="80"/>
        <v>-1.4116810440914205</v>
      </c>
      <c r="M258" s="6"/>
      <c r="N258" s="2">
        <f t="shared" si="92"/>
        <v>-13.451973496432213</v>
      </c>
    </row>
    <row r="259" spans="1:14" x14ac:dyDescent="0.3">
      <c r="A259">
        <f t="shared" si="89"/>
        <v>1.6666666666666667</v>
      </c>
      <c r="B259">
        <v>30</v>
      </c>
      <c r="C259">
        <v>1</v>
      </c>
      <c r="D259" s="7">
        <v>13</v>
      </c>
      <c r="E259" s="3">
        <v>15.228</v>
      </c>
      <c r="F259" s="8">
        <f t="shared" si="86"/>
        <v>8.5369057000262671</v>
      </c>
      <c r="G259" s="11">
        <v>1.62</v>
      </c>
      <c r="H259" s="15">
        <v>6.9100000000000003E-3</v>
      </c>
      <c r="I259" s="11">
        <f t="shared" si="87"/>
        <v>21.414526357931667</v>
      </c>
      <c r="J259" s="16">
        <v>4.5</v>
      </c>
      <c r="K259" s="9">
        <v>16.47</v>
      </c>
      <c r="L259" s="14">
        <f t="shared" ref="L259:L322" si="93">(10.33+N259-0.234)/((F259^2)/19.62)</f>
        <v>-3.6095566644946637</v>
      </c>
      <c r="M259" s="6"/>
      <c r="N259" s="2">
        <f t="shared" si="92"/>
        <v>-23.503747706422011</v>
      </c>
    </row>
    <row r="260" spans="1:14" x14ac:dyDescent="0.3">
      <c r="A260">
        <f t="shared" si="89"/>
        <v>1.6666666666666667</v>
      </c>
      <c r="B260">
        <v>30</v>
      </c>
      <c r="C260">
        <v>1</v>
      </c>
      <c r="D260" s="7">
        <v>15.6</v>
      </c>
      <c r="E260" s="3">
        <v>15.228</v>
      </c>
      <c r="F260" s="8">
        <f t="shared" si="86"/>
        <v>10.244286840031519</v>
      </c>
      <c r="G260" s="11">
        <v>1.62</v>
      </c>
      <c r="H260" s="15">
        <v>6.9100000000000003E-3</v>
      </c>
      <c r="I260" s="11">
        <f t="shared" si="87"/>
        <v>25.697431629517993</v>
      </c>
      <c r="J260" s="16">
        <v>4.5</v>
      </c>
      <c r="K260" s="9">
        <v>22.59</v>
      </c>
      <c r="L260" s="14">
        <f t="shared" si="93"/>
        <v>-6.3789376948535521</v>
      </c>
      <c r="M260" s="6"/>
      <c r="N260" s="2">
        <f t="shared" si="92"/>
        <v>-44.216298165137609</v>
      </c>
    </row>
    <row r="261" spans="1:14" x14ac:dyDescent="0.3">
      <c r="A261">
        <f t="shared" si="89"/>
        <v>1.6666666666666667</v>
      </c>
      <c r="B261">
        <v>30</v>
      </c>
      <c r="C261">
        <v>1</v>
      </c>
      <c r="D261" s="7">
        <v>18.100000000000001</v>
      </c>
      <c r="E261" s="3">
        <v>15.228</v>
      </c>
      <c r="F261" s="8">
        <f t="shared" si="86"/>
        <v>11.885999474651957</v>
      </c>
      <c r="G261" s="11">
        <v>1.62</v>
      </c>
      <c r="H261" s="15">
        <v>6.9100000000000003E-3</v>
      </c>
      <c r="I261" s="11">
        <f t="shared" si="87"/>
        <v>29.815609775274087</v>
      </c>
      <c r="J261" s="16">
        <v>4.5</v>
      </c>
      <c r="K261" s="9">
        <v>28.72</v>
      </c>
      <c r="L261" s="14">
        <f t="shared" si="93"/>
        <v>-8.5232691842023076</v>
      </c>
      <c r="M261" s="6"/>
      <c r="N261" s="2">
        <f t="shared" si="92"/>
        <v>-71.469178389398564</v>
      </c>
    </row>
    <row r="262" spans="1:14" x14ac:dyDescent="0.3">
      <c r="A262">
        <f t="shared" si="89"/>
        <v>1.6666666666666667</v>
      </c>
      <c r="B262">
        <v>30</v>
      </c>
      <c r="C262">
        <v>2</v>
      </c>
      <c r="D262" s="7">
        <v>2.6</v>
      </c>
      <c r="E262" s="3">
        <v>15.228</v>
      </c>
      <c r="F262" s="8">
        <f t="shared" si="86"/>
        <v>1.7073811400052534</v>
      </c>
      <c r="G262" s="11">
        <v>1.62</v>
      </c>
      <c r="H262" s="15">
        <v>3.4550000000000002E-3</v>
      </c>
      <c r="I262" s="11">
        <f t="shared" si="87"/>
        <v>4.2829052715863334</v>
      </c>
      <c r="J262" s="16">
        <v>4.5</v>
      </c>
      <c r="K262" s="9">
        <v>0</v>
      </c>
      <c r="L262" s="14">
        <f t="shared" si="93"/>
        <v>67.949675222638575</v>
      </c>
      <c r="M262" s="6"/>
      <c r="N262" s="2">
        <f>-(1.7*K262^2)/19.62</f>
        <v>0</v>
      </c>
    </row>
    <row r="263" spans="1:14" x14ac:dyDescent="0.3">
      <c r="A263">
        <f t="shared" si="89"/>
        <v>1.6666666666666667</v>
      </c>
      <c r="B263">
        <v>30</v>
      </c>
      <c r="C263">
        <v>2</v>
      </c>
      <c r="D263" s="7">
        <v>5.2</v>
      </c>
      <c r="E263" s="3">
        <v>15.228</v>
      </c>
      <c r="F263" s="8">
        <f t="shared" si="86"/>
        <v>3.4147622800105069</v>
      </c>
      <c r="G263" s="11">
        <v>1.62</v>
      </c>
      <c r="H263" s="15">
        <v>3.4550000000000002E-3</v>
      </c>
      <c r="I263" s="11">
        <f t="shared" si="87"/>
        <v>8.5658105431726668</v>
      </c>
      <c r="J263" s="16">
        <v>4.5</v>
      </c>
      <c r="K263" s="9">
        <v>5.05</v>
      </c>
      <c r="L263" s="14">
        <f t="shared" si="93"/>
        <v>13.269407323658168</v>
      </c>
      <c r="M263" s="6"/>
      <c r="N263" s="2">
        <f t="shared" ref="N263:N268" si="94">-(1.7*K263^2)/19.62</f>
        <v>-2.2096967380224255</v>
      </c>
    </row>
    <row r="264" spans="1:14" x14ac:dyDescent="0.3">
      <c r="A264">
        <f t="shared" si="89"/>
        <v>1.6666666666666667</v>
      </c>
      <c r="B264">
        <v>30</v>
      </c>
      <c r="C264">
        <v>2</v>
      </c>
      <c r="D264" s="7">
        <v>7.8</v>
      </c>
      <c r="E264" s="3">
        <v>15.228</v>
      </c>
      <c r="F264" s="8">
        <f t="shared" si="86"/>
        <v>5.1221434200157594</v>
      </c>
      <c r="G264" s="11">
        <v>1.62</v>
      </c>
      <c r="H264" s="15">
        <v>3.4550000000000002E-3</v>
      </c>
      <c r="I264" s="11">
        <f t="shared" si="87"/>
        <v>12.848715814758997</v>
      </c>
      <c r="J264" s="16">
        <v>4.5</v>
      </c>
      <c r="K264" s="9">
        <v>9.3699999999999992</v>
      </c>
      <c r="L264" s="14">
        <f t="shared" si="93"/>
        <v>1.8611119311997659</v>
      </c>
      <c r="M264" s="6"/>
      <c r="N264" s="2">
        <f t="shared" si="94"/>
        <v>-7.6072747196738</v>
      </c>
    </row>
    <row r="265" spans="1:14" x14ac:dyDescent="0.3">
      <c r="A265">
        <f t="shared" si="89"/>
        <v>1.6666666666666667</v>
      </c>
      <c r="B265">
        <v>30</v>
      </c>
      <c r="C265">
        <v>2</v>
      </c>
      <c r="D265" s="7">
        <v>10.4</v>
      </c>
      <c r="E265" s="3">
        <v>15.228</v>
      </c>
      <c r="F265" s="8">
        <f t="shared" si="86"/>
        <v>6.8295245600210137</v>
      </c>
      <c r="G265" s="11">
        <v>1.62</v>
      </c>
      <c r="H265" s="15">
        <v>3.4550000000000002E-3</v>
      </c>
      <c r="I265" s="11">
        <f t="shared" si="87"/>
        <v>17.131621086345334</v>
      </c>
      <c r="J265" s="16">
        <v>4.5</v>
      </c>
      <c r="K265" s="9">
        <v>15.62</v>
      </c>
      <c r="L265" s="14">
        <f t="shared" si="93"/>
        <v>-4.6457715178698802</v>
      </c>
      <c r="M265" s="6"/>
      <c r="N265" s="2">
        <f t="shared" si="94"/>
        <v>-21.140340468909272</v>
      </c>
    </row>
    <row r="266" spans="1:14" x14ac:dyDescent="0.3">
      <c r="A266">
        <f t="shared" si="89"/>
        <v>1.6666666666666667</v>
      </c>
      <c r="B266">
        <v>30</v>
      </c>
      <c r="C266">
        <v>2</v>
      </c>
      <c r="D266" s="7">
        <v>13</v>
      </c>
      <c r="E266" s="3">
        <v>15.228</v>
      </c>
      <c r="F266" s="8">
        <f t="shared" si="86"/>
        <v>8.5369057000262671</v>
      </c>
      <c r="G266" s="11">
        <v>1.62</v>
      </c>
      <c r="H266" s="15">
        <v>3.4550000000000002E-3</v>
      </c>
      <c r="I266" s="11">
        <f t="shared" si="87"/>
        <v>21.414526357931667</v>
      </c>
      <c r="J266" s="16">
        <v>4.5</v>
      </c>
      <c r="K266" s="9">
        <v>22.51</v>
      </c>
      <c r="L266" s="14">
        <f t="shared" si="93"/>
        <v>-9.1015085839582053</v>
      </c>
      <c r="M266" s="6"/>
      <c r="N266" s="2">
        <f t="shared" si="94"/>
        <v>-43.903678389398578</v>
      </c>
    </row>
    <row r="267" spans="1:14" x14ac:dyDescent="0.3">
      <c r="A267">
        <f t="shared" si="89"/>
        <v>1.6666666666666667</v>
      </c>
      <c r="B267">
        <v>30</v>
      </c>
      <c r="C267">
        <v>2</v>
      </c>
      <c r="D267" s="7">
        <v>15.6</v>
      </c>
      <c r="E267" s="3">
        <v>15.228</v>
      </c>
      <c r="F267" s="8">
        <f t="shared" si="86"/>
        <v>10.244286840031519</v>
      </c>
      <c r="G267" s="11">
        <v>1.62</v>
      </c>
      <c r="H267" s="15">
        <v>3.4550000000000002E-3</v>
      </c>
      <c r="I267" s="11">
        <f t="shared" si="87"/>
        <v>25.697431629517993</v>
      </c>
      <c r="J267" s="16">
        <v>4.5</v>
      </c>
      <c r="K267" s="9">
        <v>28.76</v>
      </c>
      <c r="L267" s="14">
        <f t="shared" si="93"/>
        <v>-11.511226332511249</v>
      </c>
      <c r="M267" s="6"/>
      <c r="N267" s="2">
        <f t="shared" si="94"/>
        <v>-71.66839551478084</v>
      </c>
    </row>
    <row r="268" spans="1:14" x14ac:dyDescent="0.3">
      <c r="A268">
        <f t="shared" si="89"/>
        <v>1.6666666666666667</v>
      </c>
      <c r="B268">
        <v>30</v>
      </c>
      <c r="C268">
        <v>2</v>
      </c>
      <c r="D268" s="7">
        <v>18.100000000000001</v>
      </c>
      <c r="E268" s="3">
        <v>15.228</v>
      </c>
      <c r="F268" s="8">
        <f t="shared" si="86"/>
        <v>11.885999474651957</v>
      </c>
      <c r="G268" s="11">
        <v>1.62</v>
      </c>
      <c r="H268" s="15">
        <v>3.4550000000000002E-3</v>
      </c>
      <c r="I268" s="11">
        <f t="shared" si="87"/>
        <v>29.815609775274087</v>
      </c>
      <c r="J268" s="16">
        <v>4.5</v>
      </c>
      <c r="K268" s="9">
        <v>33.340000000000003</v>
      </c>
      <c r="L268" s="14">
        <f t="shared" si="93"/>
        <v>-11.973365780868228</v>
      </c>
      <c r="M268" s="6"/>
      <c r="N268" s="2">
        <f t="shared" si="94"/>
        <v>-96.312156982670757</v>
      </c>
    </row>
    <row r="269" spans="1:14" x14ac:dyDescent="0.3">
      <c r="A269">
        <f t="shared" si="89"/>
        <v>1.6666666666666667</v>
      </c>
      <c r="B269">
        <v>30</v>
      </c>
      <c r="C269">
        <v>4</v>
      </c>
      <c r="D269" s="7">
        <v>2.6</v>
      </c>
      <c r="E269" s="3">
        <v>15.228</v>
      </c>
      <c r="F269" s="8">
        <f t="shared" si="86"/>
        <v>1.7073811400052534</v>
      </c>
      <c r="G269" s="11">
        <v>1.62</v>
      </c>
      <c r="H269" s="15">
        <v>1.7275000000000001E-3</v>
      </c>
      <c r="I269" s="11">
        <f t="shared" si="87"/>
        <v>4.2829052715863334</v>
      </c>
      <c r="J269" s="16">
        <v>4.5</v>
      </c>
      <c r="K269" s="9">
        <v>0</v>
      </c>
      <c r="L269" s="14">
        <f t="shared" si="93"/>
        <v>67.949675222638575</v>
      </c>
      <c r="M269" s="6"/>
      <c r="N269" s="2">
        <f>-(1.7*K269^2)/19.62</f>
        <v>0</v>
      </c>
    </row>
    <row r="270" spans="1:14" x14ac:dyDescent="0.3">
      <c r="A270">
        <f t="shared" si="89"/>
        <v>1.6666666666666667</v>
      </c>
      <c r="B270">
        <v>30</v>
      </c>
      <c r="C270">
        <v>4</v>
      </c>
      <c r="D270" s="7">
        <v>5.2</v>
      </c>
      <c r="E270" s="3">
        <v>15.228</v>
      </c>
      <c r="F270" s="8">
        <f t="shared" si="86"/>
        <v>3.4147622800105069</v>
      </c>
      <c r="G270" s="11">
        <v>1.62</v>
      </c>
      <c r="H270" s="15">
        <v>1.7275000000000001E-3</v>
      </c>
      <c r="I270" s="11">
        <f t="shared" si="87"/>
        <v>8.5658105431726668</v>
      </c>
      <c r="J270" s="16">
        <v>4.5</v>
      </c>
      <c r="K270" s="9">
        <v>5.18</v>
      </c>
      <c r="L270" s="14">
        <f t="shared" si="93"/>
        <v>13.075521097997399</v>
      </c>
      <c r="M270" s="6"/>
      <c r="N270" s="2">
        <f t="shared" ref="N270:N275" si="95">-(1.7*K270^2)/19.62</f>
        <v>-2.3249276248725783</v>
      </c>
    </row>
    <row r="271" spans="1:14" x14ac:dyDescent="0.3">
      <c r="A271">
        <f t="shared" si="89"/>
        <v>1.6666666666666667</v>
      </c>
      <c r="B271">
        <v>30</v>
      </c>
      <c r="C271">
        <v>4</v>
      </c>
      <c r="D271" s="7">
        <v>7.8</v>
      </c>
      <c r="E271" s="3">
        <v>15.228</v>
      </c>
      <c r="F271" s="8">
        <f t="shared" si="86"/>
        <v>5.1221434200157594</v>
      </c>
      <c r="G271" s="11">
        <v>1.62</v>
      </c>
      <c r="H271" s="15">
        <v>1.7275000000000001E-3</v>
      </c>
      <c r="I271" s="11">
        <f t="shared" si="87"/>
        <v>12.848715814758997</v>
      </c>
      <c r="J271" s="16">
        <v>4.5</v>
      </c>
      <c r="K271" s="9">
        <v>8.82</v>
      </c>
      <c r="L271" s="14">
        <f t="shared" si="93"/>
        <v>2.5093594166826048</v>
      </c>
      <c r="M271" s="6"/>
      <c r="N271" s="2">
        <f t="shared" si="95"/>
        <v>-6.7404220183486236</v>
      </c>
    </row>
    <row r="272" spans="1:14" x14ac:dyDescent="0.3">
      <c r="A272">
        <f t="shared" si="89"/>
        <v>1.6666666666666667</v>
      </c>
      <c r="B272">
        <v>30</v>
      </c>
      <c r="C272">
        <v>4</v>
      </c>
      <c r="D272" s="7">
        <v>10.4</v>
      </c>
      <c r="E272" s="3">
        <v>15.228</v>
      </c>
      <c r="F272" s="8">
        <f t="shared" si="86"/>
        <v>6.8295245600210137</v>
      </c>
      <c r="G272" s="11">
        <v>1.62</v>
      </c>
      <c r="H272" s="15">
        <v>1.7275000000000001E-3</v>
      </c>
      <c r="I272" s="11">
        <f t="shared" si="87"/>
        <v>17.131621086345334</v>
      </c>
      <c r="J272" s="16">
        <v>4.5</v>
      </c>
      <c r="K272" s="9">
        <v>13.36</v>
      </c>
      <c r="L272" s="14">
        <f t="shared" si="93"/>
        <v>-2.2586485062887571</v>
      </c>
      <c r="M272" s="6"/>
      <c r="N272" s="2">
        <f t="shared" si="95"/>
        <v>-15.465459734964321</v>
      </c>
    </row>
    <row r="273" spans="1:14" x14ac:dyDescent="0.3">
      <c r="A273">
        <f t="shared" si="89"/>
        <v>1.6666666666666667</v>
      </c>
      <c r="B273">
        <v>30</v>
      </c>
      <c r="C273">
        <v>4</v>
      </c>
      <c r="D273" s="7">
        <v>13</v>
      </c>
      <c r="E273" s="3">
        <v>15.228</v>
      </c>
      <c r="F273" s="8">
        <f t="shared" si="86"/>
        <v>8.5369057000262671</v>
      </c>
      <c r="G273" s="11">
        <v>1.62</v>
      </c>
      <c r="H273" s="15">
        <v>1.7275000000000001E-3</v>
      </c>
      <c r="I273" s="11">
        <f t="shared" si="87"/>
        <v>21.414526357931667</v>
      </c>
      <c r="J273" s="16">
        <v>4.5</v>
      </c>
      <c r="K273" s="9">
        <v>19.149999999999999</v>
      </c>
      <c r="L273" s="14">
        <f t="shared" si="93"/>
        <v>-5.8363333327600202</v>
      </c>
      <c r="M273" s="6"/>
      <c r="N273" s="2">
        <f t="shared" si="95"/>
        <v>-31.775140163098875</v>
      </c>
    </row>
    <row r="274" spans="1:14" x14ac:dyDescent="0.3">
      <c r="A274">
        <f t="shared" si="89"/>
        <v>1.6666666666666667</v>
      </c>
      <c r="B274">
        <v>30</v>
      </c>
      <c r="C274">
        <v>4</v>
      </c>
      <c r="D274" s="7">
        <v>15.6</v>
      </c>
      <c r="E274" s="3">
        <v>15.228</v>
      </c>
      <c r="F274" s="8">
        <f t="shared" si="86"/>
        <v>10.244286840031519</v>
      </c>
      <c r="G274" s="11">
        <v>1.62</v>
      </c>
      <c r="H274" s="15">
        <v>1.7275000000000001E-3</v>
      </c>
      <c r="I274" s="11">
        <f t="shared" si="87"/>
        <v>25.697431629517993</v>
      </c>
      <c r="J274" s="16">
        <v>4.5</v>
      </c>
      <c r="K274" s="9">
        <v>23.54</v>
      </c>
      <c r="L274" s="14">
        <f t="shared" si="93"/>
        <v>-7.0888300852792918</v>
      </c>
      <c r="M274" s="6"/>
      <c r="N274" s="2">
        <f t="shared" si="95"/>
        <v>-48.01344138634046</v>
      </c>
    </row>
    <row r="275" spans="1:14" x14ac:dyDescent="0.3">
      <c r="A275">
        <f t="shared" si="89"/>
        <v>1.6666666666666667</v>
      </c>
      <c r="B275">
        <v>30</v>
      </c>
      <c r="C275">
        <v>4</v>
      </c>
      <c r="D275" s="7">
        <v>18.100000000000001</v>
      </c>
      <c r="E275" s="3">
        <v>15.228</v>
      </c>
      <c r="F275" s="8">
        <f t="shared" si="86"/>
        <v>11.885999474651957</v>
      </c>
      <c r="G275" s="11">
        <v>1.62</v>
      </c>
      <c r="H275" s="15">
        <v>1.7275000000000001E-3</v>
      </c>
      <c r="I275" s="11">
        <f t="shared" si="87"/>
        <v>29.815609775274087</v>
      </c>
      <c r="J275" s="16">
        <v>4.5</v>
      </c>
      <c r="K275" s="9">
        <v>27.22</v>
      </c>
      <c r="L275" s="14">
        <f t="shared" si="93"/>
        <v>-7.5135718049511233</v>
      </c>
      <c r="M275" s="6"/>
      <c r="N275" s="2">
        <f t="shared" si="95"/>
        <v>-64.198689092762464</v>
      </c>
    </row>
    <row r="276" spans="1:14" x14ac:dyDescent="0.3">
      <c r="A276">
        <f t="shared" si="89"/>
        <v>1.6666666666666667</v>
      </c>
      <c r="B276">
        <v>30</v>
      </c>
      <c r="C276">
        <v>6</v>
      </c>
      <c r="D276" s="7">
        <v>2.6</v>
      </c>
      <c r="E276" s="3">
        <v>15.228</v>
      </c>
      <c r="F276" s="8">
        <f t="shared" si="86"/>
        <v>1.7073811400052534</v>
      </c>
      <c r="G276" s="11">
        <v>1.62</v>
      </c>
      <c r="H276" s="15">
        <v>1.1517000000000001E-3</v>
      </c>
      <c r="I276" s="11">
        <f t="shared" si="87"/>
        <v>4.2829052715863334</v>
      </c>
      <c r="J276" s="16">
        <v>3</v>
      </c>
      <c r="K276" s="9">
        <v>0</v>
      </c>
      <c r="L276" s="14">
        <f t="shared" si="93"/>
        <v>67.949675222638575</v>
      </c>
      <c r="M276" s="6"/>
      <c r="N276" s="2">
        <f>-(1.7*K276^2)/19.62</f>
        <v>0</v>
      </c>
    </row>
    <row r="277" spans="1:14" x14ac:dyDescent="0.3">
      <c r="A277">
        <f t="shared" si="89"/>
        <v>1.6666666666666667</v>
      </c>
      <c r="B277">
        <v>30</v>
      </c>
      <c r="C277">
        <v>6</v>
      </c>
      <c r="D277" s="7">
        <v>5.2</v>
      </c>
      <c r="E277" s="3">
        <v>15.228</v>
      </c>
      <c r="F277" s="8">
        <f t="shared" si="86"/>
        <v>3.4147622800105069</v>
      </c>
      <c r="G277" s="11">
        <v>1.62</v>
      </c>
      <c r="H277" s="15">
        <v>1.1517000000000001E-3</v>
      </c>
      <c r="I277" s="11">
        <f t="shared" si="87"/>
        <v>8.5658105431726668</v>
      </c>
      <c r="J277" s="16">
        <v>4.5</v>
      </c>
      <c r="K277" s="9">
        <v>0.85</v>
      </c>
      <c r="L277" s="14">
        <f t="shared" si="93"/>
        <v>16.882085473800178</v>
      </c>
      <c r="M277" s="6"/>
      <c r="N277" s="2">
        <f t="shared" ref="N277:N282" si="96">-(1.7*K277^2)/19.62</f>
        <v>-6.2601936799184493E-2</v>
      </c>
    </row>
    <row r="278" spans="1:14" x14ac:dyDescent="0.3">
      <c r="A278">
        <f t="shared" si="89"/>
        <v>1.6666666666666667</v>
      </c>
      <c r="B278">
        <v>30</v>
      </c>
      <c r="C278">
        <v>6</v>
      </c>
      <c r="D278" s="7">
        <v>7.8</v>
      </c>
      <c r="E278" s="3">
        <v>15.228</v>
      </c>
      <c r="F278" s="8">
        <f t="shared" si="86"/>
        <v>5.1221434200157594</v>
      </c>
      <c r="G278" s="11">
        <v>1.62</v>
      </c>
      <c r="H278" s="15">
        <v>1.1517000000000001E-3</v>
      </c>
      <c r="I278" s="11">
        <f t="shared" si="87"/>
        <v>12.848715814758997</v>
      </c>
      <c r="J278" s="16">
        <v>4.5</v>
      </c>
      <c r="K278" s="9">
        <v>8.26</v>
      </c>
      <c r="L278" s="14">
        <f t="shared" si="93"/>
        <v>3.1291162810082866</v>
      </c>
      <c r="M278" s="6"/>
      <c r="N278" s="2">
        <f t="shared" si="96"/>
        <v>-5.9116676860346571</v>
      </c>
    </row>
    <row r="279" spans="1:14" x14ac:dyDescent="0.3">
      <c r="A279">
        <f t="shared" si="89"/>
        <v>1.6666666666666667</v>
      </c>
      <c r="B279">
        <v>30</v>
      </c>
      <c r="C279">
        <v>6</v>
      </c>
      <c r="D279" s="7">
        <v>10.4</v>
      </c>
      <c r="E279" s="3">
        <v>15.228</v>
      </c>
      <c r="F279" s="8">
        <f t="shared" si="86"/>
        <v>6.8295245600210137</v>
      </c>
      <c r="G279" s="11">
        <v>1.62</v>
      </c>
      <c r="H279" s="15">
        <v>1.1517000000000001E-3</v>
      </c>
      <c r="I279" s="11">
        <f t="shared" si="87"/>
        <v>17.131621086345334</v>
      </c>
      <c r="J279" s="16">
        <v>4.5</v>
      </c>
      <c r="K279" s="9">
        <v>11.6</v>
      </c>
      <c r="L279" s="14">
        <f t="shared" si="93"/>
        <v>-0.65752354599337237</v>
      </c>
      <c r="M279" s="6"/>
      <c r="N279" s="2">
        <f t="shared" si="96"/>
        <v>-11.659123343527012</v>
      </c>
    </row>
    <row r="280" spans="1:14" x14ac:dyDescent="0.3">
      <c r="A280">
        <f t="shared" si="89"/>
        <v>1.6666666666666667</v>
      </c>
      <c r="B280">
        <v>30</v>
      </c>
      <c r="C280">
        <v>6</v>
      </c>
      <c r="D280" s="7">
        <v>13</v>
      </c>
      <c r="E280" s="3">
        <v>15.228</v>
      </c>
      <c r="F280" s="8">
        <f t="shared" si="86"/>
        <v>8.5369057000262671</v>
      </c>
      <c r="G280" s="11">
        <v>1.62</v>
      </c>
      <c r="H280" s="15">
        <v>1.1517000000000001E-3</v>
      </c>
      <c r="I280" s="11">
        <f t="shared" si="87"/>
        <v>21.414526357931667</v>
      </c>
      <c r="J280" s="16">
        <v>4.5</v>
      </c>
      <c r="K280" s="9">
        <v>11.44</v>
      </c>
      <c r="L280" s="14">
        <f t="shared" si="93"/>
        <v>-0.33482458205765636</v>
      </c>
      <c r="M280" s="6"/>
      <c r="N280" s="2">
        <f t="shared" si="96"/>
        <v>-11.339710499490314</v>
      </c>
    </row>
    <row r="281" spans="1:14" x14ac:dyDescent="0.3">
      <c r="A281">
        <f t="shared" si="89"/>
        <v>1.6666666666666667</v>
      </c>
      <c r="B281">
        <v>30</v>
      </c>
      <c r="C281">
        <v>6</v>
      </c>
      <c r="D281" s="7">
        <v>15.6</v>
      </c>
      <c r="E281" s="3">
        <v>15.228</v>
      </c>
      <c r="F281" s="8">
        <f t="shared" si="86"/>
        <v>10.244286840031519</v>
      </c>
      <c r="G281" s="11">
        <v>1.62</v>
      </c>
      <c r="H281" s="15">
        <v>1.1517000000000001E-3</v>
      </c>
      <c r="I281" s="11">
        <f t="shared" si="87"/>
        <v>25.697431629517993</v>
      </c>
      <c r="J281" s="16">
        <v>4.5</v>
      </c>
      <c r="K281" s="9">
        <v>15.35</v>
      </c>
      <c r="L281" s="14">
        <f t="shared" si="93"/>
        <v>-1.9293337791569829</v>
      </c>
      <c r="M281" s="6"/>
      <c r="N281" s="2">
        <f t="shared" si="96"/>
        <v>-20.415812945973496</v>
      </c>
    </row>
    <row r="282" spans="1:14" x14ac:dyDescent="0.3">
      <c r="A282">
        <f t="shared" si="89"/>
        <v>1.6666666666666667</v>
      </c>
      <c r="B282">
        <v>30</v>
      </c>
      <c r="C282">
        <v>6</v>
      </c>
      <c r="D282" s="7">
        <v>18.100000000000001</v>
      </c>
      <c r="E282" s="3">
        <v>15.228</v>
      </c>
      <c r="F282" s="8">
        <f t="shared" si="86"/>
        <v>11.885999474651957</v>
      </c>
      <c r="G282" s="11">
        <v>1.62</v>
      </c>
      <c r="H282" s="15">
        <v>1.1517000000000001E-3</v>
      </c>
      <c r="I282" s="11">
        <f t="shared" si="87"/>
        <v>29.815609775274087</v>
      </c>
      <c r="J282" s="16">
        <v>4.5</v>
      </c>
      <c r="K282" s="9">
        <v>19.510000000000002</v>
      </c>
      <c r="L282" s="14">
        <f t="shared" si="93"/>
        <v>-3.1781868414799801</v>
      </c>
      <c r="M282" s="6"/>
      <c r="N282" s="2">
        <f t="shared" si="96"/>
        <v>-32.981048419979615</v>
      </c>
    </row>
    <row r="283" spans="1:14" x14ac:dyDescent="0.3">
      <c r="A283">
        <f t="shared" si="89"/>
        <v>1.6666666666666667</v>
      </c>
      <c r="B283">
        <v>40</v>
      </c>
      <c r="C283">
        <v>1</v>
      </c>
      <c r="D283" s="1">
        <v>3.2</v>
      </c>
      <c r="E283" s="3">
        <v>20.303999999999998</v>
      </c>
      <c r="F283" s="8">
        <f t="shared" si="86"/>
        <v>1.5760441292356187</v>
      </c>
      <c r="G283" s="11">
        <v>2.16</v>
      </c>
      <c r="H283" s="15">
        <v>8.7799999999999996E-3</v>
      </c>
      <c r="I283" s="11">
        <f t="shared" si="87"/>
        <v>3.423789015873282</v>
      </c>
      <c r="J283" s="16">
        <v>3</v>
      </c>
      <c r="K283" s="9">
        <v>0</v>
      </c>
      <c r="L283" s="14">
        <f t="shared" si="93"/>
        <v>79.746493837680006</v>
      </c>
      <c r="M283" s="6"/>
      <c r="N283" s="2">
        <f>-(1.7*K283^2)/19.62</f>
        <v>0</v>
      </c>
    </row>
    <row r="284" spans="1:14" x14ac:dyDescent="0.3">
      <c r="A284">
        <f t="shared" si="89"/>
        <v>1.6666666666666667</v>
      </c>
      <c r="B284">
        <v>40</v>
      </c>
      <c r="C284">
        <v>1</v>
      </c>
      <c r="D284" s="1">
        <v>6.4</v>
      </c>
      <c r="E284" s="3">
        <v>20.303999999999998</v>
      </c>
      <c r="F284" s="8">
        <f t="shared" si="86"/>
        <v>3.1520882584712373</v>
      </c>
      <c r="G284" s="11">
        <v>2.16</v>
      </c>
      <c r="H284" s="15">
        <v>8.7799999999999996E-3</v>
      </c>
      <c r="I284" s="11">
        <f t="shared" si="87"/>
        <v>6.847578031746564</v>
      </c>
      <c r="J284" s="16">
        <v>4.5</v>
      </c>
      <c r="K284" s="9">
        <v>0</v>
      </c>
      <c r="L284" s="14">
        <f t="shared" si="93"/>
        <v>19.936623459420002</v>
      </c>
      <c r="M284" s="6"/>
      <c r="N284" s="2">
        <f t="shared" ref="N284:N289" si="97">-(1.7*K284^2)/19.62</f>
        <v>0</v>
      </c>
    </row>
    <row r="285" spans="1:14" x14ac:dyDescent="0.3">
      <c r="A285">
        <f t="shared" si="89"/>
        <v>1.6666666666666667</v>
      </c>
      <c r="B285">
        <v>40</v>
      </c>
      <c r="C285">
        <v>1</v>
      </c>
      <c r="D285" s="1">
        <v>9.6</v>
      </c>
      <c r="E285" s="3">
        <v>20.303999999999998</v>
      </c>
      <c r="F285" s="8">
        <f t="shared" si="86"/>
        <v>4.7281323877068555</v>
      </c>
      <c r="G285" s="11">
        <v>2.16</v>
      </c>
      <c r="H285" s="15">
        <v>8.7799999999999996E-3</v>
      </c>
      <c r="I285" s="11">
        <f t="shared" si="87"/>
        <v>10.271367047619844</v>
      </c>
      <c r="J285" s="16">
        <v>4.5</v>
      </c>
      <c r="K285" s="9">
        <v>1.1200000000000001</v>
      </c>
      <c r="L285" s="14">
        <f t="shared" si="93"/>
        <v>8.7653309090400011</v>
      </c>
      <c r="M285" s="6"/>
      <c r="N285" s="2">
        <f t="shared" si="97"/>
        <v>-0.10868909276248725</v>
      </c>
    </row>
    <row r="286" spans="1:14" x14ac:dyDescent="0.3">
      <c r="A286">
        <f t="shared" si="89"/>
        <v>1.6666666666666667</v>
      </c>
      <c r="B286">
        <v>40</v>
      </c>
      <c r="C286">
        <v>1</v>
      </c>
      <c r="D286" s="1">
        <v>12.8</v>
      </c>
      <c r="E286" s="3">
        <v>20.303999999999998</v>
      </c>
      <c r="F286" s="8">
        <f t="shared" si="86"/>
        <v>6.3041765169424746</v>
      </c>
      <c r="G286" s="11">
        <v>2.16</v>
      </c>
      <c r="H286" s="15">
        <v>8.7799999999999996E-3</v>
      </c>
      <c r="I286" s="11">
        <f t="shared" si="87"/>
        <v>13.695156063493128</v>
      </c>
      <c r="J286" s="16">
        <v>4.5</v>
      </c>
      <c r="K286" s="9">
        <v>3.48</v>
      </c>
      <c r="L286" s="14">
        <f t="shared" si="93"/>
        <v>4.4661309124724999</v>
      </c>
      <c r="M286" s="6"/>
      <c r="N286" s="2">
        <f t="shared" si="97"/>
        <v>-1.049321100917431</v>
      </c>
    </row>
    <row r="287" spans="1:14" x14ac:dyDescent="0.3">
      <c r="A287">
        <f t="shared" si="89"/>
        <v>1.6666666666666667</v>
      </c>
      <c r="B287">
        <v>40</v>
      </c>
      <c r="C287">
        <v>1</v>
      </c>
      <c r="D287" s="1">
        <v>16</v>
      </c>
      <c r="E287" s="3">
        <v>20.303999999999998</v>
      </c>
      <c r="F287" s="8">
        <f t="shared" si="86"/>
        <v>7.8802206461780937</v>
      </c>
      <c r="G287" s="11">
        <v>2.16</v>
      </c>
      <c r="H287" s="15">
        <v>8.7799999999999996E-3</v>
      </c>
      <c r="I287" s="11">
        <f t="shared" si="87"/>
        <v>17.118945079366409</v>
      </c>
      <c r="J287" s="16">
        <v>4.5</v>
      </c>
      <c r="K287" s="9">
        <v>6.43</v>
      </c>
      <c r="L287" s="14">
        <f t="shared" si="93"/>
        <v>2.0579961068558998</v>
      </c>
      <c r="M287" s="6"/>
      <c r="N287" s="2">
        <f t="shared" si="97"/>
        <v>-3.5823817533129456</v>
      </c>
    </row>
    <row r="288" spans="1:14" x14ac:dyDescent="0.3">
      <c r="A288">
        <f t="shared" si="89"/>
        <v>1.6666666666666667</v>
      </c>
      <c r="B288">
        <v>40</v>
      </c>
      <c r="C288">
        <v>1</v>
      </c>
      <c r="D288" s="1">
        <v>19.2</v>
      </c>
      <c r="E288" s="3">
        <v>20.303999999999998</v>
      </c>
      <c r="F288" s="8">
        <f t="shared" si="86"/>
        <v>9.456264775413711</v>
      </c>
      <c r="G288" s="11">
        <v>2.16</v>
      </c>
      <c r="H288" s="15">
        <v>8.7799999999999996E-3</v>
      </c>
      <c r="I288" s="11">
        <f t="shared" si="87"/>
        <v>20.542734095239688</v>
      </c>
      <c r="J288" s="16">
        <v>4.5</v>
      </c>
      <c r="K288" s="9">
        <v>12.12</v>
      </c>
      <c r="L288" s="14">
        <f t="shared" si="93"/>
        <v>-0.57745935098999968</v>
      </c>
      <c r="M288" s="6"/>
      <c r="N288" s="2">
        <f t="shared" si="97"/>
        <v>-12.727853211009172</v>
      </c>
    </row>
    <row r="289" spans="1:14" x14ac:dyDescent="0.3">
      <c r="A289">
        <f t="shared" si="89"/>
        <v>1.6666666666666667</v>
      </c>
      <c r="B289">
        <v>40</v>
      </c>
      <c r="C289">
        <v>1</v>
      </c>
      <c r="D289" s="1">
        <v>22.3</v>
      </c>
      <c r="E289" s="3">
        <v>20.303999999999998</v>
      </c>
      <c r="F289" s="8">
        <f t="shared" si="86"/>
        <v>10.983057525610718</v>
      </c>
      <c r="G289" s="11">
        <v>2.16</v>
      </c>
      <c r="H289" s="15">
        <v>8.7799999999999996E-3</v>
      </c>
      <c r="I289" s="11">
        <f t="shared" si="87"/>
        <v>23.859529704366935</v>
      </c>
      <c r="J289" s="16">
        <v>4.5</v>
      </c>
      <c r="K289" s="9">
        <v>17.100000000000001</v>
      </c>
      <c r="L289" s="14">
        <f t="shared" si="93"/>
        <v>-2.4788157724178577</v>
      </c>
      <c r="M289" s="6"/>
      <c r="N289" s="2">
        <f t="shared" si="97"/>
        <v>-25.336238532110091</v>
      </c>
    </row>
    <row r="290" spans="1:14" x14ac:dyDescent="0.3">
      <c r="A290">
        <f t="shared" si="89"/>
        <v>1.6666666666666667</v>
      </c>
      <c r="B290">
        <v>40</v>
      </c>
      <c r="C290">
        <v>2</v>
      </c>
      <c r="D290" s="1">
        <v>3.2</v>
      </c>
      <c r="E290" s="3">
        <v>20.303999999999998</v>
      </c>
      <c r="F290" s="8">
        <f t="shared" si="86"/>
        <v>1.5760441292356187</v>
      </c>
      <c r="G290" s="11">
        <v>2.16</v>
      </c>
      <c r="H290" s="15">
        <v>4.3899999999999998E-3</v>
      </c>
      <c r="I290" s="11">
        <f t="shared" si="87"/>
        <v>3.423789015873282</v>
      </c>
      <c r="J290" s="16">
        <v>4.5</v>
      </c>
      <c r="K290" s="9">
        <v>0</v>
      </c>
      <c r="L290" s="14">
        <f t="shared" si="93"/>
        <v>79.746493837680006</v>
      </c>
      <c r="M290" s="6"/>
      <c r="N290" s="2">
        <f>-(1.7*K290^2)/19.62</f>
        <v>0</v>
      </c>
    </row>
    <row r="291" spans="1:14" x14ac:dyDescent="0.3">
      <c r="A291">
        <f t="shared" si="89"/>
        <v>1.6666666666666667</v>
      </c>
      <c r="B291">
        <v>40</v>
      </c>
      <c r="C291">
        <v>2</v>
      </c>
      <c r="D291" s="1">
        <v>6.4</v>
      </c>
      <c r="E291" s="3">
        <v>20.303999999999998</v>
      </c>
      <c r="F291" s="8">
        <f t="shared" si="86"/>
        <v>3.1520882584712373</v>
      </c>
      <c r="G291" s="11">
        <v>2.16</v>
      </c>
      <c r="H291" s="15">
        <v>4.3899999999999998E-3</v>
      </c>
      <c r="I291" s="11">
        <f t="shared" si="87"/>
        <v>6.847578031746564</v>
      </c>
      <c r="J291" s="16">
        <v>4.5</v>
      </c>
      <c r="K291" s="9">
        <v>0.4</v>
      </c>
      <c r="L291" s="14">
        <f t="shared" si="93"/>
        <v>19.909247322420001</v>
      </c>
      <c r="M291" s="6"/>
      <c r="N291" s="2">
        <f t="shared" ref="N291:N296" si="98">-(1.7*K291^2)/19.62</f>
        <v>-1.3863404689092763E-2</v>
      </c>
    </row>
    <row r="292" spans="1:14" x14ac:dyDescent="0.3">
      <c r="A292">
        <f t="shared" si="89"/>
        <v>1.6666666666666667</v>
      </c>
      <c r="B292">
        <v>40</v>
      </c>
      <c r="C292">
        <v>2</v>
      </c>
      <c r="D292" s="1">
        <v>9.6</v>
      </c>
      <c r="E292" s="3">
        <v>20.303999999999998</v>
      </c>
      <c r="F292" s="8">
        <f t="shared" si="86"/>
        <v>4.7281323877068555</v>
      </c>
      <c r="G292" s="11">
        <v>2.16</v>
      </c>
      <c r="H292" s="15">
        <v>4.3899999999999998E-3</v>
      </c>
      <c r="I292" s="11">
        <f t="shared" si="87"/>
        <v>10.271367047619844</v>
      </c>
      <c r="J292" s="16">
        <v>4.5</v>
      </c>
      <c r="K292" s="9">
        <v>2.88</v>
      </c>
      <c r="L292" s="14">
        <f t="shared" si="93"/>
        <v>8.2299753410400012</v>
      </c>
      <c r="M292" s="6"/>
      <c r="N292" s="2">
        <f t="shared" si="98"/>
        <v>-0.71867889908256877</v>
      </c>
    </row>
    <row r="293" spans="1:14" x14ac:dyDescent="0.3">
      <c r="A293">
        <f t="shared" si="89"/>
        <v>1.6666666666666667</v>
      </c>
      <c r="B293">
        <v>40</v>
      </c>
      <c r="C293">
        <v>2</v>
      </c>
      <c r="D293" s="1">
        <v>12.8</v>
      </c>
      <c r="E293" s="3">
        <v>20.303999999999998</v>
      </c>
      <c r="F293" s="8">
        <f t="shared" ref="F293:F356" si="99">(D293*10^-3)/(E293*10^-4)</f>
        <v>6.3041765169424746</v>
      </c>
      <c r="G293" s="11">
        <v>2.16</v>
      </c>
      <c r="H293" s="15">
        <v>4.3899999999999998E-3</v>
      </c>
      <c r="I293" s="11">
        <f t="shared" ref="I293:I338" si="100">(F293)/((9.81*G293*10^-2))^(1/2)</f>
        <v>13.695156063493128</v>
      </c>
      <c r="J293" s="16">
        <v>4.5</v>
      </c>
      <c r="K293" s="9">
        <v>7.82</v>
      </c>
      <c r="L293" s="14">
        <f t="shared" si="93"/>
        <v>2.3683488644193749</v>
      </c>
      <c r="M293" s="6"/>
      <c r="N293" s="2">
        <f t="shared" si="98"/>
        <v>-5.2986279306829767</v>
      </c>
    </row>
    <row r="294" spans="1:14" x14ac:dyDescent="0.3">
      <c r="A294">
        <f t="shared" si="89"/>
        <v>1.6666666666666667</v>
      </c>
      <c r="B294">
        <v>40</v>
      </c>
      <c r="C294">
        <v>2</v>
      </c>
      <c r="D294" s="1">
        <v>16</v>
      </c>
      <c r="E294" s="3">
        <v>20.303999999999998</v>
      </c>
      <c r="F294" s="8">
        <f t="shared" si="99"/>
        <v>7.8802206461780937</v>
      </c>
      <c r="G294" s="11">
        <v>2.16</v>
      </c>
      <c r="H294" s="15">
        <v>4.3899999999999998E-3</v>
      </c>
      <c r="I294" s="11">
        <f t="shared" si="100"/>
        <v>17.118945079366409</v>
      </c>
      <c r="J294" s="16">
        <v>4.5</v>
      </c>
      <c r="K294" s="9">
        <v>13.12</v>
      </c>
      <c r="L294" s="14">
        <f t="shared" si="93"/>
        <v>-1.5225151633055989</v>
      </c>
      <c r="M294" s="6"/>
      <c r="N294" s="2">
        <f t="shared" si="98"/>
        <v>-14.914805300713555</v>
      </c>
    </row>
    <row r="295" spans="1:14" x14ac:dyDescent="0.3">
      <c r="A295">
        <f t="shared" si="89"/>
        <v>1.6666666666666667</v>
      </c>
      <c r="B295">
        <v>40</v>
      </c>
      <c r="C295">
        <v>2</v>
      </c>
      <c r="D295" s="1">
        <v>19.2</v>
      </c>
      <c r="E295" s="3">
        <v>20.303999999999998</v>
      </c>
      <c r="F295" s="8">
        <f t="shared" si="99"/>
        <v>9.456264775413711</v>
      </c>
      <c r="G295" s="11">
        <v>2.16</v>
      </c>
      <c r="H295" s="15">
        <v>4.3899999999999998E-3</v>
      </c>
      <c r="I295" s="11">
        <f t="shared" si="100"/>
        <v>20.542734095239688</v>
      </c>
      <c r="J295" s="16">
        <v>4.5</v>
      </c>
      <c r="K295" s="9">
        <v>16.89</v>
      </c>
      <c r="L295" s="14">
        <f t="shared" si="93"/>
        <v>-3.2081863460906255</v>
      </c>
      <c r="M295" s="6"/>
      <c r="N295" s="2">
        <f t="shared" si="98"/>
        <v>-24.717766055045871</v>
      </c>
    </row>
    <row r="296" spans="1:14" x14ac:dyDescent="0.3">
      <c r="A296">
        <f t="shared" si="89"/>
        <v>1.6666666666666667</v>
      </c>
      <c r="B296">
        <v>40</v>
      </c>
      <c r="C296">
        <v>2</v>
      </c>
      <c r="D296" s="1">
        <v>22.3</v>
      </c>
      <c r="E296" s="3">
        <v>20.303999999999998</v>
      </c>
      <c r="F296" s="8">
        <f t="shared" si="99"/>
        <v>10.983057525610718</v>
      </c>
      <c r="G296" s="11">
        <v>2.16</v>
      </c>
      <c r="H296" s="15">
        <v>4.3899999999999998E-3</v>
      </c>
      <c r="I296" s="11">
        <f t="shared" si="100"/>
        <v>23.859529704366935</v>
      </c>
      <c r="J296" s="16">
        <v>4.5</v>
      </c>
      <c r="K296" s="9">
        <v>23.85</v>
      </c>
      <c r="L296" s="14">
        <f t="shared" si="93"/>
        <v>-6.3742877423734177</v>
      </c>
      <c r="M296" s="6"/>
      <c r="N296" s="2">
        <f t="shared" si="98"/>
        <v>-49.286353211009178</v>
      </c>
    </row>
    <row r="297" spans="1:14" x14ac:dyDescent="0.3">
      <c r="A297">
        <f t="shared" si="89"/>
        <v>1.6666666666666667</v>
      </c>
      <c r="B297">
        <v>40</v>
      </c>
      <c r="C297">
        <v>4</v>
      </c>
      <c r="D297" s="1">
        <v>3.2</v>
      </c>
      <c r="E297" s="3">
        <v>20.303999999999998</v>
      </c>
      <c r="F297" s="8">
        <f t="shared" si="99"/>
        <v>1.5760441292356187</v>
      </c>
      <c r="G297" s="11">
        <v>2.16</v>
      </c>
      <c r="H297" s="15">
        <v>2.1949999999999999E-3</v>
      </c>
      <c r="I297" s="11">
        <f t="shared" si="100"/>
        <v>3.423789015873282</v>
      </c>
      <c r="J297" s="16">
        <v>4.5</v>
      </c>
      <c r="K297" s="9">
        <v>0</v>
      </c>
      <c r="L297" s="14">
        <f t="shared" si="93"/>
        <v>79.746493837680006</v>
      </c>
      <c r="M297" s="6"/>
      <c r="N297" s="2">
        <f>-(1.7*K297^2)/19.62</f>
        <v>0</v>
      </c>
    </row>
    <row r="298" spans="1:14" x14ac:dyDescent="0.3">
      <c r="A298">
        <f t="shared" si="89"/>
        <v>1.6666666666666667</v>
      </c>
      <c r="B298">
        <v>40</v>
      </c>
      <c r="C298">
        <v>4</v>
      </c>
      <c r="D298" s="1">
        <v>6.4</v>
      </c>
      <c r="E298" s="3">
        <v>20.303999999999998</v>
      </c>
      <c r="F298" s="8">
        <f t="shared" si="99"/>
        <v>3.1520882584712373</v>
      </c>
      <c r="G298" s="11">
        <v>2.16</v>
      </c>
      <c r="H298" s="15">
        <v>2.1949999999999999E-3</v>
      </c>
      <c r="I298" s="11">
        <f t="shared" si="100"/>
        <v>6.847578031746564</v>
      </c>
      <c r="J298" s="16">
        <v>4.5</v>
      </c>
      <c r="K298" s="9">
        <v>0.4</v>
      </c>
      <c r="L298" s="14">
        <f t="shared" si="93"/>
        <v>19.909247322420001</v>
      </c>
      <c r="M298" s="6"/>
      <c r="N298" s="2">
        <f t="shared" ref="N298:N303" si="101">-(1.7*K298^2)/19.62</f>
        <v>-1.3863404689092763E-2</v>
      </c>
    </row>
    <row r="299" spans="1:14" x14ac:dyDescent="0.3">
      <c r="A299">
        <f t="shared" si="89"/>
        <v>1.6666666666666667</v>
      </c>
      <c r="B299">
        <v>40</v>
      </c>
      <c r="C299">
        <v>4</v>
      </c>
      <c r="D299" s="1">
        <v>9.6</v>
      </c>
      <c r="E299" s="3">
        <v>20.303999999999998</v>
      </c>
      <c r="F299" s="8">
        <f t="shared" si="99"/>
        <v>4.7281323877068555</v>
      </c>
      <c r="G299" s="11">
        <v>2.16</v>
      </c>
      <c r="H299" s="15">
        <v>2.1949999999999999E-3</v>
      </c>
      <c r="I299" s="11">
        <f t="shared" si="100"/>
        <v>10.271367047619844</v>
      </c>
      <c r="J299" s="16">
        <v>4.5</v>
      </c>
      <c r="K299" s="9">
        <v>3.45</v>
      </c>
      <c r="L299" s="14">
        <f t="shared" si="93"/>
        <v>7.9555980079575006</v>
      </c>
      <c r="M299" s="6"/>
      <c r="N299" s="2">
        <f t="shared" si="101"/>
        <v>-1.0313073394495413</v>
      </c>
    </row>
    <row r="300" spans="1:14" x14ac:dyDescent="0.3">
      <c r="A300">
        <f t="shared" ref="A300:A338" si="102">100/60</f>
        <v>1.6666666666666667</v>
      </c>
      <c r="B300">
        <v>40</v>
      </c>
      <c r="C300">
        <v>4</v>
      </c>
      <c r="D300" s="1">
        <v>12.8</v>
      </c>
      <c r="E300" s="3">
        <v>20.303999999999998</v>
      </c>
      <c r="F300" s="8">
        <f t="shared" si="99"/>
        <v>6.3041765169424746</v>
      </c>
      <c r="G300" s="11">
        <v>2.16</v>
      </c>
      <c r="H300" s="15">
        <v>2.1949999999999999E-3</v>
      </c>
      <c r="I300" s="11">
        <f t="shared" si="100"/>
        <v>13.695156063493128</v>
      </c>
      <c r="J300" s="16">
        <v>4.5</v>
      </c>
      <c r="K300" s="9">
        <v>8.7200000000000006</v>
      </c>
      <c r="L300" s="14">
        <f t="shared" si="93"/>
        <v>1.7315970278849999</v>
      </c>
      <c r="M300" s="6"/>
      <c r="N300" s="2">
        <f t="shared" si="101"/>
        <v>-6.5884444444444448</v>
      </c>
    </row>
    <row r="301" spans="1:14" x14ac:dyDescent="0.3">
      <c r="A301">
        <f t="shared" si="102"/>
        <v>1.6666666666666667</v>
      </c>
      <c r="B301">
        <v>40</v>
      </c>
      <c r="C301">
        <v>4</v>
      </c>
      <c r="D301" s="1">
        <v>16</v>
      </c>
      <c r="E301" s="3">
        <v>20.303999999999998</v>
      </c>
      <c r="F301" s="8">
        <f t="shared" si="99"/>
        <v>7.8802206461780937</v>
      </c>
      <c r="G301" s="11">
        <v>2.16</v>
      </c>
      <c r="H301" s="15">
        <v>2.1949999999999999E-3</v>
      </c>
      <c r="I301" s="11">
        <f t="shared" si="100"/>
        <v>17.118945079366409</v>
      </c>
      <c r="J301" s="16">
        <v>4.5</v>
      </c>
      <c r="K301" s="9">
        <v>14.12</v>
      </c>
      <c r="L301" s="14">
        <f t="shared" si="93"/>
        <v>-2.2682411351855989</v>
      </c>
      <c r="M301" s="6"/>
      <c r="N301" s="2">
        <f t="shared" si="101"/>
        <v>-17.275049949031597</v>
      </c>
    </row>
    <row r="302" spans="1:14" x14ac:dyDescent="0.3">
      <c r="A302">
        <f t="shared" si="102"/>
        <v>1.6666666666666667</v>
      </c>
      <c r="B302">
        <v>40</v>
      </c>
      <c r="C302">
        <v>4</v>
      </c>
      <c r="D302" s="1">
        <v>19.2</v>
      </c>
      <c r="E302" s="3">
        <v>20.303999999999998</v>
      </c>
      <c r="F302" s="8">
        <f t="shared" si="99"/>
        <v>9.456264775413711</v>
      </c>
      <c r="G302" s="11">
        <v>2.16</v>
      </c>
      <c r="H302" s="15">
        <v>2.1949999999999999E-3</v>
      </c>
      <c r="I302" s="11">
        <f t="shared" si="100"/>
        <v>20.542734095239688</v>
      </c>
      <c r="J302" s="16">
        <v>4.5</v>
      </c>
      <c r="K302" s="9">
        <v>15.97</v>
      </c>
      <c r="L302" s="14">
        <f t="shared" si="93"/>
        <v>-2.6334547677056261</v>
      </c>
      <c r="M302" s="6"/>
      <c r="N302" s="2">
        <f t="shared" si="101"/>
        <v>-22.098345056065241</v>
      </c>
    </row>
    <row r="303" spans="1:14" x14ac:dyDescent="0.3">
      <c r="A303">
        <f t="shared" si="102"/>
        <v>1.6666666666666667</v>
      </c>
      <c r="B303">
        <v>40</v>
      </c>
      <c r="C303">
        <v>4</v>
      </c>
      <c r="D303" s="1">
        <v>22.3</v>
      </c>
      <c r="E303" s="3">
        <v>20.303999999999998</v>
      </c>
      <c r="F303" s="8">
        <f t="shared" si="99"/>
        <v>10.983057525610718</v>
      </c>
      <c r="G303" s="11">
        <v>2.16</v>
      </c>
      <c r="H303" s="15">
        <v>2.1949999999999999E-3</v>
      </c>
      <c r="I303" s="11">
        <f t="shared" si="100"/>
        <v>23.859529704366935</v>
      </c>
      <c r="J303" s="16">
        <v>4.5</v>
      </c>
      <c r="K303" s="9">
        <v>18.45</v>
      </c>
      <c r="L303" s="14">
        <f t="shared" si="93"/>
        <v>-3.1551724441244269</v>
      </c>
      <c r="M303" s="6"/>
      <c r="N303" s="2">
        <f t="shared" si="101"/>
        <v>-29.494610091743112</v>
      </c>
    </row>
    <row r="304" spans="1:14" x14ac:dyDescent="0.3">
      <c r="A304">
        <f t="shared" si="102"/>
        <v>1.6666666666666667</v>
      </c>
      <c r="B304">
        <v>40</v>
      </c>
      <c r="C304">
        <v>6</v>
      </c>
      <c r="D304" s="1">
        <v>3.2</v>
      </c>
      <c r="E304" s="3">
        <v>20.303999999999998</v>
      </c>
      <c r="F304" s="8">
        <f t="shared" si="99"/>
        <v>1.5760441292356187</v>
      </c>
      <c r="G304" s="11">
        <v>2.16</v>
      </c>
      <c r="H304" s="15">
        <v>1.4633000000000001E-3</v>
      </c>
      <c r="I304" s="11">
        <f t="shared" si="100"/>
        <v>3.423789015873282</v>
      </c>
      <c r="J304" s="16">
        <v>4.5</v>
      </c>
      <c r="K304" s="9">
        <v>0</v>
      </c>
      <c r="L304" s="14">
        <f t="shared" si="93"/>
        <v>79.746493837680006</v>
      </c>
      <c r="M304" s="6"/>
      <c r="N304" s="2">
        <f>-(1.7*K304^2)/19.62</f>
        <v>0</v>
      </c>
    </row>
    <row r="305" spans="1:14" x14ac:dyDescent="0.3">
      <c r="A305">
        <f t="shared" si="102"/>
        <v>1.6666666666666667</v>
      </c>
      <c r="B305">
        <v>40</v>
      </c>
      <c r="C305">
        <v>6</v>
      </c>
      <c r="D305" s="1">
        <v>6.4</v>
      </c>
      <c r="E305" s="3">
        <v>20.303999999999998</v>
      </c>
      <c r="F305" s="8">
        <f t="shared" si="99"/>
        <v>3.1520882584712373</v>
      </c>
      <c r="G305" s="11">
        <v>2.16</v>
      </c>
      <c r="H305" s="15">
        <v>1.4633000000000001E-3</v>
      </c>
      <c r="I305" s="11">
        <f t="shared" si="100"/>
        <v>6.847578031746564</v>
      </c>
      <c r="J305" s="16">
        <v>4.5</v>
      </c>
      <c r="K305" s="9">
        <v>0</v>
      </c>
      <c r="L305" s="14">
        <f t="shared" si="93"/>
        <v>19.936623459420002</v>
      </c>
      <c r="M305" s="6"/>
      <c r="N305" s="2">
        <f t="shared" ref="N305:N310" si="103">-(1.7*K305^2)/19.62</f>
        <v>0</v>
      </c>
    </row>
    <row r="306" spans="1:14" x14ac:dyDescent="0.3">
      <c r="A306">
        <f t="shared" si="102"/>
        <v>1.6666666666666667</v>
      </c>
      <c r="B306">
        <v>40</v>
      </c>
      <c r="C306">
        <v>6</v>
      </c>
      <c r="D306" s="1">
        <v>9.6</v>
      </c>
      <c r="E306" s="3">
        <v>20.303999999999998</v>
      </c>
      <c r="F306" s="8">
        <f t="shared" si="99"/>
        <v>4.7281323877068555</v>
      </c>
      <c r="G306" s="11">
        <v>2.16</v>
      </c>
      <c r="H306" s="15">
        <v>1.4633000000000001E-3</v>
      </c>
      <c r="I306" s="11">
        <f t="shared" si="100"/>
        <v>10.271367047619844</v>
      </c>
      <c r="J306" s="16">
        <v>4.5</v>
      </c>
      <c r="K306" s="9">
        <v>1.98</v>
      </c>
      <c r="L306" s="14">
        <f t="shared" si="93"/>
        <v>8.5625954055900024</v>
      </c>
      <c r="M306" s="6"/>
      <c r="N306" s="2">
        <f t="shared" si="103"/>
        <v>-0.33968807339449536</v>
      </c>
    </row>
    <row r="307" spans="1:14" x14ac:dyDescent="0.3">
      <c r="A307">
        <f t="shared" si="102"/>
        <v>1.6666666666666667</v>
      </c>
      <c r="B307">
        <v>40</v>
      </c>
      <c r="C307">
        <v>6</v>
      </c>
      <c r="D307" s="1">
        <v>12.8</v>
      </c>
      <c r="E307" s="3">
        <v>20.303999999999998</v>
      </c>
      <c r="F307" s="8">
        <f t="shared" si="99"/>
        <v>6.3041765169424746</v>
      </c>
      <c r="G307" s="11">
        <v>2.16</v>
      </c>
      <c r="H307" s="15">
        <v>1.4633000000000001E-3</v>
      </c>
      <c r="I307" s="11">
        <f t="shared" si="100"/>
        <v>13.695156063493128</v>
      </c>
      <c r="J307" s="16">
        <v>4.5</v>
      </c>
      <c r="K307" s="9">
        <v>5.45</v>
      </c>
      <c r="L307" s="14">
        <f t="shared" si="93"/>
        <v>3.7136250691635939</v>
      </c>
      <c r="M307" s="6"/>
      <c r="N307" s="2">
        <f t="shared" si="103"/>
        <v>-2.5736111111111111</v>
      </c>
    </row>
    <row r="308" spans="1:14" x14ac:dyDescent="0.3">
      <c r="A308">
        <f t="shared" si="102"/>
        <v>1.6666666666666667</v>
      </c>
      <c r="B308">
        <v>40</v>
      </c>
      <c r="C308">
        <v>6</v>
      </c>
      <c r="D308" s="1">
        <v>16</v>
      </c>
      <c r="E308" s="3">
        <v>20.303999999999998</v>
      </c>
      <c r="F308" s="8">
        <f t="shared" si="99"/>
        <v>7.8802206461780937</v>
      </c>
      <c r="G308" s="11">
        <v>2.16</v>
      </c>
      <c r="H308" s="15">
        <v>1.4633000000000001E-3</v>
      </c>
      <c r="I308" s="11">
        <f t="shared" si="100"/>
        <v>17.118945079366409</v>
      </c>
      <c r="J308" s="16">
        <v>4.5</v>
      </c>
      <c r="K308" s="9">
        <v>6.85</v>
      </c>
      <c r="L308" s="14">
        <f t="shared" si="93"/>
        <v>1.9053029651247002</v>
      </c>
      <c r="M308" s="6"/>
      <c r="N308" s="2">
        <f t="shared" si="103"/>
        <v>-4.0656600407747181</v>
      </c>
    </row>
    <row r="309" spans="1:14" x14ac:dyDescent="0.3">
      <c r="A309">
        <f t="shared" si="102"/>
        <v>1.6666666666666667</v>
      </c>
      <c r="B309">
        <v>40</v>
      </c>
      <c r="C309">
        <v>6</v>
      </c>
      <c r="D309" s="1">
        <v>19.2</v>
      </c>
      <c r="E309" s="3">
        <v>20.303999999999998</v>
      </c>
      <c r="F309" s="8">
        <f t="shared" si="99"/>
        <v>9.456264775413711</v>
      </c>
      <c r="G309" s="11">
        <v>2.16</v>
      </c>
      <c r="H309" s="15">
        <v>1.4633000000000001E-3</v>
      </c>
      <c r="I309" s="11">
        <f t="shared" si="100"/>
        <v>20.542734095239688</v>
      </c>
      <c r="J309" s="16">
        <v>4.5</v>
      </c>
      <c r="K309" s="9">
        <v>9.27</v>
      </c>
      <c r="L309" s="14">
        <f t="shared" si="93"/>
        <v>0.58149229881937525</v>
      </c>
      <c r="M309" s="6"/>
      <c r="N309" s="2">
        <f t="shared" si="103"/>
        <v>-7.4457660550458709</v>
      </c>
    </row>
    <row r="310" spans="1:14" x14ac:dyDescent="0.3">
      <c r="A310">
        <f t="shared" si="102"/>
        <v>1.6666666666666667</v>
      </c>
      <c r="B310">
        <v>40</v>
      </c>
      <c r="C310">
        <v>6</v>
      </c>
      <c r="D310" s="1">
        <v>22.3</v>
      </c>
      <c r="E310" s="3">
        <v>20.303999999999998</v>
      </c>
      <c r="F310" s="8">
        <f t="shared" si="99"/>
        <v>10.983057525610718</v>
      </c>
      <c r="G310" s="11">
        <v>2.16</v>
      </c>
      <c r="H310" s="15">
        <v>1.4633000000000001E-3</v>
      </c>
      <c r="I310" s="11">
        <f t="shared" si="100"/>
        <v>23.859529704366935</v>
      </c>
      <c r="J310" s="16">
        <v>4.5</v>
      </c>
      <c r="K310" s="9">
        <v>11.65</v>
      </c>
      <c r="L310" s="14">
        <f t="shared" si="93"/>
        <v>-0.27062415918614224</v>
      </c>
      <c r="M310" s="6"/>
      <c r="N310" s="2">
        <f t="shared" si="103"/>
        <v>-11.759849643221202</v>
      </c>
    </row>
    <row r="311" spans="1:14" x14ac:dyDescent="0.3">
      <c r="A311">
        <f t="shared" si="102"/>
        <v>1.6666666666666667</v>
      </c>
      <c r="B311">
        <v>60</v>
      </c>
      <c r="C311">
        <v>1</v>
      </c>
      <c r="D311" s="7">
        <v>4.2</v>
      </c>
      <c r="E311" s="3">
        <v>30.456</v>
      </c>
      <c r="F311" s="8">
        <f t="shared" si="99"/>
        <v>1.3790386130811663</v>
      </c>
      <c r="G311" s="11">
        <v>3.24</v>
      </c>
      <c r="H311" s="15">
        <v>1.205E-2</v>
      </c>
      <c r="I311" s="11">
        <f t="shared" si="100"/>
        <v>2.4460730221186333</v>
      </c>
      <c r="J311" s="16">
        <v>3</v>
      </c>
      <c r="K311" s="9">
        <v>0</v>
      </c>
      <c r="L311" s="14">
        <f t="shared" si="93"/>
        <v>104.15868582880654</v>
      </c>
      <c r="M311" s="6"/>
      <c r="N311" s="2">
        <f>-(1.7*K311^2)/19.62</f>
        <v>0</v>
      </c>
    </row>
    <row r="312" spans="1:14" x14ac:dyDescent="0.3">
      <c r="A312">
        <f t="shared" si="102"/>
        <v>1.6666666666666667</v>
      </c>
      <c r="B312">
        <v>60</v>
      </c>
      <c r="C312">
        <v>1</v>
      </c>
      <c r="D312" s="7">
        <v>8.4</v>
      </c>
      <c r="E312" s="3">
        <v>30.456</v>
      </c>
      <c r="F312" s="8">
        <f t="shared" si="99"/>
        <v>2.7580772261623325</v>
      </c>
      <c r="G312" s="11">
        <v>3.24</v>
      </c>
      <c r="H312" s="15">
        <v>1.205E-2</v>
      </c>
      <c r="I312" s="11">
        <f t="shared" si="100"/>
        <v>4.8921460442372666</v>
      </c>
      <c r="J312" s="16">
        <v>4.5</v>
      </c>
      <c r="K312" s="9">
        <v>0</v>
      </c>
      <c r="L312" s="14">
        <f t="shared" si="93"/>
        <v>26.039671457201635</v>
      </c>
      <c r="M312" s="6"/>
      <c r="N312" s="2">
        <f t="shared" ref="N312:N317" si="104">-(1.7*K312^2)/19.62</f>
        <v>0</v>
      </c>
    </row>
    <row r="313" spans="1:14" x14ac:dyDescent="0.3">
      <c r="A313">
        <f t="shared" si="102"/>
        <v>1.6666666666666667</v>
      </c>
      <c r="B313">
        <v>60</v>
      </c>
      <c r="C313">
        <v>1</v>
      </c>
      <c r="D313" s="7">
        <v>12.6</v>
      </c>
      <c r="E313" s="3">
        <v>30.456</v>
      </c>
      <c r="F313" s="8">
        <f t="shared" si="99"/>
        <v>4.1371158392434983</v>
      </c>
      <c r="G313" s="11">
        <v>3.24</v>
      </c>
      <c r="H313" s="15">
        <v>1.205E-2</v>
      </c>
      <c r="I313" s="11">
        <f t="shared" si="100"/>
        <v>7.338219066355899</v>
      </c>
      <c r="J313" s="16">
        <v>4.5</v>
      </c>
      <c r="K313" s="9">
        <v>4.67</v>
      </c>
      <c r="L313" s="14">
        <f t="shared" si="93"/>
        <v>9.4070433352849001</v>
      </c>
      <c r="M313" s="6"/>
      <c r="N313" s="2">
        <f t="shared" si="104"/>
        <v>-1.8896600407747193</v>
      </c>
    </row>
    <row r="314" spans="1:14" x14ac:dyDescent="0.3">
      <c r="A314">
        <f t="shared" si="102"/>
        <v>1.6666666666666667</v>
      </c>
      <c r="B314">
        <v>60</v>
      </c>
      <c r="C314">
        <v>1</v>
      </c>
      <c r="D314" s="7">
        <v>16.8</v>
      </c>
      <c r="E314" s="3">
        <v>30.456</v>
      </c>
      <c r="F314" s="8">
        <f t="shared" si="99"/>
        <v>5.5161544523246651</v>
      </c>
      <c r="G314" s="11">
        <v>3.24</v>
      </c>
      <c r="H314" s="15">
        <v>1.205E-2</v>
      </c>
      <c r="I314" s="11">
        <f t="shared" si="100"/>
        <v>9.7842920884745332</v>
      </c>
      <c r="J314" s="16">
        <v>4.5</v>
      </c>
      <c r="K314" s="9">
        <v>7.46</v>
      </c>
      <c r="L314" s="14">
        <f t="shared" si="93"/>
        <v>3.4006814849755109</v>
      </c>
      <c r="M314" s="6"/>
      <c r="N314" s="2">
        <f t="shared" si="104"/>
        <v>-4.8220040774719672</v>
      </c>
    </row>
    <row r="315" spans="1:14" x14ac:dyDescent="0.3">
      <c r="A315">
        <f t="shared" si="102"/>
        <v>1.6666666666666667</v>
      </c>
      <c r="B315">
        <v>60</v>
      </c>
      <c r="C315">
        <v>1</v>
      </c>
      <c r="D315" s="7">
        <v>21</v>
      </c>
      <c r="E315" s="3">
        <v>30.456</v>
      </c>
      <c r="F315" s="8">
        <f t="shared" si="99"/>
        <v>6.8951930654058309</v>
      </c>
      <c r="G315" s="11">
        <v>3.24</v>
      </c>
      <c r="H315" s="15">
        <v>1.205E-2</v>
      </c>
      <c r="I315" s="11">
        <f t="shared" si="100"/>
        <v>12.230365110593166</v>
      </c>
      <c r="J315" s="16">
        <v>4.5</v>
      </c>
      <c r="K315" s="9">
        <v>10.17</v>
      </c>
      <c r="L315" s="14">
        <f t="shared" si="93"/>
        <v>0.4680829614339922</v>
      </c>
      <c r="M315" s="6"/>
      <c r="N315" s="2">
        <f t="shared" si="104"/>
        <v>-8.9617293577981645</v>
      </c>
    </row>
    <row r="316" spans="1:14" x14ac:dyDescent="0.3">
      <c r="A316">
        <f t="shared" si="102"/>
        <v>1.6666666666666667</v>
      </c>
      <c r="B316">
        <v>60</v>
      </c>
      <c r="C316">
        <v>1</v>
      </c>
      <c r="D316" s="7">
        <v>25.2</v>
      </c>
      <c r="E316" s="3">
        <v>30.456</v>
      </c>
      <c r="F316" s="8">
        <f t="shared" si="99"/>
        <v>8.2742316784869967</v>
      </c>
      <c r="G316" s="11">
        <v>3.24</v>
      </c>
      <c r="H316" s="15">
        <v>1.205E-2</v>
      </c>
      <c r="I316" s="11">
        <f t="shared" si="100"/>
        <v>14.676438132711798</v>
      </c>
      <c r="J316" s="16">
        <v>4.5</v>
      </c>
      <c r="K316" s="9">
        <v>11.41</v>
      </c>
      <c r="L316" s="14">
        <f t="shared" si="93"/>
        <v>-0.33939910010204044</v>
      </c>
      <c r="M316" s="6"/>
      <c r="N316" s="2">
        <f t="shared" si="104"/>
        <v>-11.280314475025483</v>
      </c>
    </row>
    <row r="317" spans="1:14" x14ac:dyDescent="0.3">
      <c r="A317">
        <f t="shared" si="102"/>
        <v>1.6666666666666667</v>
      </c>
      <c r="B317">
        <v>60</v>
      </c>
      <c r="C317">
        <v>1</v>
      </c>
      <c r="D317" s="7">
        <v>29.5</v>
      </c>
      <c r="E317" s="3">
        <v>30.456</v>
      </c>
      <c r="F317" s="8">
        <f t="shared" si="99"/>
        <v>9.6861045442605729</v>
      </c>
      <c r="G317" s="11">
        <v>3.24</v>
      </c>
      <c r="H317" s="15">
        <v>1.205E-2</v>
      </c>
      <c r="I317" s="11">
        <f t="shared" si="100"/>
        <v>17.180750988690402</v>
      </c>
      <c r="J317" s="16">
        <v>4.5</v>
      </c>
      <c r="K317" s="9">
        <v>13.97</v>
      </c>
      <c r="L317" s="14">
        <f t="shared" si="93"/>
        <v>-1.4249533655790791</v>
      </c>
      <c r="M317" s="6"/>
      <c r="N317" s="2">
        <f t="shared" si="104"/>
        <v>-16.909965851172274</v>
      </c>
    </row>
    <row r="318" spans="1:14" x14ac:dyDescent="0.3">
      <c r="A318">
        <f t="shared" si="102"/>
        <v>1.6666666666666667</v>
      </c>
      <c r="B318">
        <v>60</v>
      </c>
      <c r="C318">
        <v>2</v>
      </c>
      <c r="D318" s="7">
        <v>4.2</v>
      </c>
      <c r="E318" s="3">
        <v>30.456</v>
      </c>
      <c r="F318" s="8">
        <f t="shared" si="99"/>
        <v>1.3790386130811663</v>
      </c>
      <c r="G318" s="11">
        <v>3.24</v>
      </c>
      <c r="H318" s="15">
        <v>6.025E-3</v>
      </c>
      <c r="I318" s="11">
        <f t="shared" si="100"/>
        <v>2.4460730221186333</v>
      </c>
      <c r="J318" s="16">
        <v>3</v>
      </c>
      <c r="K318" s="9">
        <v>0</v>
      </c>
      <c r="L318" s="14">
        <f t="shared" si="93"/>
        <v>104.15868582880654</v>
      </c>
      <c r="M318" s="6"/>
      <c r="N318" s="2">
        <f>-(1.7*K318^2)/19.62</f>
        <v>0</v>
      </c>
    </row>
    <row r="319" spans="1:14" x14ac:dyDescent="0.3">
      <c r="A319">
        <f t="shared" si="102"/>
        <v>1.6666666666666667</v>
      </c>
      <c r="B319">
        <v>60</v>
      </c>
      <c r="C319">
        <v>2</v>
      </c>
      <c r="D319" s="7">
        <v>8.4</v>
      </c>
      <c r="E319" s="3">
        <v>30.456</v>
      </c>
      <c r="F319" s="8">
        <f t="shared" si="99"/>
        <v>2.7580772261623325</v>
      </c>
      <c r="G319" s="11">
        <v>3.24</v>
      </c>
      <c r="H319" s="15">
        <v>6.025E-3</v>
      </c>
      <c r="I319" s="11">
        <f t="shared" si="100"/>
        <v>4.8921460442372666</v>
      </c>
      <c r="J319" s="16">
        <v>4.5</v>
      </c>
      <c r="K319" s="9">
        <v>0</v>
      </c>
      <c r="L319" s="14">
        <f t="shared" si="93"/>
        <v>26.039671457201635</v>
      </c>
      <c r="M319" s="6"/>
      <c r="N319" s="2">
        <f t="shared" ref="N319:N324" si="105">-(1.7*K319^2)/19.62</f>
        <v>0</v>
      </c>
    </row>
    <row r="320" spans="1:14" x14ac:dyDescent="0.3">
      <c r="A320">
        <f t="shared" si="102"/>
        <v>1.6666666666666667</v>
      </c>
      <c r="B320">
        <v>60</v>
      </c>
      <c r="C320">
        <v>2</v>
      </c>
      <c r="D320" s="7">
        <v>12.6</v>
      </c>
      <c r="E320" s="3">
        <v>30.456</v>
      </c>
      <c r="F320" s="8">
        <f t="shared" si="99"/>
        <v>4.1371158392434983</v>
      </c>
      <c r="G320" s="11">
        <v>3.24</v>
      </c>
      <c r="H320" s="15">
        <v>6.025E-3</v>
      </c>
      <c r="I320" s="11">
        <f t="shared" si="100"/>
        <v>7.338219066355899</v>
      </c>
      <c r="J320" s="16">
        <v>4.5</v>
      </c>
      <c r="K320" s="9">
        <v>4.7300000000000004</v>
      </c>
      <c r="L320" s="14">
        <f t="shared" si="93"/>
        <v>9.3510246821583713</v>
      </c>
      <c r="M320" s="6"/>
      <c r="N320" s="2">
        <f t="shared" si="105"/>
        <v>-1.9385285423037719</v>
      </c>
    </row>
    <row r="321" spans="1:14" x14ac:dyDescent="0.3">
      <c r="A321">
        <f t="shared" si="102"/>
        <v>1.6666666666666667</v>
      </c>
      <c r="B321">
        <v>60</v>
      </c>
      <c r="C321">
        <v>2</v>
      </c>
      <c r="D321" s="7">
        <v>16.8</v>
      </c>
      <c r="E321" s="3">
        <v>30.456</v>
      </c>
      <c r="F321" s="8">
        <f t="shared" si="99"/>
        <v>5.5161544523246651</v>
      </c>
      <c r="G321" s="11">
        <v>3.24</v>
      </c>
      <c r="H321" s="15">
        <v>6.025E-3</v>
      </c>
      <c r="I321" s="11">
        <f t="shared" si="100"/>
        <v>9.7842920884745332</v>
      </c>
      <c r="J321" s="16">
        <v>4.5</v>
      </c>
      <c r="K321" s="9">
        <v>7.62</v>
      </c>
      <c r="L321" s="14">
        <f t="shared" si="93"/>
        <v>3.2658791516008168</v>
      </c>
      <c r="M321" s="6"/>
      <c r="N321" s="2">
        <f t="shared" si="105"/>
        <v>-5.0310642201834863</v>
      </c>
    </row>
    <row r="322" spans="1:14" x14ac:dyDescent="0.3">
      <c r="A322">
        <f t="shared" si="102"/>
        <v>1.6666666666666667</v>
      </c>
      <c r="B322">
        <v>60</v>
      </c>
      <c r="C322">
        <v>2</v>
      </c>
      <c r="D322" s="7">
        <v>21</v>
      </c>
      <c r="E322" s="3">
        <v>30.456</v>
      </c>
      <c r="F322" s="8">
        <f t="shared" si="99"/>
        <v>6.8951930654058309</v>
      </c>
      <c r="G322" s="11">
        <v>3.24</v>
      </c>
      <c r="H322" s="15">
        <v>6.025E-3</v>
      </c>
      <c r="I322" s="11">
        <f t="shared" si="100"/>
        <v>12.230365110593166</v>
      </c>
      <c r="J322" s="16">
        <v>4.5</v>
      </c>
      <c r="K322" s="9">
        <v>11.24</v>
      </c>
      <c r="L322" s="14">
        <f t="shared" si="93"/>
        <v>-0.35105396551053053</v>
      </c>
      <c r="M322" s="6"/>
      <c r="N322" s="2">
        <f t="shared" si="105"/>
        <v>-10.946682976554536</v>
      </c>
    </row>
    <row r="323" spans="1:14" x14ac:dyDescent="0.3">
      <c r="A323">
        <f t="shared" si="102"/>
        <v>1.6666666666666667</v>
      </c>
      <c r="B323">
        <v>60</v>
      </c>
      <c r="C323">
        <v>2</v>
      </c>
      <c r="D323" s="7">
        <v>25.2</v>
      </c>
      <c r="E323" s="3">
        <v>30.456</v>
      </c>
      <c r="F323" s="8">
        <f t="shared" si="99"/>
        <v>8.2742316784869967</v>
      </c>
      <c r="G323" s="11">
        <v>3.24</v>
      </c>
      <c r="H323" s="15">
        <v>6.025E-3</v>
      </c>
      <c r="I323" s="11">
        <f t="shared" si="100"/>
        <v>14.676438132711798</v>
      </c>
      <c r="J323" s="16">
        <v>4.5</v>
      </c>
      <c r="K323" s="9">
        <v>13.45</v>
      </c>
      <c r="L323" s="14">
        <f t="shared" ref="L323:L386" si="106">(10.33+N323-0.234)/((F323^2)/19.62)</f>
        <v>-1.5986865035240807</v>
      </c>
      <c r="M323" s="6"/>
      <c r="N323" s="2">
        <f t="shared" si="105"/>
        <v>-15.674528542303767</v>
      </c>
    </row>
    <row r="324" spans="1:14" x14ac:dyDescent="0.3">
      <c r="A324">
        <f t="shared" si="102"/>
        <v>1.6666666666666667</v>
      </c>
      <c r="B324">
        <v>60</v>
      </c>
      <c r="C324">
        <v>2</v>
      </c>
      <c r="D324" s="7">
        <v>29.4</v>
      </c>
      <c r="E324" s="3">
        <v>30.456</v>
      </c>
      <c r="F324" s="8">
        <f t="shared" si="99"/>
        <v>9.6532702915681625</v>
      </c>
      <c r="G324" s="11">
        <v>3.24</v>
      </c>
      <c r="H324" s="15">
        <v>6.025E-3</v>
      </c>
      <c r="I324" s="11">
        <f t="shared" si="100"/>
        <v>17.122511154830431</v>
      </c>
      <c r="J324" s="16">
        <v>4.5</v>
      </c>
      <c r="K324" s="9">
        <v>17.7</v>
      </c>
      <c r="L324" s="14">
        <f t="shared" si="106"/>
        <v>-3.5897110918602588</v>
      </c>
      <c r="M324" s="6"/>
      <c r="N324" s="2">
        <f t="shared" si="105"/>
        <v>-27.145412844036695</v>
      </c>
    </row>
    <row r="325" spans="1:14" x14ac:dyDescent="0.3">
      <c r="A325">
        <f t="shared" si="102"/>
        <v>1.6666666666666667</v>
      </c>
      <c r="B325">
        <v>60</v>
      </c>
      <c r="C325">
        <v>4</v>
      </c>
      <c r="D325" s="7">
        <v>4.2</v>
      </c>
      <c r="E325" s="3">
        <v>30.456</v>
      </c>
      <c r="F325" s="8">
        <f t="shared" si="99"/>
        <v>1.3790386130811663</v>
      </c>
      <c r="G325" s="11">
        <v>3.24</v>
      </c>
      <c r="H325" s="15">
        <v>3.0125E-3</v>
      </c>
      <c r="I325" s="11">
        <f t="shared" si="100"/>
        <v>2.4460730221186333</v>
      </c>
      <c r="J325" s="16">
        <v>3</v>
      </c>
      <c r="K325" s="9">
        <v>0</v>
      </c>
      <c r="L325" s="14">
        <f t="shared" si="106"/>
        <v>104.15868582880654</v>
      </c>
      <c r="M325" s="6"/>
      <c r="N325" s="2">
        <f>-(1.7*K325^2)/19.62</f>
        <v>0</v>
      </c>
    </row>
    <row r="326" spans="1:14" x14ac:dyDescent="0.3">
      <c r="A326">
        <f t="shared" si="102"/>
        <v>1.6666666666666667</v>
      </c>
      <c r="B326">
        <v>60</v>
      </c>
      <c r="C326">
        <v>4</v>
      </c>
      <c r="D326" s="7">
        <v>8.4</v>
      </c>
      <c r="E326" s="3">
        <v>30.456</v>
      </c>
      <c r="F326" s="8">
        <f t="shared" si="99"/>
        <v>2.7580772261623325</v>
      </c>
      <c r="G326" s="11">
        <v>3.24</v>
      </c>
      <c r="H326" s="15">
        <v>3.0125E-3</v>
      </c>
      <c r="I326" s="11">
        <f t="shared" si="100"/>
        <v>4.8921460442372666</v>
      </c>
      <c r="J326" s="16">
        <v>4.5</v>
      </c>
      <c r="K326" s="9">
        <v>0</v>
      </c>
      <c r="L326" s="14">
        <f t="shared" si="106"/>
        <v>26.039671457201635</v>
      </c>
      <c r="M326" s="6"/>
      <c r="N326" s="2">
        <f t="shared" ref="N326:N331" si="107">-(1.7*K326^2)/19.62</f>
        <v>0</v>
      </c>
    </row>
    <row r="327" spans="1:14" x14ac:dyDescent="0.3">
      <c r="A327">
        <f t="shared" si="102"/>
        <v>1.6666666666666667</v>
      </c>
      <c r="B327">
        <v>60</v>
      </c>
      <c r="C327">
        <v>4</v>
      </c>
      <c r="D327" s="7">
        <v>12.6</v>
      </c>
      <c r="E327" s="3">
        <v>30.456</v>
      </c>
      <c r="F327" s="8">
        <f t="shared" si="99"/>
        <v>4.1371158392434983</v>
      </c>
      <c r="G327" s="11">
        <v>3.24</v>
      </c>
      <c r="H327" s="15">
        <v>3.0125E-3</v>
      </c>
      <c r="I327" s="11">
        <f t="shared" si="100"/>
        <v>7.338219066355899</v>
      </c>
      <c r="J327" s="16">
        <v>4.5</v>
      </c>
      <c r="K327" s="9">
        <v>3.7</v>
      </c>
      <c r="L327" s="14">
        <f t="shared" si="106"/>
        <v>10.213443765903676</v>
      </c>
      <c r="M327" s="6"/>
      <c r="N327" s="2">
        <f t="shared" si="107"/>
        <v>-1.1861875637104995</v>
      </c>
    </row>
    <row r="328" spans="1:14" x14ac:dyDescent="0.3">
      <c r="A328">
        <f t="shared" si="102"/>
        <v>1.6666666666666667</v>
      </c>
      <c r="B328">
        <v>60</v>
      </c>
      <c r="C328">
        <v>4</v>
      </c>
      <c r="D328" s="7">
        <v>16.8</v>
      </c>
      <c r="E328" s="3">
        <v>30.456</v>
      </c>
      <c r="F328" s="8">
        <f t="shared" si="99"/>
        <v>5.5161544523246651</v>
      </c>
      <c r="G328" s="11">
        <v>3.24</v>
      </c>
      <c r="H328" s="15">
        <v>3.0125E-3</v>
      </c>
      <c r="I328" s="11">
        <f t="shared" si="100"/>
        <v>9.7842920884745332</v>
      </c>
      <c r="J328" s="16">
        <v>4.5</v>
      </c>
      <c r="K328" s="9">
        <v>3.25</v>
      </c>
      <c r="L328" s="14">
        <f t="shared" si="106"/>
        <v>5.9197945029483687</v>
      </c>
      <c r="M328" s="6"/>
      <c r="N328" s="2">
        <f t="shared" si="107"/>
        <v>-0.91520132517838937</v>
      </c>
    </row>
    <row r="329" spans="1:14" x14ac:dyDescent="0.3">
      <c r="A329">
        <f t="shared" si="102"/>
        <v>1.6666666666666667</v>
      </c>
      <c r="B329">
        <v>60</v>
      </c>
      <c r="C329">
        <v>4</v>
      </c>
      <c r="D329" s="7">
        <v>21</v>
      </c>
      <c r="E329" s="3">
        <v>30.456</v>
      </c>
      <c r="F329" s="8">
        <f t="shared" si="99"/>
        <v>6.8951930654058309</v>
      </c>
      <c r="G329" s="11">
        <v>3.24</v>
      </c>
      <c r="H329" s="15">
        <v>3.0125E-3</v>
      </c>
      <c r="I329" s="11">
        <f t="shared" si="100"/>
        <v>12.230365110593166</v>
      </c>
      <c r="J329" s="16">
        <v>4.5</v>
      </c>
      <c r="K329" s="9">
        <v>5.59</v>
      </c>
      <c r="L329" s="14">
        <f t="shared" si="106"/>
        <v>3.0490220237289805</v>
      </c>
      <c r="M329" s="6"/>
      <c r="N329" s="2">
        <f t="shared" si="107"/>
        <v>-2.7075316004077465</v>
      </c>
    </row>
    <row r="330" spans="1:14" x14ac:dyDescent="0.3">
      <c r="A330">
        <f t="shared" si="102"/>
        <v>1.6666666666666667</v>
      </c>
      <c r="B330">
        <v>60</v>
      </c>
      <c r="C330">
        <v>4</v>
      </c>
      <c r="D330" s="7">
        <v>25.2</v>
      </c>
      <c r="E330" s="3">
        <v>30.456</v>
      </c>
      <c r="F330" s="8">
        <f t="shared" si="99"/>
        <v>8.2742316784869967</v>
      </c>
      <c r="G330" s="11">
        <v>3.24</v>
      </c>
      <c r="H330" s="15">
        <v>3.0125E-3</v>
      </c>
      <c r="I330" s="11">
        <f t="shared" si="100"/>
        <v>14.676438132711798</v>
      </c>
      <c r="J330" s="16">
        <v>4.5</v>
      </c>
      <c r="K330" s="9">
        <v>8.09</v>
      </c>
      <c r="L330" s="14">
        <f t="shared" si="106"/>
        <v>1.2681574616938782</v>
      </c>
      <c r="M330" s="6"/>
      <c r="N330" s="2">
        <f t="shared" si="107"/>
        <v>-5.6708343527013243</v>
      </c>
    </row>
    <row r="331" spans="1:14" x14ac:dyDescent="0.3">
      <c r="A331">
        <f t="shared" si="102"/>
        <v>1.6666666666666667</v>
      </c>
      <c r="B331">
        <v>60</v>
      </c>
      <c r="C331">
        <v>4</v>
      </c>
      <c r="D331" s="7">
        <v>29.3</v>
      </c>
      <c r="E331" s="3">
        <v>30.456</v>
      </c>
      <c r="F331" s="8">
        <f t="shared" si="99"/>
        <v>9.6204360388757539</v>
      </c>
      <c r="G331" s="11">
        <v>3.24</v>
      </c>
      <c r="H331" s="15">
        <v>3.0125E-3</v>
      </c>
      <c r="I331" s="11">
        <f t="shared" si="100"/>
        <v>17.064271320970462</v>
      </c>
      <c r="J331" s="16">
        <v>4.5</v>
      </c>
      <c r="K331" s="9">
        <v>10.199999999999999</v>
      </c>
      <c r="L331" s="14">
        <f t="shared" si="106"/>
        <v>0.22922615403285693</v>
      </c>
      <c r="M331" s="6"/>
      <c r="N331" s="2">
        <f t="shared" si="107"/>
        <v>-9.0146788990825684</v>
      </c>
    </row>
    <row r="332" spans="1:14" x14ac:dyDescent="0.3">
      <c r="A332">
        <f t="shared" si="102"/>
        <v>1.6666666666666667</v>
      </c>
      <c r="B332">
        <v>60</v>
      </c>
      <c r="C332">
        <v>6</v>
      </c>
      <c r="D332" s="7">
        <v>4.2</v>
      </c>
      <c r="E332" s="3">
        <v>30.456</v>
      </c>
      <c r="F332" s="8">
        <f t="shared" si="99"/>
        <v>1.3790386130811663</v>
      </c>
      <c r="G332" s="11">
        <v>3.24</v>
      </c>
      <c r="H332" s="15">
        <v>2.0083000000000002E-3</v>
      </c>
      <c r="I332" s="11">
        <f t="shared" si="100"/>
        <v>2.4460730221186333</v>
      </c>
      <c r="J332" s="16">
        <v>3</v>
      </c>
      <c r="K332" s="9">
        <v>0</v>
      </c>
      <c r="L332" s="14">
        <f t="shared" si="106"/>
        <v>104.15868582880654</v>
      </c>
      <c r="M332" s="6"/>
      <c r="N332" s="2">
        <f>-(1.7*K332^2)/19.62</f>
        <v>0</v>
      </c>
    </row>
    <row r="333" spans="1:14" x14ac:dyDescent="0.3">
      <c r="A333">
        <f t="shared" si="102"/>
        <v>1.6666666666666667</v>
      </c>
      <c r="B333">
        <v>60</v>
      </c>
      <c r="C333">
        <v>6</v>
      </c>
      <c r="D333" s="7">
        <v>8.4</v>
      </c>
      <c r="E333" s="3">
        <v>30.456</v>
      </c>
      <c r="F333" s="8">
        <f t="shared" si="99"/>
        <v>2.7580772261623325</v>
      </c>
      <c r="G333" s="11">
        <v>3.24</v>
      </c>
      <c r="H333" s="15">
        <v>2.0083000000000002E-3</v>
      </c>
      <c r="I333" s="11">
        <f t="shared" si="100"/>
        <v>4.8921460442372666</v>
      </c>
      <c r="J333" s="16">
        <v>3</v>
      </c>
      <c r="K333" s="9">
        <v>0</v>
      </c>
      <c r="L333" s="14">
        <f t="shared" si="106"/>
        <v>26.039671457201635</v>
      </c>
      <c r="M333" s="6"/>
      <c r="N333" s="2">
        <f t="shared" ref="N333:N338" si="108">-(1.7*K333^2)/19.62</f>
        <v>0</v>
      </c>
    </row>
    <row r="334" spans="1:14" x14ac:dyDescent="0.3">
      <c r="A334">
        <f t="shared" si="102"/>
        <v>1.6666666666666667</v>
      </c>
      <c r="B334">
        <v>60</v>
      </c>
      <c r="C334">
        <v>6</v>
      </c>
      <c r="D334" s="7">
        <v>12.6</v>
      </c>
      <c r="E334" s="3">
        <v>30.456</v>
      </c>
      <c r="F334" s="8">
        <f t="shared" si="99"/>
        <v>4.1371158392434983</v>
      </c>
      <c r="G334" s="11">
        <v>3.24</v>
      </c>
      <c r="H334" s="15">
        <v>2.0083000000000002E-3</v>
      </c>
      <c r="I334" s="11">
        <f t="shared" si="100"/>
        <v>7.338219066355899</v>
      </c>
      <c r="J334" s="16">
        <v>3</v>
      </c>
      <c r="K334" s="9">
        <v>0</v>
      </c>
      <c r="L334" s="14">
        <f t="shared" si="106"/>
        <v>11.57318731431184</v>
      </c>
      <c r="M334" s="6"/>
      <c r="N334" s="2">
        <f t="shared" si="108"/>
        <v>0</v>
      </c>
    </row>
    <row r="335" spans="1:14" x14ac:dyDescent="0.3">
      <c r="A335">
        <f t="shared" si="102"/>
        <v>1.6666666666666667</v>
      </c>
      <c r="B335">
        <v>60</v>
      </c>
      <c r="C335">
        <v>6</v>
      </c>
      <c r="D335" s="7">
        <v>16.8</v>
      </c>
      <c r="E335" s="3">
        <v>30.456</v>
      </c>
      <c r="F335" s="8">
        <f t="shared" si="99"/>
        <v>5.5161544523246651</v>
      </c>
      <c r="G335" s="11">
        <v>3.24</v>
      </c>
      <c r="H335" s="15">
        <v>2.0083000000000002E-3</v>
      </c>
      <c r="I335" s="11">
        <f t="shared" si="100"/>
        <v>9.7842920884745332</v>
      </c>
      <c r="J335" s="16">
        <v>3</v>
      </c>
      <c r="K335" s="9">
        <v>0</v>
      </c>
      <c r="L335" s="14">
        <f t="shared" si="106"/>
        <v>6.5099178643004088</v>
      </c>
      <c r="M335" s="6"/>
      <c r="N335" s="2">
        <f t="shared" si="108"/>
        <v>0</v>
      </c>
    </row>
    <row r="336" spans="1:14" x14ac:dyDescent="0.3">
      <c r="A336">
        <f t="shared" si="102"/>
        <v>1.6666666666666667</v>
      </c>
      <c r="B336">
        <v>60</v>
      </c>
      <c r="C336">
        <v>6</v>
      </c>
      <c r="D336" s="7">
        <v>21</v>
      </c>
      <c r="E336" s="3">
        <v>30.456</v>
      </c>
      <c r="F336" s="8">
        <f t="shared" si="99"/>
        <v>6.8951930654058309</v>
      </c>
      <c r="G336" s="11">
        <v>3.24</v>
      </c>
      <c r="H336" s="15">
        <v>2.0083000000000002E-3</v>
      </c>
      <c r="I336" s="11">
        <f t="shared" si="100"/>
        <v>12.230365110593166</v>
      </c>
      <c r="J336" s="16">
        <v>4.5</v>
      </c>
      <c r="K336" s="9">
        <v>0.8</v>
      </c>
      <c r="L336" s="14">
        <f t="shared" si="106"/>
        <v>4.1434632174069561</v>
      </c>
      <c r="M336" s="6"/>
      <c r="N336" s="2">
        <f t="shared" si="108"/>
        <v>-5.5453618756371052E-2</v>
      </c>
    </row>
    <row r="337" spans="1:14" x14ac:dyDescent="0.3">
      <c r="A337">
        <f t="shared" si="102"/>
        <v>1.6666666666666667</v>
      </c>
      <c r="B337">
        <v>60</v>
      </c>
      <c r="C337">
        <v>6</v>
      </c>
      <c r="D337" s="7">
        <v>25.2</v>
      </c>
      <c r="E337" s="3">
        <v>30.456</v>
      </c>
      <c r="F337" s="8">
        <f t="shared" si="99"/>
        <v>8.2742316784869967</v>
      </c>
      <c r="G337" s="11">
        <v>3.24</v>
      </c>
      <c r="H337" s="15">
        <v>2.0083000000000002E-3</v>
      </c>
      <c r="I337" s="11">
        <f t="shared" si="100"/>
        <v>14.676438132711798</v>
      </c>
      <c r="J337" s="16">
        <v>4.5</v>
      </c>
      <c r="K337" s="9">
        <v>1.95</v>
      </c>
      <c r="L337" s="14">
        <f t="shared" si="106"/>
        <v>2.7988770907616334</v>
      </c>
      <c r="M337" s="6"/>
      <c r="N337" s="2">
        <f t="shared" si="108"/>
        <v>-0.32947247706422017</v>
      </c>
    </row>
    <row r="338" spans="1:14" x14ac:dyDescent="0.3">
      <c r="A338">
        <f t="shared" si="102"/>
        <v>1.6666666666666667</v>
      </c>
      <c r="B338">
        <v>60</v>
      </c>
      <c r="C338">
        <v>6</v>
      </c>
      <c r="D338" s="7">
        <v>29.4</v>
      </c>
      <c r="E338" s="3">
        <v>30.456</v>
      </c>
      <c r="F338" s="8">
        <f t="shared" si="99"/>
        <v>9.6532702915681625</v>
      </c>
      <c r="G338" s="11">
        <v>3.24</v>
      </c>
      <c r="H338" s="15">
        <v>2.0083000000000002E-3</v>
      </c>
      <c r="I338" s="11">
        <f t="shared" si="100"/>
        <v>17.122511154830431</v>
      </c>
      <c r="J338" s="16">
        <v>4.5</v>
      </c>
      <c r="K338" s="9">
        <v>2.0299999999999998</v>
      </c>
      <c r="L338" s="14">
        <f t="shared" si="106"/>
        <v>2.0505092415119708</v>
      </c>
      <c r="M338" s="6"/>
      <c r="N338" s="2">
        <f t="shared" si="108"/>
        <v>-0.35706065239551465</v>
      </c>
    </row>
    <row r="339" spans="1:14" x14ac:dyDescent="0.3">
      <c r="A339">
        <v>1</v>
      </c>
      <c r="B339">
        <v>10</v>
      </c>
      <c r="C339">
        <v>1</v>
      </c>
      <c r="D339" s="16">
        <v>1</v>
      </c>
      <c r="E339" s="11">
        <v>5.1409430829999998</v>
      </c>
      <c r="F339" s="9">
        <f t="shared" si="99"/>
        <v>1.9451683939213145</v>
      </c>
      <c r="G339" s="8">
        <v>5.8784999999999998</v>
      </c>
      <c r="H339" s="15">
        <v>5.5425090000000002E-3</v>
      </c>
      <c r="I339" s="17">
        <f>F339/((E339*10^-4)/(G339*10^-2)*9.81)^(1/2)</f>
        <v>6.6410165731286011</v>
      </c>
      <c r="J339" s="16">
        <v>4.5</v>
      </c>
      <c r="K339" s="9">
        <v>0</v>
      </c>
      <c r="L339" s="14">
        <f t="shared" si="106"/>
        <v>52.35207939747584</v>
      </c>
      <c r="M339" s="6"/>
      <c r="N339" s="2">
        <f>-(1.7*K339^2)/19.62</f>
        <v>0</v>
      </c>
    </row>
    <row r="340" spans="1:14" x14ac:dyDescent="0.3">
      <c r="A340">
        <v>1</v>
      </c>
      <c r="B340">
        <v>10</v>
      </c>
      <c r="C340">
        <v>1</v>
      </c>
      <c r="D340" s="16">
        <v>2</v>
      </c>
      <c r="E340" s="11">
        <v>5.1409430829999998</v>
      </c>
      <c r="F340" s="9">
        <f t="shared" si="99"/>
        <v>3.8903367878426289</v>
      </c>
      <c r="G340" s="8">
        <v>5.8784999999999998</v>
      </c>
      <c r="H340" s="15">
        <v>5.5425090000000002E-3</v>
      </c>
      <c r="I340" s="17">
        <f t="shared" ref="I340:I345" si="109">F340/((E340*10^-4)/(G340*10^-2)*9.81)^(1/2)</f>
        <v>13.282033146257202</v>
      </c>
      <c r="J340" s="16">
        <v>4.5</v>
      </c>
      <c r="K340" s="9">
        <v>2.27</v>
      </c>
      <c r="L340" s="14">
        <f t="shared" si="106"/>
        <v>12.509222896855785</v>
      </c>
      <c r="M340" s="6"/>
      <c r="N340" s="2">
        <f t="shared" ref="N340:N345" si="110">-(1.7*K340^2)/19.62</f>
        <v>-0.446479612640163</v>
      </c>
    </row>
    <row r="341" spans="1:14" x14ac:dyDescent="0.3">
      <c r="A341">
        <v>1</v>
      </c>
      <c r="B341">
        <v>10</v>
      </c>
      <c r="C341">
        <v>1</v>
      </c>
      <c r="D341" s="16">
        <v>3</v>
      </c>
      <c r="E341" s="11">
        <v>5.1409430829999998</v>
      </c>
      <c r="F341" s="9">
        <f t="shared" si="99"/>
        <v>5.835505181763943</v>
      </c>
      <c r="G341" s="8">
        <v>5.8784999999999998</v>
      </c>
      <c r="H341" s="15">
        <v>5.5425090000000002E-3</v>
      </c>
      <c r="I341" s="17">
        <f t="shared" si="109"/>
        <v>19.923049719385801</v>
      </c>
      <c r="J341" s="16">
        <v>4.5</v>
      </c>
      <c r="K341" s="9">
        <v>6.29</v>
      </c>
      <c r="L341" s="14">
        <f t="shared" si="106"/>
        <v>3.8417785862016682</v>
      </c>
      <c r="M341" s="6"/>
      <c r="N341" s="2">
        <f t="shared" si="110"/>
        <v>-3.4280820591233434</v>
      </c>
    </row>
    <row r="342" spans="1:14" x14ac:dyDescent="0.3">
      <c r="A342">
        <v>1</v>
      </c>
      <c r="B342">
        <v>10</v>
      </c>
      <c r="C342">
        <v>1</v>
      </c>
      <c r="D342" s="16">
        <v>4</v>
      </c>
      <c r="E342" s="11">
        <v>5.1409430829999998</v>
      </c>
      <c r="F342" s="9">
        <f t="shared" si="99"/>
        <v>7.7806735756852579</v>
      </c>
      <c r="G342" s="8">
        <v>5.8784999999999998</v>
      </c>
      <c r="H342" s="15">
        <v>5.5425090000000002E-3</v>
      </c>
      <c r="I342" s="17">
        <f t="shared" si="109"/>
        <v>26.564066292514404</v>
      </c>
      <c r="J342" s="16">
        <v>4.5</v>
      </c>
      <c r="K342" s="9">
        <v>9.76</v>
      </c>
      <c r="L342" s="14">
        <f t="shared" si="106"/>
        <v>0.59706422102574574</v>
      </c>
      <c r="M342" s="6"/>
      <c r="N342" s="2">
        <f t="shared" si="110"/>
        <v>-8.2537166156982664</v>
      </c>
    </row>
    <row r="343" spans="1:14" x14ac:dyDescent="0.3">
      <c r="A343">
        <v>1</v>
      </c>
      <c r="B343">
        <v>10</v>
      </c>
      <c r="C343">
        <v>1</v>
      </c>
      <c r="D343" s="16">
        <v>5</v>
      </c>
      <c r="E343" s="11">
        <v>5.1409430829999998</v>
      </c>
      <c r="F343" s="9">
        <f t="shared" si="99"/>
        <v>9.7258419696065719</v>
      </c>
      <c r="G343" s="8">
        <v>5.8784999999999998</v>
      </c>
      <c r="H343" s="15">
        <v>5.5425090000000002E-3</v>
      </c>
      <c r="I343" s="17">
        <f t="shared" si="109"/>
        <v>33.205082865643007</v>
      </c>
      <c r="J343" s="16">
        <v>4.5</v>
      </c>
      <c r="K343" s="9">
        <v>11.35</v>
      </c>
      <c r="L343" s="14">
        <f t="shared" si="106"/>
        <v>-0.22110463415366771</v>
      </c>
      <c r="M343" s="6"/>
      <c r="N343" s="2">
        <f t="shared" si="110"/>
        <v>-11.161990316004076</v>
      </c>
    </row>
    <row r="344" spans="1:14" x14ac:dyDescent="0.3">
      <c r="A344">
        <v>1</v>
      </c>
      <c r="B344">
        <v>10</v>
      </c>
      <c r="C344">
        <v>1</v>
      </c>
      <c r="D344" s="16">
        <v>6</v>
      </c>
      <c r="E344" s="11">
        <v>5.1409430829999998</v>
      </c>
      <c r="F344" s="9">
        <f t="shared" si="99"/>
        <v>11.671010363527886</v>
      </c>
      <c r="G344" s="8">
        <v>5.8784999999999998</v>
      </c>
      <c r="H344" s="15">
        <v>5.5425090000000002E-3</v>
      </c>
      <c r="I344" s="17">
        <f t="shared" si="109"/>
        <v>39.846099438771603</v>
      </c>
      <c r="J344" s="16">
        <v>4.5</v>
      </c>
      <c r="K344" s="9">
        <v>14.29</v>
      </c>
      <c r="L344" s="14">
        <f t="shared" si="106"/>
        <v>-1.0943450028976647</v>
      </c>
      <c r="M344" s="6"/>
      <c r="N344" s="2">
        <f t="shared" si="110"/>
        <v>-17.693525484199792</v>
      </c>
    </row>
    <row r="345" spans="1:14" x14ac:dyDescent="0.3">
      <c r="A345">
        <v>1</v>
      </c>
      <c r="B345">
        <v>10</v>
      </c>
      <c r="C345">
        <v>1</v>
      </c>
      <c r="D345" s="16">
        <v>7.2</v>
      </c>
      <c r="E345" s="11">
        <v>5.1409430829999998</v>
      </c>
      <c r="F345" s="9">
        <f t="shared" si="99"/>
        <v>14.005212436233464</v>
      </c>
      <c r="G345" s="8">
        <v>5.8784999999999998</v>
      </c>
      <c r="H345" s="15">
        <v>5.5425090000000002E-3</v>
      </c>
      <c r="I345" s="17">
        <f t="shared" si="109"/>
        <v>47.81531932652593</v>
      </c>
      <c r="J345" s="16">
        <v>4.5</v>
      </c>
      <c r="K345" s="9">
        <v>17.5</v>
      </c>
      <c r="L345" s="14">
        <f t="shared" si="106"/>
        <v>-1.6443950958897089</v>
      </c>
      <c r="M345" s="6"/>
      <c r="N345" s="2">
        <f t="shared" si="110"/>
        <v>-26.535423037716615</v>
      </c>
    </row>
    <row r="346" spans="1:14" x14ac:dyDescent="0.3">
      <c r="A346">
        <v>1</v>
      </c>
      <c r="B346">
        <v>10</v>
      </c>
      <c r="C346">
        <v>2</v>
      </c>
      <c r="D346" s="16">
        <v>1</v>
      </c>
      <c r="E346" s="11">
        <v>5.1409430829999998</v>
      </c>
      <c r="F346" s="9">
        <f t="shared" si="99"/>
        <v>1.9451683939213145</v>
      </c>
      <c r="G346" s="8">
        <v>5.8784999999999998</v>
      </c>
      <c r="H346" s="15">
        <v>2.7712549999999998E-3</v>
      </c>
      <c r="I346" s="17">
        <f>F346/((E346*10^-4)/(G346*10^-2)*9.81)^(1/2)</f>
        <v>6.6410165731286011</v>
      </c>
      <c r="J346" s="16">
        <v>3</v>
      </c>
      <c r="K346" s="9">
        <v>0.6</v>
      </c>
      <c r="L346" s="14">
        <f t="shared" si="106"/>
        <v>52.190332107286046</v>
      </c>
      <c r="M346" s="6"/>
      <c r="N346" s="2">
        <f>-(1.7*K346^2)/19.62</f>
        <v>-3.1192660550458714E-2</v>
      </c>
    </row>
    <row r="347" spans="1:14" x14ac:dyDescent="0.3">
      <c r="A347">
        <v>1</v>
      </c>
      <c r="B347">
        <v>10</v>
      </c>
      <c r="C347">
        <v>2</v>
      </c>
      <c r="D347" s="16">
        <v>2</v>
      </c>
      <c r="E347" s="11">
        <v>5.1409430829999998</v>
      </c>
      <c r="F347" s="9">
        <f t="shared" si="99"/>
        <v>3.8903367878426289</v>
      </c>
      <c r="G347" s="8">
        <v>5.8784999999999998</v>
      </c>
      <c r="H347" s="15">
        <v>2.7712549999999998E-3</v>
      </c>
      <c r="I347" s="17">
        <f t="shared" ref="I347:I352" si="111">F347/((E347*10^-4)/(G347*10^-2)*9.81)^(1/2)</f>
        <v>13.282033146257202</v>
      </c>
      <c r="J347" s="16">
        <v>4.5</v>
      </c>
      <c r="K347" s="9">
        <v>1.96</v>
      </c>
      <c r="L347" s="14">
        <f t="shared" si="106"/>
        <v>12.656514022984865</v>
      </c>
      <c r="M347" s="6"/>
      <c r="N347" s="2">
        <f t="shared" ref="N347:N352" si="112">-(1.7*K347^2)/19.62</f>
        <v>-0.33286034658511721</v>
      </c>
    </row>
    <row r="348" spans="1:14" x14ac:dyDescent="0.3">
      <c r="A348">
        <v>1</v>
      </c>
      <c r="B348">
        <v>10</v>
      </c>
      <c r="C348">
        <v>2</v>
      </c>
      <c r="D348" s="16">
        <v>3</v>
      </c>
      <c r="E348" s="11">
        <v>5.1409430829999998</v>
      </c>
      <c r="F348" s="9">
        <f t="shared" si="99"/>
        <v>5.835505181763943</v>
      </c>
      <c r="G348" s="8">
        <v>5.8784999999999998</v>
      </c>
      <c r="H348" s="15">
        <v>2.7712549999999998E-3</v>
      </c>
      <c r="I348" s="17">
        <f t="shared" si="111"/>
        <v>19.923049719385801</v>
      </c>
      <c r="J348" s="16">
        <v>4.5</v>
      </c>
      <c r="K348" s="9">
        <v>7.06</v>
      </c>
      <c r="L348" s="14">
        <f t="shared" si="106"/>
        <v>3.3286053548726704</v>
      </c>
      <c r="M348" s="6"/>
      <c r="N348" s="2">
        <f t="shared" si="112"/>
        <v>-4.3187624872578994</v>
      </c>
    </row>
    <row r="349" spans="1:14" x14ac:dyDescent="0.3">
      <c r="A349">
        <v>1</v>
      </c>
      <c r="B349">
        <v>10</v>
      </c>
      <c r="C349">
        <v>2</v>
      </c>
      <c r="D349" s="16">
        <v>4</v>
      </c>
      <c r="E349" s="11">
        <v>5.1409430829999998</v>
      </c>
      <c r="F349" s="9">
        <f t="shared" si="99"/>
        <v>7.7806735756852579</v>
      </c>
      <c r="G349" s="8">
        <v>5.8784999999999998</v>
      </c>
      <c r="H349" s="15">
        <v>2.7712549999999998E-3</v>
      </c>
      <c r="I349" s="17">
        <f t="shared" si="111"/>
        <v>26.564066292514404</v>
      </c>
      <c r="J349" s="16">
        <v>4.5</v>
      </c>
      <c r="K349" s="9">
        <v>13.29</v>
      </c>
      <c r="L349" s="14">
        <f t="shared" si="106"/>
        <v>-1.6877987802290459</v>
      </c>
      <c r="M349" s="6"/>
      <c r="N349" s="2">
        <f t="shared" si="112"/>
        <v>-15.303821100917427</v>
      </c>
    </row>
    <row r="350" spans="1:14" x14ac:dyDescent="0.3">
      <c r="A350">
        <v>1</v>
      </c>
      <c r="B350">
        <v>10</v>
      </c>
      <c r="C350">
        <v>2</v>
      </c>
      <c r="D350" s="16">
        <v>5</v>
      </c>
      <c r="E350" s="11">
        <v>5.1409430829999998</v>
      </c>
      <c r="F350" s="9">
        <f t="shared" si="99"/>
        <v>9.7258419696065719</v>
      </c>
      <c r="G350" s="8">
        <v>5.8784999999999998</v>
      </c>
      <c r="H350" s="15">
        <v>2.7712549999999998E-3</v>
      </c>
      <c r="I350" s="17">
        <f t="shared" si="111"/>
        <v>33.205082865643007</v>
      </c>
      <c r="J350" s="16">
        <v>4.5</v>
      </c>
      <c r="K350" s="9">
        <v>18.18</v>
      </c>
      <c r="L350" s="14">
        <f t="shared" si="106"/>
        <v>-3.8458596101147653</v>
      </c>
      <c r="M350" s="6"/>
      <c r="N350" s="2">
        <f t="shared" si="112"/>
        <v>-28.637669724770642</v>
      </c>
    </row>
    <row r="351" spans="1:14" x14ac:dyDescent="0.3">
      <c r="A351">
        <v>1</v>
      </c>
      <c r="B351">
        <v>10</v>
      </c>
      <c r="C351">
        <v>2</v>
      </c>
      <c r="D351" s="16">
        <v>6</v>
      </c>
      <c r="E351" s="11">
        <v>5.1409430829999998</v>
      </c>
      <c r="F351" s="9">
        <f t="shared" si="99"/>
        <v>11.671010363527886</v>
      </c>
      <c r="G351" s="8">
        <v>5.8784999999999998</v>
      </c>
      <c r="H351" s="15">
        <v>2.7712549999999998E-3</v>
      </c>
      <c r="I351" s="17">
        <f t="shared" si="111"/>
        <v>39.846099438771603</v>
      </c>
      <c r="J351" s="16">
        <v>4.5</v>
      </c>
      <c r="K351" s="9">
        <v>21.63</v>
      </c>
      <c r="L351" s="14">
        <f t="shared" si="106"/>
        <v>-4.3848639805944902</v>
      </c>
      <c r="M351" s="6"/>
      <c r="N351" s="2">
        <f t="shared" si="112"/>
        <v>-40.538059633027515</v>
      </c>
    </row>
    <row r="352" spans="1:14" x14ac:dyDescent="0.3">
      <c r="A352">
        <v>1</v>
      </c>
      <c r="B352">
        <v>10</v>
      </c>
      <c r="C352">
        <v>2</v>
      </c>
      <c r="D352" s="16">
        <v>7.1</v>
      </c>
      <c r="E352" s="11">
        <v>5.1409430829999998</v>
      </c>
      <c r="F352" s="9">
        <f t="shared" si="99"/>
        <v>13.810695596841331</v>
      </c>
      <c r="G352" s="8">
        <v>5.8784999999999998</v>
      </c>
      <c r="H352" s="15">
        <v>2.7712549999999998E-3</v>
      </c>
      <c r="I352" s="17">
        <f t="shared" si="111"/>
        <v>47.151217669213061</v>
      </c>
      <c r="J352" s="16">
        <v>4.5</v>
      </c>
      <c r="K352" s="9">
        <v>25.68</v>
      </c>
      <c r="L352" s="14">
        <f t="shared" si="106"/>
        <v>-4.8391802551833054</v>
      </c>
      <c r="M352" s="6"/>
      <c r="N352" s="2">
        <f t="shared" si="112"/>
        <v>-57.139963302752292</v>
      </c>
    </row>
    <row r="353" spans="1:14" x14ac:dyDescent="0.3">
      <c r="A353">
        <v>1</v>
      </c>
      <c r="B353">
        <v>10</v>
      </c>
      <c r="C353">
        <v>4</v>
      </c>
      <c r="D353" s="16">
        <v>1</v>
      </c>
      <c r="E353" s="11">
        <v>5.1409430829999998</v>
      </c>
      <c r="F353" s="9">
        <f t="shared" si="99"/>
        <v>1.9451683939213145</v>
      </c>
      <c r="G353" s="8">
        <v>5.8784999999999998</v>
      </c>
      <c r="H353" s="15">
        <v>1.385627E-3</v>
      </c>
      <c r="I353" s="17">
        <f>F353/((E353*10^-4)/(G353*10^-2)*9.81)^(1/2)</f>
        <v>6.6410165731286011</v>
      </c>
      <c r="J353" s="16">
        <v>4.5</v>
      </c>
      <c r="K353" s="9">
        <v>0.54</v>
      </c>
      <c r="L353" s="14">
        <f t="shared" si="106"/>
        <v>52.221064092422111</v>
      </c>
      <c r="M353" s="6"/>
      <c r="N353" s="2">
        <f>-(1.7*K353^2)/19.62</f>
        <v>-2.5266055045871563E-2</v>
      </c>
    </row>
    <row r="354" spans="1:14" x14ac:dyDescent="0.3">
      <c r="A354">
        <v>1</v>
      </c>
      <c r="B354">
        <v>10</v>
      </c>
      <c r="C354">
        <v>4</v>
      </c>
      <c r="D354" s="16">
        <v>2</v>
      </c>
      <c r="E354" s="11">
        <v>5.1409430829999998</v>
      </c>
      <c r="F354" s="9">
        <f t="shared" si="99"/>
        <v>3.8903367878426289</v>
      </c>
      <c r="G354" s="8">
        <v>5.8784999999999998</v>
      </c>
      <c r="H354" s="15">
        <v>1.385627E-3</v>
      </c>
      <c r="I354" s="17">
        <f t="shared" ref="I354:I359" si="113">F354/((E354*10^-4)/(G354*10^-2)*9.81)^(1/2)</f>
        <v>13.282033146257202</v>
      </c>
      <c r="J354" s="16">
        <v>4.5</v>
      </c>
      <c r="K354" s="9">
        <v>2.3199999999999998</v>
      </c>
      <c r="L354" s="14">
        <f t="shared" si="106"/>
        <v>12.483444422481787</v>
      </c>
      <c r="M354" s="6"/>
      <c r="N354" s="2">
        <f t="shared" ref="N354:N359" si="114">-(1.7*K354^2)/19.62</f>
        <v>-0.46636493374108046</v>
      </c>
    </row>
    <row r="355" spans="1:14" x14ac:dyDescent="0.3">
      <c r="A355">
        <v>1</v>
      </c>
      <c r="B355">
        <v>10</v>
      </c>
      <c r="C355">
        <v>4</v>
      </c>
      <c r="D355" s="16">
        <v>3</v>
      </c>
      <c r="E355" s="11">
        <v>5.1409430829999998</v>
      </c>
      <c r="F355" s="9">
        <f t="shared" si="99"/>
        <v>5.835505181763943</v>
      </c>
      <c r="G355" s="8">
        <v>5.8784999999999998</v>
      </c>
      <c r="H355" s="15">
        <v>1.385627E-3</v>
      </c>
      <c r="I355" s="17">
        <f t="shared" si="113"/>
        <v>19.923049719385801</v>
      </c>
      <c r="J355" s="16">
        <v>4.5</v>
      </c>
      <c r="K355" s="9">
        <v>7.27</v>
      </c>
      <c r="L355" s="14">
        <f t="shared" si="106"/>
        <v>3.1783750708084306</v>
      </c>
      <c r="M355" s="6"/>
      <c r="N355" s="2">
        <f t="shared" si="114"/>
        <v>-4.579507135575942</v>
      </c>
    </row>
    <row r="356" spans="1:14" x14ac:dyDescent="0.3">
      <c r="A356">
        <v>1</v>
      </c>
      <c r="B356">
        <v>10</v>
      </c>
      <c r="C356">
        <v>4</v>
      </c>
      <c r="D356" s="16">
        <v>4</v>
      </c>
      <c r="E356" s="11">
        <v>5.1409430829999998</v>
      </c>
      <c r="F356" s="9">
        <f t="shared" si="99"/>
        <v>7.7806735756852579</v>
      </c>
      <c r="G356" s="8">
        <v>5.8784999999999998</v>
      </c>
      <c r="H356" s="15">
        <v>1.385627E-3</v>
      </c>
      <c r="I356" s="17">
        <f t="shared" si="113"/>
        <v>26.564066292514404</v>
      </c>
      <c r="J356" s="16">
        <v>4.5</v>
      </c>
      <c r="K356" s="9">
        <v>13.03</v>
      </c>
      <c r="L356" s="14">
        <f t="shared" si="106"/>
        <v>-1.4956340135230084</v>
      </c>
      <c r="M356" s="6"/>
      <c r="N356" s="2">
        <f t="shared" si="114"/>
        <v>-14.710883282364929</v>
      </c>
    </row>
    <row r="357" spans="1:14" x14ac:dyDescent="0.3">
      <c r="A357">
        <v>1</v>
      </c>
      <c r="B357">
        <v>10</v>
      </c>
      <c r="C357">
        <v>4</v>
      </c>
      <c r="D357" s="16">
        <v>5</v>
      </c>
      <c r="E357" s="11">
        <v>5.1409430829999998</v>
      </c>
      <c r="F357" s="9">
        <f t="shared" ref="F357:F420" si="115">(D357*10^-3)/(E357*10^-4)</f>
        <v>9.7258419696065719</v>
      </c>
      <c r="G357" s="8">
        <v>5.8784999999999998</v>
      </c>
      <c r="H357" s="15">
        <v>1.385627E-3</v>
      </c>
      <c r="I357" s="17">
        <f t="shared" si="113"/>
        <v>33.205082865643007</v>
      </c>
      <c r="J357" s="16">
        <v>4.5</v>
      </c>
      <c r="K357" s="9">
        <v>19.239999999999998</v>
      </c>
      <c r="L357" s="14">
        <f t="shared" si="106"/>
        <v>-4.5587194562076627</v>
      </c>
      <c r="M357" s="6"/>
      <c r="N357" s="2">
        <f t="shared" si="114"/>
        <v>-32.074511722731899</v>
      </c>
    </row>
    <row r="358" spans="1:14" x14ac:dyDescent="0.3">
      <c r="A358">
        <v>1</v>
      </c>
      <c r="B358">
        <v>10</v>
      </c>
      <c r="C358">
        <v>4</v>
      </c>
      <c r="D358" s="16">
        <v>6</v>
      </c>
      <c r="E358" s="11">
        <v>5.1409430829999998</v>
      </c>
      <c r="F358" s="9">
        <f t="shared" si="115"/>
        <v>11.671010363527886</v>
      </c>
      <c r="G358" s="8">
        <v>5.8784999999999998</v>
      </c>
      <c r="H358" s="15">
        <v>1.385627E-3</v>
      </c>
      <c r="I358" s="17">
        <f t="shared" si="113"/>
        <v>39.846099438771603</v>
      </c>
      <c r="J358" s="16">
        <v>4.5</v>
      </c>
      <c r="K358" s="9">
        <v>24.18</v>
      </c>
      <c r="L358" s="14">
        <f t="shared" si="106"/>
        <v>-5.8427799201905941</v>
      </c>
      <c r="M358" s="6"/>
      <c r="N358" s="2">
        <f t="shared" si="114"/>
        <v>-50.659688073394491</v>
      </c>
    </row>
    <row r="359" spans="1:14" x14ac:dyDescent="0.3">
      <c r="A359">
        <v>1</v>
      </c>
      <c r="B359">
        <v>10</v>
      </c>
      <c r="C359">
        <v>4</v>
      </c>
      <c r="D359" s="16">
        <v>7.2</v>
      </c>
      <c r="E359" s="11">
        <v>5.1409430829999998</v>
      </c>
      <c r="F359" s="9">
        <f t="shared" si="115"/>
        <v>14.005212436233464</v>
      </c>
      <c r="G359" s="8">
        <v>5.8784999999999998</v>
      </c>
      <c r="H359" s="15">
        <v>1.385627E-3</v>
      </c>
      <c r="I359" s="17">
        <f t="shared" si="113"/>
        <v>47.81531932652593</v>
      </c>
      <c r="J359" s="16">
        <v>4.5</v>
      </c>
      <c r="K359" s="9">
        <v>29.58</v>
      </c>
      <c r="L359" s="14">
        <f t="shared" si="106"/>
        <v>-6.573555014195767</v>
      </c>
      <c r="M359" s="6"/>
      <c r="N359" s="2">
        <f t="shared" si="114"/>
        <v>-75.813449541284399</v>
      </c>
    </row>
    <row r="360" spans="1:14" x14ac:dyDescent="0.3">
      <c r="A360">
        <v>1</v>
      </c>
      <c r="B360">
        <v>10</v>
      </c>
      <c r="C360">
        <v>6</v>
      </c>
      <c r="D360" s="16">
        <v>1</v>
      </c>
      <c r="E360" s="11">
        <v>5.1409430829999998</v>
      </c>
      <c r="F360" s="9">
        <f t="shared" si="115"/>
        <v>1.9451683939213145</v>
      </c>
      <c r="G360" s="8">
        <v>5.8784999999999998</v>
      </c>
      <c r="H360" s="15">
        <v>9.2375200000000001E-4</v>
      </c>
      <c r="I360" s="17">
        <f>F360/((E360*10^-4)/(G360*10^-2)*9.81)^(1/2)</f>
        <v>6.6410165731286011</v>
      </c>
      <c r="J360" s="16">
        <v>4.5</v>
      </c>
      <c r="K360" s="9">
        <v>0.6</v>
      </c>
      <c r="L360" s="14">
        <f t="shared" si="106"/>
        <v>52.190332107286046</v>
      </c>
      <c r="M360" s="6"/>
      <c r="N360" s="2">
        <f>-(1.7*K360^2)/19.62</f>
        <v>-3.1192660550458714E-2</v>
      </c>
    </row>
    <row r="361" spans="1:14" x14ac:dyDescent="0.3">
      <c r="A361">
        <v>1</v>
      </c>
      <c r="B361">
        <v>10</v>
      </c>
      <c r="C361">
        <v>6</v>
      </c>
      <c r="D361" s="16">
        <v>2</v>
      </c>
      <c r="E361" s="11">
        <v>5.1409430829999998</v>
      </c>
      <c r="F361" s="9">
        <f t="shared" si="115"/>
        <v>3.8903367878426289</v>
      </c>
      <c r="G361" s="8">
        <v>5.8784999999999998</v>
      </c>
      <c r="H361" s="15">
        <v>9.2375200000000001E-4</v>
      </c>
      <c r="I361" s="17">
        <f t="shared" ref="I361:I366" si="116">F361/((E361*10^-4)/(G361*10^-2)*9.81)^(1/2)</f>
        <v>13.282033146257202</v>
      </c>
      <c r="J361" s="16">
        <v>4.5</v>
      </c>
      <c r="K361" s="9">
        <v>2.19</v>
      </c>
      <c r="L361" s="14">
        <f t="shared" si="106"/>
        <v>12.54930028098059</v>
      </c>
      <c r="M361" s="6"/>
      <c r="N361" s="2">
        <f t="shared" ref="N361:N366" si="117">-(1.7*K361^2)/19.62</f>
        <v>-0.41556422018348627</v>
      </c>
    </row>
    <row r="362" spans="1:14" x14ac:dyDescent="0.3">
      <c r="A362">
        <v>1</v>
      </c>
      <c r="B362">
        <v>10</v>
      </c>
      <c r="C362">
        <v>6</v>
      </c>
      <c r="D362" s="16">
        <v>3</v>
      </c>
      <c r="E362" s="11">
        <v>5.1409430829999998</v>
      </c>
      <c r="F362" s="9">
        <f t="shared" si="115"/>
        <v>5.835505181763943</v>
      </c>
      <c r="G362" s="8">
        <v>5.8784999999999998</v>
      </c>
      <c r="H362" s="15">
        <v>9.2375200000000001E-4</v>
      </c>
      <c r="I362" s="17">
        <f t="shared" si="116"/>
        <v>19.923049719385801</v>
      </c>
      <c r="J362" s="16">
        <v>4.5</v>
      </c>
      <c r="K362" s="9">
        <v>6.1</v>
      </c>
      <c r="L362" s="14">
        <f t="shared" si="106"/>
        <v>3.9592999738053063</v>
      </c>
      <c r="M362" s="6"/>
      <c r="N362" s="2">
        <f t="shared" si="117"/>
        <v>-3.2241080530071349</v>
      </c>
    </row>
    <row r="363" spans="1:14" x14ac:dyDescent="0.3">
      <c r="A363">
        <v>1</v>
      </c>
      <c r="B363">
        <v>10</v>
      </c>
      <c r="C363">
        <v>6</v>
      </c>
      <c r="D363" s="16">
        <v>4</v>
      </c>
      <c r="E363" s="11">
        <v>5.1409430829999998</v>
      </c>
      <c r="F363" s="9">
        <f t="shared" si="115"/>
        <v>7.7806735756852579</v>
      </c>
      <c r="G363" s="8">
        <v>5.8784999999999998</v>
      </c>
      <c r="H363" s="15">
        <v>9.2375200000000001E-4</v>
      </c>
      <c r="I363" s="17">
        <f t="shared" si="116"/>
        <v>26.564066292514404</v>
      </c>
      <c r="J363" s="16">
        <v>4.5</v>
      </c>
      <c r="K363" s="9">
        <v>14.3</v>
      </c>
      <c r="L363" s="14">
        <f t="shared" si="106"/>
        <v>-2.4703046506630213</v>
      </c>
      <c r="M363" s="6"/>
      <c r="N363" s="2">
        <f t="shared" si="117"/>
        <v>-17.718297655453618</v>
      </c>
    </row>
    <row r="364" spans="1:14" x14ac:dyDescent="0.3">
      <c r="A364">
        <v>1</v>
      </c>
      <c r="B364">
        <v>10</v>
      </c>
      <c r="C364">
        <v>6</v>
      </c>
      <c r="D364" s="16">
        <v>5</v>
      </c>
      <c r="E364" s="11">
        <v>5.1409430829999998</v>
      </c>
      <c r="F364" s="9">
        <f t="shared" si="115"/>
        <v>9.7258419696065719</v>
      </c>
      <c r="G364" s="8">
        <v>5.8784999999999998</v>
      </c>
      <c r="H364" s="15">
        <v>9.2375200000000001E-4</v>
      </c>
      <c r="I364" s="17">
        <f t="shared" si="116"/>
        <v>33.205082865643007</v>
      </c>
      <c r="J364" s="16">
        <v>4.5</v>
      </c>
      <c r="K364" s="9">
        <v>19.87</v>
      </c>
      <c r="L364" s="14">
        <f t="shared" si="106"/>
        <v>-5.0015350125602547</v>
      </c>
      <c r="M364" s="6"/>
      <c r="N364" s="2">
        <f t="shared" si="117"/>
        <v>-34.209415392456677</v>
      </c>
    </row>
    <row r="365" spans="1:14" x14ac:dyDescent="0.3">
      <c r="A365">
        <v>1</v>
      </c>
      <c r="B365">
        <v>10</v>
      </c>
      <c r="C365">
        <v>6</v>
      </c>
      <c r="D365" s="16">
        <v>6</v>
      </c>
      <c r="E365" s="11">
        <v>5.1409430829999998</v>
      </c>
      <c r="F365" s="9">
        <f t="shared" si="115"/>
        <v>11.671010363527886</v>
      </c>
      <c r="G365" s="8">
        <v>5.8784999999999998</v>
      </c>
      <c r="H365" s="15">
        <v>9.2375200000000001E-4</v>
      </c>
      <c r="I365" s="17">
        <f t="shared" si="116"/>
        <v>39.846099438771603</v>
      </c>
      <c r="J365" s="16">
        <v>4.5</v>
      </c>
      <c r="K365" s="9">
        <v>24.58</v>
      </c>
      <c r="L365" s="14">
        <f t="shared" si="106"/>
        <v>-6.0861996075256002</v>
      </c>
      <c r="M365" s="6"/>
      <c r="N365" s="2">
        <f t="shared" si="117"/>
        <v>-52.349637104994898</v>
      </c>
    </row>
    <row r="366" spans="1:14" x14ac:dyDescent="0.3">
      <c r="A366">
        <v>1</v>
      </c>
      <c r="B366">
        <v>10</v>
      </c>
      <c r="C366">
        <v>6</v>
      </c>
      <c r="D366" s="16">
        <v>7</v>
      </c>
      <c r="E366" s="11">
        <v>5.1409430829999998</v>
      </c>
      <c r="F366" s="9">
        <f t="shared" si="115"/>
        <v>13.6161787574492</v>
      </c>
      <c r="G366" s="8">
        <v>5.8784999999999998</v>
      </c>
      <c r="H366" s="15">
        <v>9.2375200000000001E-4</v>
      </c>
      <c r="I366" s="17">
        <f t="shared" si="116"/>
        <v>46.487116011900206</v>
      </c>
      <c r="J366" s="16">
        <v>4.5</v>
      </c>
      <c r="K366" s="9">
        <v>28.59</v>
      </c>
      <c r="L366" s="14">
        <f t="shared" si="106"/>
        <v>-6.4265057610708851</v>
      </c>
      <c r="M366" s="6"/>
      <c r="N366" s="2">
        <f t="shared" si="117"/>
        <v>-70.823637614678901</v>
      </c>
    </row>
    <row r="367" spans="1:14" x14ac:dyDescent="0.3">
      <c r="A367">
        <v>1</v>
      </c>
      <c r="B367">
        <v>15</v>
      </c>
      <c r="C367">
        <v>1</v>
      </c>
      <c r="D367" s="16">
        <v>1.4</v>
      </c>
      <c r="E367" s="11">
        <v>7.7104226310000001</v>
      </c>
      <c r="F367" s="9">
        <f t="shared" si="115"/>
        <v>1.8157240750607566</v>
      </c>
      <c r="G367" s="8">
        <v>6.5609999999999999</v>
      </c>
      <c r="H367" s="15">
        <v>6.6530699999999996E-3</v>
      </c>
      <c r="I367" s="17">
        <f>F367/((E367*10^-4)/(G367*10^-2)*9.81)^(1/2)</f>
        <v>5.3476290687550607</v>
      </c>
      <c r="J367" s="16">
        <v>4.5</v>
      </c>
      <c r="K367" s="9">
        <v>0</v>
      </c>
      <c r="L367" s="14">
        <f t="shared" si="106"/>
        <v>60.082589341705983</v>
      </c>
      <c r="M367" s="6"/>
      <c r="N367" s="2">
        <f>-(1.7*K367^2)/19.62</f>
        <v>0</v>
      </c>
    </row>
    <row r="368" spans="1:14" x14ac:dyDescent="0.3">
      <c r="A368">
        <v>1</v>
      </c>
      <c r="B368">
        <v>15</v>
      </c>
      <c r="C368">
        <v>1</v>
      </c>
      <c r="D368" s="16">
        <v>2.8</v>
      </c>
      <c r="E368" s="11">
        <v>7.7104226310000001</v>
      </c>
      <c r="F368" s="9">
        <f t="shared" si="115"/>
        <v>3.6314481501215132</v>
      </c>
      <c r="G368" s="8">
        <v>6.5609999999999999</v>
      </c>
      <c r="H368" s="15">
        <v>6.6530699999999996E-3</v>
      </c>
      <c r="I368" s="17">
        <f t="shared" ref="I368:I373" si="118">F368/((E368*10^-4)/(G368*10^-2)*9.81)^(1/2)</f>
        <v>10.695258137510121</v>
      </c>
      <c r="J368" s="16">
        <v>4.5</v>
      </c>
      <c r="K368" s="9">
        <v>1.58</v>
      </c>
      <c r="L368" s="14">
        <f t="shared" si="106"/>
        <v>14.698834471772468</v>
      </c>
      <c r="M368" s="6"/>
      <c r="N368" s="2">
        <f t="shared" ref="N368:N373" si="119">-(1.7*K368^2)/19.62</f>
        <v>-0.21630377166156986</v>
      </c>
    </row>
    <row r="369" spans="1:14" x14ac:dyDescent="0.3">
      <c r="A369">
        <v>1</v>
      </c>
      <c r="B369">
        <v>15</v>
      </c>
      <c r="C369">
        <v>1</v>
      </c>
      <c r="D369" s="16">
        <v>4.2</v>
      </c>
      <c r="E369" s="11">
        <v>7.7104226310000001</v>
      </c>
      <c r="F369" s="9">
        <f t="shared" si="115"/>
        <v>5.4471722251822703</v>
      </c>
      <c r="G369" s="8">
        <v>6.5609999999999999</v>
      </c>
      <c r="H369" s="15">
        <v>6.6530699999999996E-3</v>
      </c>
      <c r="I369" s="17">
        <f t="shared" si="118"/>
        <v>16.042887206265185</v>
      </c>
      <c r="J369" s="16">
        <v>4.5</v>
      </c>
      <c r="K369" s="9">
        <v>5.92</v>
      </c>
      <c r="L369" s="14">
        <f t="shared" si="106"/>
        <v>4.6679060804704013</v>
      </c>
      <c r="M369" s="6"/>
      <c r="N369" s="2">
        <f t="shared" si="119"/>
        <v>-3.0366401630988786</v>
      </c>
    </row>
    <row r="370" spans="1:14" x14ac:dyDescent="0.3">
      <c r="A370">
        <v>1</v>
      </c>
      <c r="B370">
        <v>15</v>
      </c>
      <c r="C370">
        <v>1</v>
      </c>
      <c r="D370" s="16">
        <v>5.6</v>
      </c>
      <c r="E370" s="11">
        <v>7.7104226310000001</v>
      </c>
      <c r="F370" s="9">
        <f t="shared" si="115"/>
        <v>7.2628963002430265</v>
      </c>
      <c r="G370" s="8">
        <v>6.5609999999999999</v>
      </c>
      <c r="H370" s="15">
        <v>6.6530699999999996E-3</v>
      </c>
      <c r="I370" s="17">
        <f t="shared" si="118"/>
        <v>21.390516275020243</v>
      </c>
      <c r="J370" s="16">
        <v>4.5</v>
      </c>
      <c r="K370" s="9">
        <v>10.93</v>
      </c>
      <c r="L370" s="14">
        <f t="shared" si="106"/>
        <v>-9.4916436366698623E-2</v>
      </c>
      <c r="M370" s="6"/>
      <c r="N370" s="2">
        <f t="shared" si="119"/>
        <v>-10.351189092762487</v>
      </c>
    </row>
    <row r="371" spans="1:14" x14ac:dyDescent="0.3">
      <c r="A371">
        <v>1</v>
      </c>
      <c r="B371">
        <v>15</v>
      </c>
      <c r="C371">
        <v>1</v>
      </c>
      <c r="D371" s="16">
        <v>7</v>
      </c>
      <c r="E371" s="11">
        <v>7.7104226310000001</v>
      </c>
      <c r="F371" s="9">
        <f t="shared" si="115"/>
        <v>9.0786203753037835</v>
      </c>
      <c r="G371" s="8">
        <v>6.5609999999999999</v>
      </c>
      <c r="H371" s="15">
        <v>6.6530699999999996E-3</v>
      </c>
      <c r="I371" s="17">
        <f t="shared" si="118"/>
        <v>26.738145343775308</v>
      </c>
      <c r="J371" s="16">
        <v>4.5</v>
      </c>
      <c r="K371" s="9">
        <v>14.87</v>
      </c>
      <c r="L371" s="14">
        <f t="shared" si="106"/>
        <v>-2.1573926475335665</v>
      </c>
      <c r="M371" s="6"/>
      <c r="N371" s="2">
        <f t="shared" si="119"/>
        <v>-19.158956676860342</v>
      </c>
    </row>
    <row r="372" spans="1:14" x14ac:dyDescent="0.3">
      <c r="A372">
        <v>1</v>
      </c>
      <c r="B372">
        <v>15</v>
      </c>
      <c r="C372">
        <v>1</v>
      </c>
      <c r="D372" s="16">
        <v>8.4</v>
      </c>
      <c r="E372" s="11">
        <v>7.7104226310000001</v>
      </c>
      <c r="F372" s="9">
        <f t="shared" si="115"/>
        <v>10.894344450364541</v>
      </c>
      <c r="G372" s="8">
        <v>6.5609999999999999</v>
      </c>
      <c r="H372" s="15">
        <v>6.6530699999999996E-3</v>
      </c>
      <c r="I372" s="17">
        <f t="shared" si="118"/>
        <v>32.08577441253037</v>
      </c>
      <c r="J372" s="16">
        <v>4.5</v>
      </c>
      <c r="K372" s="9">
        <v>18.93</v>
      </c>
      <c r="L372" s="14">
        <f t="shared" si="106"/>
        <v>-3.463763572284416</v>
      </c>
      <c r="M372" s="6"/>
      <c r="N372" s="2">
        <f t="shared" si="119"/>
        <v>-31.049252293577979</v>
      </c>
    </row>
    <row r="373" spans="1:14" x14ac:dyDescent="0.3">
      <c r="A373">
        <v>1</v>
      </c>
      <c r="B373">
        <v>15</v>
      </c>
      <c r="C373">
        <v>1</v>
      </c>
      <c r="D373" s="16">
        <v>9.9</v>
      </c>
      <c r="E373" s="11">
        <v>7.7104226310000001</v>
      </c>
      <c r="F373" s="9">
        <f t="shared" si="115"/>
        <v>12.83976310221535</v>
      </c>
      <c r="G373" s="8">
        <v>6.5609999999999999</v>
      </c>
      <c r="H373" s="15">
        <v>6.6530699999999996E-3</v>
      </c>
      <c r="I373" s="17">
        <f t="shared" si="118"/>
        <v>37.815376986196505</v>
      </c>
      <c r="J373" s="16">
        <v>4.5</v>
      </c>
      <c r="K373" s="9">
        <v>23.04</v>
      </c>
      <c r="L373" s="14">
        <f t="shared" si="106"/>
        <v>-4.2724085018788314</v>
      </c>
      <c r="M373" s="6"/>
      <c r="N373" s="2">
        <f t="shared" si="119"/>
        <v>-45.995449541284401</v>
      </c>
    </row>
    <row r="374" spans="1:14" x14ac:dyDescent="0.3">
      <c r="A374">
        <v>1</v>
      </c>
      <c r="B374">
        <v>15</v>
      </c>
      <c r="C374">
        <v>2</v>
      </c>
      <c r="D374" s="16">
        <v>1.4</v>
      </c>
      <c r="E374" s="11">
        <v>7.7104226310000001</v>
      </c>
      <c r="F374" s="9">
        <f t="shared" si="115"/>
        <v>1.8157240750607566</v>
      </c>
      <c r="G374" s="8">
        <v>6.5609999999999999</v>
      </c>
      <c r="H374" s="15">
        <v>3.3265349999999998E-3</v>
      </c>
      <c r="I374" s="17">
        <f>F374/((E374*10^-4)/(G374*10^-2)*9.81)^(1/2)</f>
        <v>5.3476290687550607</v>
      </c>
      <c r="J374" s="16">
        <v>4.5</v>
      </c>
      <c r="K374" s="9">
        <v>0.43</v>
      </c>
      <c r="L374" s="14">
        <f t="shared" si="106"/>
        <v>59.987246931051232</v>
      </c>
      <c r="M374" s="6"/>
      <c r="N374" s="2">
        <f>-(1.7*K374^2)/19.62</f>
        <v>-1.6020897043832819E-2</v>
      </c>
    </row>
    <row r="375" spans="1:14" x14ac:dyDescent="0.3">
      <c r="A375">
        <v>1</v>
      </c>
      <c r="B375">
        <v>15</v>
      </c>
      <c r="C375">
        <v>2</v>
      </c>
      <c r="D375" s="16">
        <v>2.8</v>
      </c>
      <c r="E375" s="11">
        <v>7.7104226310000001</v>
      </c>
      <c r="F375" s="9">
        <f t="shared" si="115"/>
        <v>3.6314481501215132</v>
      </c>
      <c r="G375" s="8">
        <v>6.5609999999999999</v>
      </c>
      <c r="H375" s="15">
        <v>3.3265349999999998E-3</v>
      </c>
      <c r="I375" s="17">
        <f t="shared" ref="I375:I380" si="120">F375/((E375*10^-4)/(G375*10^-2)*9.81)^(1/2)</f>
        <v>10.695258137510121</v>
      </c>
      <c r="J375" s="16">
        <v>4.5</v>
      </c>
      <c r="K375" s="9">
        <v>2.25</v>
      </c>
      <c r="L375" s="14">
        <f t="shared" si="106"/>
        <v>14.368036526962904</v>
      </c>
      <c r="M375" s="6"/>
      <c r="N375" s="2">
        <f t="shared" ref="N375:N380" si="121">-(1.7*K375^2)/19.62</f>
        <v>-0.43864678899082565</v>
      </c>
    </row>
    <row r="376" spans="1:14" x14ac:dyDescent="0.3">
      <c r="A376">
        <v>1</v>
      </c>
      <c r="B376">
        <v>15</v>
      </c>
      <c r="C376">
        <v>2</v>
      </c>
      <c r="D376" s="16">
        <v>4.2</v>
      </c>
      <c r="E376" s="11">
        <v>7.7104226310000001</v>
      </c>
      <c r="F376" s="9">
        <f t="shared" si="115"/>
        <v>5.4471722251822703</v>
      </c>
      <c r="G376" s="8">
        <v>6.5609999999999999</v>
      </c>
      <c r="H376" s="15">
        <v>3.3265349999999998E-3</v>
      </c>
      <c r="I376" s="17">
        <f t="shared" si="120"/>
        <v>16.042887206265185</v>
      </c>
      <c r="J376" s="16">
        <v>4.5</v>
      </c>
      <c r="K376" s="9">
        <v>8.08</v>
      </c>
      <c r="L376" s="14">
        <f t="shared" si="106"/>
        <v>2.9353452378529816</v>
      </c>
      <c r="M376" s="6"/>
      <c r="N376" s="2">
        <f t="shared" si="121"/>
        <v>-5.6568236493374107</v>
      </c>
    </row>
    <row r="377" spans="1:14" x14ac:dyDescent="0.3">
      <c r="A377">
        <v>1</v>
      </c>
      <c r="B377">
        <v>15</v>
      </c>
      <c r="C377">
        <v>2</v>
      </c>
      <c r="D377" s="16">
        <v>5.6</v>
      </c>
      <c r="E377" s="11">
        <v>7.7104226310000001</v>
      </c>
      <c r="F377" s="9">
        <f t="shared" si="115"/>
        <v>7.2628963002430265</v>
      </c>
      <c r="G377" s="8">
        <v>6.5609999999999999</v>
      </c>
      <c r="H377" s="15">
        <v>3.3265349999999998E-3</v>
      </c>
      <c r="I377" s="17">
        <f t="shared" si="120"/>
        <v>21.390516275020243</v>
      </c>
      <c r="J377" s="16">
        <v>4.5</v>
      </c>
      <c r="K377" s="9">
        <v>15.53</v>
      </c>
      <c r="L377" s="14">
        <f t="shared" si="106"/>
        <v>-4.0175424691052006</v>
      </c>
      <c r="M377" s="6"/>
      <c r="N377" s="2">
        <f t="shared" si="121"/>
        <v>-20.897427624872577</v>
      </c>
    </row>
    <row r="378" spans="1:14" x14ac:dyDescent="0.3">
      <c r="A378">
        <v>1</v>
      </c>
      <c r="B378">
        <v>15</v>
      </c>
      <c r="C378">
        <v>2</v>
      </c>
      <c r="D378" s="16">
        <v>7</v>
      </c>
      <c r="E378" s="11">
        <v>7.7104226310000001</v>
      </c>
      <c r="F378" s="9">
        <f t="shared" si="115"/>
        <v>9.0786203753037835</v>
      </c>
      <c r="G378" s="8">
        <v>6.5609999999999999</v>
      </c>
      <c r="H378" s="15">
        <v>3.3265349999999998E-3</v>
      </c>
      <c r="I378" s="17">
        <f t="shared" si="120"/>
        <v>26.738145343775308</v>
      </c>
      <c r="J378" s="16">
        <v>4.5</v>
      </c>
      <c r="K378" s="9">
        <v>22.61</v>
      </c>
      <c r="L378" s="14">
        <f t="shared" si="106"/>
        <v>-8.1408162683820056</v>
      </c>
      <c r="M378" s="6"/>
      <c r="N378" s="2">
        <f t="shared" si="121"/>
        <v>-44.294626401630978</v>
      </c>
    </row>
    <row r="379" spans="1:14" x14ac:dyDescent="0.3">
      <c r="A379">
        <v>1</v>
      </c>
      <c r="B379">
        <v>15</v>
      </c>
      <c r="C379">
        <v>2</v>
      </c>
      <c r="D379" s="16">
        <v>8.4</v>
      </c>
      <c r="E379" s="11">
        <v>7.7104226310000001</v>
      </c>
      <c r="F379" s="9">
        <f t="shared" si="115"/>
        <v>10.894344450364541</v>
      </c>
      <c r="G379" s="8">
        <v>6.5609999999999999</v>
      </c>
      <c r="H379" s="15">
        <v>3.3265349999999998E-3</v>
      </c>
      <c r="I379" s="17">
        <f t="shared" si="120"/>
        <v>32.08577441253037</v>
      </c>
      <c r="J379" s="16">
        <v>4.5</v>
      </c>
      <c r="K379" s="9">
        <v>26.39</v>
      </c>
      <c r="L379" s="14">
        <f t="shared" si="106"/>
        <v>-8.3063284210787618</v>
      </c>
      <c r="M379" s="6"/>
      <c r="N379" s="2">
        <f t="shared" si="121"/>
        <v>-60.34325025484199</v>
      </c>
    </row>
    <row r="380" spans="1:14" x14ac:dyDescent="0.3">
      <c r="A380">
        <v>1</v>
      </c>
      <c r="B380">
        <v>15</v>
      </c>
      <c r="C380">
        <v>2</v>
      </c>
      <c r="D380" s="16">
        <v>9.9</v>
      </c>
      <c r="E380" s="11">
        <v>7.7104226310000001</v>
      </c>
      <c r="F380" s="9">
        <f t="shared" si="115"/>
        <v>12.83976310221535</v>
      </c>
      <c r="G380" s="8">
        <v>6.5609999999999999</v>
      </c>
      <c r="H380" s="15">
        <v>3.3265349999999998E-3</v>
      </c>
      <c r="I380" s="17">
        <f t="shared" si="120"/>
        <v>37.815376986196505</v>
      </c>
      <c r="J380" s="16">
        <v>4.5</v>
      </c>
      <c r="K380" s="9">
        <v>31.68</v>
      </c>
      <c r="L380" s="14">
        <f t="shared" si="106"/>
        <v>-9.1476342514191522</v>
      </c>
      <c r="M380" s="6"/>
      <c r="N380" s="2">
        <f t="shared" si="121"/>
        <v>-86.960146788990812</v>
      </c>
    </row>
    <row r="381" spans="1:14" x14ac:dyDescent="0.3">
      <c r="A381">
        <v>1</v>
      </c>
      <c r="B381">
        <v>15</v>
      </c>
      <c r="C381">
        <v>4</v>
      </c>
      <c r="D381" s="16">
        <v>1.4</v>
      </c>
      <c r="E381" s="11">
        <v>7.7104226310000001</v>
      </c>
      <c r="F381" s="9">
        <f t="shared" si="115"/>
        <v>1.8157240750607566</v>
      </c>
      <c r="G381" s="8">
        <v>6.5609999999999999</v>
      </c>
      <c r="H381" s="15">
        <v>1.6632680000000001E-3</v>
      </c>
      <c r="I381" s="17">
        <f>F381/((E381*10^-4)/(G381*10^-2)*9.81)^(1/2)</f>
        <v>5.3476290687550607</v>
      </c>
      <c r="J381" s="16">
        <v>4.5</v>
      </c>
      <c r="K381" s="9">
        <v>0.66</v>
      </c>
      <c r="L381" s="14">
        <f t="shared" si="106"/>
        <v>59.857975203895222</v>
      </c>
      <c r="M381" s="6"/>
      <c r="N381" s="2">
        <f>-(1.7*K381^2)/19.62</f>
        <v>-3.7743119266055045E-2</v>
      </c>
    </row>
    <row r="382" spans="1:14" x14ac:dyDescent="0.3">
      <c r="A382">
        <v>1</v>
      </c>
      <c r="B382">
        <v>15</v>
      </c>
      <c r="C382">
        <v>4</v>
      </c>
      <c r="D382" s="16">
        <v>2.8</v>
      </c>
      <c r="E382" s="11">
        <v>7.7104226310000001</v>
      </c>
      <c r="F382" s="9">
        <f t="shared" si="115"/>
        <v>3.6314481501215132</v>
      </c>
      <c r="G382" s="8">
        <v>6.5609999999999999</v>
      </c>
      <c r="H382" s="15">
        <v>1.6632680000000001E-3</v>
      </c>
      <c r="I382" s="17">
        <f t="shared" ref="I382:I387" si="122">F382/((E382*10^-4)/(G382*10^-2)*9.81)^(1/2)</f>
        <v>10.695258137510121</v>
      </c>
      <c r="J382" s="16">
        <v>4.5</v>
      </c>
      <c r="K382" s="9">
        <v>2.58</v>
      </c>
      <c r="L382" s="14">
        <f t="shared" si="106"/>
        <v>14.162565639533742</v>
      </c>
      <c r="M382" s="6"/>
      <c r="N382" s="2">
        <f t="shared" ref="N382:N387" si="123">-(1.7*K382^2)/19.62</f>
        <v>-0.57675229357798163</v>
      </c>
    </row>
    <row r="383" spans="1:14" x14ac:dyDescent="0.3">
      <c r="A383">
        <v>1</v>
      </c>
      <c r="B383">
        <v>15</v>
      </c>
      <c r="C383">
        <v>4</v>
      </c>
      <c r="D383" s="16">
        <v>4.2</v>
      </c>
      <c r="E383" s="11">
        <v>7.7104226310000001</v>
      </c>
      <c r="F383" s="9">
        <f t="shared" si="115"/>
        <v>5.4471722251822703</v>
      </c>
      <c r="G383" s="8">
        <v>6.5609999999999999</v>
      </c>
      <c r="H383" s="15">
        <v>1.6632680000000001E-3</v>
      </c>
      <c r="I383" s="17">
        <f t="shared" si="122"/>
        <v>16.042887206265185</v>
      </c>
      <c r="J383" s="16">
        <v>4.5</v>
      </c>
      <c r="K383" s="9">
        <v>8.0500000000000007</v>
      </c>
      <c r="L383" s="14">
        <f t="shared" si="106"/>
        <v>2.9630696489555794</v>
      </c>
      <c r="M383" s="6"/>
      <c r="N383" s="2">
        <f t="shared" si="123"/>
        <v>-5.6148955147808364</v>
      </c>
    </row>
    <row r="384" spans="1:14" x14ac:dyDescent="0.3">
      <c r="A384">
        <v>1</v>
      </c>
      <c r="B384">
        <v>15</v>
      </c>
      <c r="C384">
        <v>4</v>
      </c>
      <c r="D384" s="16">
        <v>5.6</v>
      </c>
      <c r="E384" s="11">
        <v>7.7104226310000001</v>
      </c>
      <c r="F384" s="9">
        <f t="shared" si="115"/>
        <v>7.2628963002430265</v>
      </c>
      <c r="G384" s="8">
        <v>6.5609999999999999</v>
      </c>
      <c r="H384" s="15">
        <v>1.6632680000000001E-3</v>
      </c>
      <c r="I384" s="17">
        <f t="shared" si="122"/>
        <v>21.390516275020243</v>
      </c>
      <c r="J384" s="16">
        <v>4.5</v>
      </c>
      <c r="K384" s="9">
        <v>16.28</v>
      </c>
      <c r="L384" s="14">
        <f t="shared" si="106"/>
        <v>-4.7864146845580491</v>
      </c>
      <c r="M384" s="6"/>
      <c r="N384" s="2">
        <f t="shared" si="123"/>
        <v>-22.964591233435272</v>
      </c>
    </row>
    <row r="385" spans="1:14" x14ac:dyDescent="0.3">
      <c r="A385">
        <v>1</v>
      </c>
      <c r="B385">
        <v>15</v>
      </c>
      <c r="C385">
        <v>4</v>
      </c>
      <c r="D385" s="16">
        <v>7</v>
      </c>
      <c r="E385" s="11">
        <v>7.7104226310000001</v>
      </c>
      <c r="F385" s="9">
        <f t="shared" si="115"/>
        <v>9.0786203753037835</v>
      </c>
      <c r="G385" s="8">
        <v>6.5609999999999999</v>
      </c>
      <c r="H385" s="15">
        <v>1.6632680000000001E-3</v>
      </c>
      <c r="I385" s="17">
        <f t="shared" si="122"/>
        <v>26.738145343775308</v>
      </c>
      <c r="J385" s="16">
        <v>4.5</v>
      </c>
      <c r="K385" s="9">
        <v>21.82</v>
      </c>
      <c r="L385" s="14">
        <f t="shared" si="106"/>
        <v>-7.416859532577023</v>
      </c>
      <c r="M385" s="6"/>
      <c r="N385" s="2">
        <f t="shared" si="123"/>
        <v>-41.253367991845053</v>
      </c>
    </row>
    <row r="386" spans="1:14" x14ac:dyDescent="0.3">
      <c r="A386">
        <v>1</v>
      </c>
      <c r="B386">
        <v>15</v>
      </c>
      <c r="C386">
        <v>4</v>
      </c>
      <c r="D386" s="16">
        <v>8.4</v>
      </c>
      <c r="E386" s="11">
        <v>7.7104226310000001</v>
      </c>
      <c r="F386" s="9">
        <f t="shared" si="115"/>
        <v>10.894344450364541</v>
      </c>
      <c r="G386" s="8">
        <v>6.5609999999999999</v>
      </c>
      <c r="H386" s="15">
        <v>1.6632680000000001E-3</v>
      </c>
      <c r="I386" s="17">
        <f t="shared" si="122"/>
        <v>32.08577441253037</v>
      </c>
      <c r="J386" s="16">
        <v>4.5</v>
      </c>
      <c r="K386" s="9">
        <v>27.43</v>
      </c>
      <c r="L386" s="14">
        <f t="shared" si="106"/>
        <v>-9.1080503252756557</v>
      </c>
      <c r="M386" s="6"/>
      <c r="N386" s="2">
        <f t="shared" si="123"/>
        <v>-65.193085117227312</v>
      </c>
    </row>
    <row r="387" spans="1:14" x14ac:dyDescent="0.3">
      <c r="A387">
        <v>1</v>
      </c>
      <c r="B387">
        <v>15</v>
      </c>
      <c r="C387">
        <v>4</v>
      </c>
      <c r="D387" s="16">
        <v>9.9</v>
      </c>
      <c r="E387" s="11">
        <v>7.7104226310000001</v>
      </c>
      <c r="F387" s="9">
        <f t="shared" si="115"/>
        <v>12.83976310221535</v>
      </c>
      <c r="G387" s="8">
        <v>6.5609999999999999</v>
      </c>
      <c r="H387" s="15">
        <v>1.6632680000000001E-3</v>
      </c>
      <c r="I387" s="17">
        <f t="shared" si="122"/>
        <v>37.815376986196505</v>
      </c>
      <c r="J387" s="16">
        <v>4.5</v>
      </c>
      <c r="K387" s="9">
        <v>34.71</v>
      </c>
      <c r="L387" s="14">
        <f t="shared" ref="L387:L450" si="124">(10.33+N387-0.234)/((F387^2)/19.62)</f>
        <v>-11.221975467604974</v>
      </c>
      <c r="M387" s="6"/>
      <c r="N387" s="2">
        <f t="shared" si="123"/>
        <v>-104.39005963302752</v>
      </c>
    </row>
    <row r="388" spans="1:14" x14ac:dyDescent="0.3">
      <c r="A388">
        <v>1</v>
      </c>
      <c r="B388">
        <v>15</v>
      </c>
      <c r="C388">
        <v>6</v>
      </c>
      <c r="D388" s="16">
        <v>1.4</v>
      </c>
      <c r="E388" s="11">
        <v>7.7104226310000001</v>
      </c>
      <c r="F388" s="9">
        <f t="shared" si="115"/>
        <v>1.8157240750607566</v>
      </c>
      <c r="G388" s="8">
        <v>6.5609999999999999</v>
      </c>
      <c r="H388" s="15">
        <v>1.108845E-3</v>
      </c>
      <c r="I388" s="17">
        <f>F388/((E388*10^-4)/(G388*10^-2)*9.81)^(1/2)</f>
        <v>5.3476290687550607</v>
      </c>
      <c r="J388" s="16">
        <v>4.5</v>
      </c>
      <c r="K388" s="9">
        <v>0.5</v>
      </c>
      <c r="L388" s="14">
        <f t="shared" si="124"/>
        <v>59.953678564725521</v>
      </c>
      <c r="M388" s="6"/>
      <c r="N388" s="2">
        <f>-(1.7*K388^2)/19.62</f>
        <v>-2.1661569826707441E-2</v>
      </c>
    </row>
    <row r="389" spans="1:14" x14ac:dyDescent="0.3">
      <c r="A389">
        <v>1</v>
      </c>
      <c r="B389">
        <v>15</v>
      </c>
      <c r="C389">
        <v>6</v>
      </c>
      <c r="D389" s="16">
        <v>2.8</v>
      </c>
      <c r="E389" s="11">
        <v>7.7104226310000001</v>
      </c>
      <c r="F389" s="9">
        <f t="shared" si="115"/>
        <v>3.6314481501215132</v>
      </c>
      <c r="G389" s="8">
        <v>6.5609999999999999</v>
      </c>
      <c r="H389" s="15">
        <v>1.108845E-3</v>
      </c>
      <c r="I389" s="17">
        <f t="shared" ref="I389:I394" si="125">F389/((E389*10^-4)/(G389*10^-2)*9.81)^(1/2)</f>
        <v>10.695258137510121</v>
      </c>
      <c r="J389" s="16">
        <v>4.5</v>
      </c>
      <c r="K389" s="9">
        <v>2.72</v>
      </c>
      <c r="L389" s="14">
        <f t="shared" si="124"/>
        <v>14.066913843014239</v>
      </c>
      <c r="M389" s="6"/>
      <c r="N389" s="2">
        <f t="shared" ref="N389:N394" si="126">-(1.7*K389^2)/19.62</f>
        <v>-0.64104383282364941</v>
      </c>
    </row>
    <row r="390" spans="1:14" x14ac:dyDescent="0.3">
      <c r="A390">
        <v>1</v>
      </c>
      <c r="B390">
        <v>15</v>
      </c>
      <c r="C390">
        <v>6</v>
      </c>
      <c r="D390" s="16">
        <v>4.2</v>
      </c>
      <c r="E390" s="11">
        <v>7.7104226310000001</v>
      </c>
      <c r="F390" s="9">
        <f t="shared" si="115"/>
        <v>5.4471722251822703</v>
      </c>
      <c r="G390" s="8">
        <v>6.5609999999999999</v>
      </c>
      <c r="H390" s="15">
        <v>1.108845E-3</v>
      </c>
      <c r="I390" s="17">
        <f t="shared" si="125"/>
        <v>16.042887206265185</v>
      </c>
      <c r="J390" s="16">
        <v>4.5</v>
      </c>
      <c r="K390" s="9">
        <v>9</v>
      </c>
      <c r="L390" s="14">
        <f t="shared" si="124"/>
        <v>2.035055288892893</v>
      </c>
      <c r="M390" s="6"/>
      <c r="N390" s="2">
        <f t="shared" si="126"/>
        <v>-7.0183486238532105</v>
      </c>
    </row>
    <row r="391" spans="1:14" x14ac:dyDescent="0.3">
      <c r="A391">
        <v>1</v>
      </c>
      <c r="B391">
        <v>15</v>
      </c>
      <c r="C391">
        <v>6</v>
      </c>
      <c r="D391" s="16">
        <v>5.6</v>
      </c>
      <c r="E391" s="11">
        <v>7.7104226310000001</v>
      </c>
      <c r="F391" s="9">
        <f t="shared" si="115"/>
        <v>7.2628963002430265</v>
      </c>
      <c r="G391" s="8">
        <v>6.5609999999999999</v>
      </c>
      <c r="H391" s="15">
        <v>1.108845E-3</v>
      </c>
      <c r="I391" s="17">
        <f t="shared" si="125"/>
        <v>21.390516275020243</v>
      </c>
      <c r="J391" s="16">
        <v>4.5</v>
      </c>
      <c r="K391" s="9">
        <v>15.3</v>
      </c>
      <c r="L391" s="14">
        <f t="shared" si="124"/>
        <v>-3.7890191119825096</v>
      </c>
      <c r="M391" s="6"/>
      <c r="N391" s="2">
        <f t="shared" si="126"/>
        <v>-20.283027522935779</v>
      </c>
    </row>
    <row r="392" spans="1:14" x14ac:dyDescent="0.3">
      <c r="A392">
        <v>1</v>
      </c>
      <c r="B392">
        <v>15</v>
      </c>
      <c r="C392">
        <v>6</v>
      </c>
      <c r="D392" s="16">
        <v>7</v>
      </c>
      <c r="E392" s="11">
        <v>7.7104226310000001</v>
      </c>
      <c r="F392" s="9">
        <f t="shared" si="115"/>
        <v>9.0786203753037835</v>
      </c>
      <c r="G392" s="8">
        <v>6.5609999999999999</v>
      </c>
      <c r="H392" s="15">
        <v>1.108845E-3</v>
      </c>
      <c r="I392" s="17">
        <f t="shared" si="125"/>
        <v>26.738145343775308</v>
      </c>
      <c r="J392" s="16">
        <v>4.5</v>
      </c>
      <c r="K392" s="9">
        <v>19.88</v>
      </c>
      <c r="L392" s="14">
        <f t="shared" si="124"/>
        <v>-5.7482796867905464</v>
      </c>
      <c r="M392" s="6"/>
      <c r="N392" s="2">
        <f t="shared" si="126"/>
        <v>-34.243857288481138</v>
      </c>
    </row>
    <row r="393" spans="1:14" x14ac:dyDescent="0.3">
      <c r="A393">
        <v>1</v>
      </c>
      <c r="B393">
        <v>15</v>
      </c>
      <c r="C393">
        <v>6</v>
      </c>
      <c r="D393" s="16">
        <v>8.4</v>
      </c>
      <c r="E393" s="11">
        <v>7.7104226310000001</v>
      </c>
      <c r="F393" s="9">
        <f t="shared" si="115"/>
        <v>10.894344450364541</v>
      </c>
      <c r="G393" s="8">
        <v>6.5609999999999999</v>
      </c>
      <c r="H393" s="15">
        <v>1.108845E-3</v>
      </c>
      <c r="I393" s="17">
        <f t="shared" si="125"/>
        <v>32.08577441253037</v>
      </c>
      <c r="J393" s="16">
        <v>4.5</v>
      </c>
      <c r="K393" s="9">
        <v>23.66</v>
      </c>
      <c r="L393" s="14">
        <f t="shared" si="124"/>
        <v>-6.3492264900908735</v>
      </c>
      <c r="M393" s="6"/>
      <c r="N393" s="2">
        <f t="shared" si="126"/>
        <v>-48.504205912334349</v>
      </c>
    </row>
    <row r="394" spans="1:14" x14ac:dyDescent="0.3">
      <c r="A394">
        <v>1</v>
      </c>
      <c r="B394">
        <v>15</v>
      </c>
      <c r="C394">
        <v>6</v>
      </c>
      <c r="D394" s="16">
        <v>9.9</v>
      </c>
      <c r="E394" s="11">
        <v>7.7104226310000001</v>
      </c>
      <c r="F394" s="9">
        <f t="shared" si="115"/>
        <v>12.83976310221535</v>
      </c>
      <c r="G394" s="8">
        <v>6.5609999999999999</v>
      </c>
      <c r="H394" s="15">
        <v>1.108845E-3</v>
      </c>
      <c r="I394" s="17">
        <f t="shared" si="125"/>
        <v>37.815376986196505</v>
      </c>
      <c r="J394" s="16">
        <v>4.5</v>
      </c>
      <c r="K394" s="9">
        <v>25.91</v>
      </c>
      <c r="L394" s="14">
        <f t="shared" si="124"/>
        <v>-5.7210785880219168</v>
      </c>
      <c r="M394" s="6"/>
      <c r="N394" s="2">
        <f t="shared" si="126"/>
        <v>-58.16808205912335</v>
      </c>
    </row>
    <row r="395" spans="1:14" x14ac:dyDescent="0.3">
      <c r="A395">
        <v>1</v>
      </c>
      <c r="B395">
        <v>20</v>
      </c>
      <c r="C395">
        <v>1</v>
      </c>
      <c r="D395" s="16">
        <v>1.8</v>
      </c>
      <c r="E395" s="11">
        <v>7.7104226310000001</v>
      </c>
      <c r="F395" s="9">
        <f t="shared" si="115"/>
        <v>2.3345023822209727</v>
      </c>
      <c r="G395" s="8">
        <v>7.0444000000000004</v>
      </c>
      <c r="H395" s="15">
        <v>7.5770359999999997E-3</v>
      </c>
      <c r="I395" s="17">
        <f>F395/((E395*10^-4)/(G395*10^-2)*9.81)^(1/2)</f>
        <v>7.1243087117233248</v>
      </c>
      <c r="J395" s="16">
        <v>3</v>
      </c>
      <c r="K395" s="9">
        <v>0.5</v>
      </c>
      <c r="L395" s="14">
        <f t="shared" si="124"/>
        <v>36.268274687303098</v>
      </c>
      <c r="M395" s="6"/>
      <c r="N395" s="2">
        <f>-(1.7*K395^2)/19.62</f>
        <v>-2.1661569826707441E-2</v>
      </c>
    </row>
    <row r="396" spans="1:14" x14ac:dyDescent="0.3">
      <c r="A396">
        <v>1</v>
      </c>
      <c r="B396">
        <v>20</v>
      </c>
      <c r="C396">
        <v>1</v>
      </c>
      <c r="D396" s="16">
        <v>3.6</v>
      </c>
      <c r="E396" s="11">
        <v>7.7104226310000001</v>
      </c>
      <c r="F396" s="9">
        <f t="shared" si="115"/>
        <v>4.6690047644419455</v>
      </c>
      <c r="G396" s="8">
        <v>7.0444000000000004</v>
      </c>
      <c r="H396" s="15">
        <v>7.5770359999999997E-3</v>
      </c>
      <c r="I396" s="17">
        <f t="shared" ref="I396:I401" si="127">F396/((E396*10^-4)/(G396*10^-2)*9.81)^(1/2)</f>
        <v>14.24861742344665</v>
      </c>
      <c r="J396" s="16">
        <v>4.5</v>
      </c>
      <c r="K396" s="9">
        <v>1.85</v>
      </c>
      <c r="L396" s="14">
        <f t="shared" si="124"/>
        <v>8.8196674056707689</v>
      </c>
      <c r="M396" s="6"/>
      <c r="N396" s="2">
        <f t="shared" ref="N396:N401" si="128">-(1.7*K396^2)/19.62</f>
        <v>-0.29654689092762487</v>
      </c>
    </row>
    <row r="397" spans="1:14" x14ac:dyDescent="0.3">
      <c r="A397">
        <v>1</v>
      </c>
      <c r="B397">
        <v>20</v>
      </c>
      <c r="C397">
        <v>1</v>
      </c>
      <c r="D397" s="16">
        <v>5.4</v>
      </c>
      <c r="E397" s="11">
        <v>7.7104226310000001</v>
      </c>
      <c r="F397" s="9">
        <f t="shared" si="115"/>
        <v>7.0035071466629182</v>
      </c>
      <c r="G397" s="8">
        <v>7.0444000000000004</v>
      </c>
      <c r="H397" s="15">
        <v>7.5770359999999997E-3</v>
      </c>
      <c r="I397" s="17">
        <f t="shared" si="127"/>
        <v>21.372926135169976</v>
      </c>
      <c r="J397" s="16">
        <v>4.5</v>
      </c>
      <c r="K397" s="9">
        <v>5.85</v>
      </c>
      <c r="L397" s="14">
        <f t="shared" si="124"/>
        <v>2.852350700907643</v>
      </c>
      <c r="M397" s="6"/>
      <c r="N397" s="2">
        <f t="shared" si="128"/>
        <v>-2.965252293577981</v>
      </c>
    </row>
    <row r="398" spans="1:14" x14ac:dyDescent="0.3">
      <c r="A398">
        <v>1</v>
      </c>
      <c r="B398">
        <v>20</v>
      </c>
      <c r="C398">
        <v>1</v>
      </c>
      <c r="D398" s="16">
        <v>7.2</v>
      </c>
      <c r="E398" s="11">
        <v>7.7104226310000001</v>
      </c>
      <c r="F398" s="9">
        <f t="shared" si="115"/>
        <v>9.3380095288838909</v>
      </c>
      <c r="G398" s="8">
        <v>7.0444000000000004</v>
      </c>
      <c r="H398" s="15">
        <v>7.5770359999999997E-3</v>
      </c>
      <c r="I398" s="17">
        <f t="shared" si="127"/>
        <v>28.497234846893299</v>
      </c>
      <c r="J398" s="16">
        <v>4.5</v>
      </c>
      <c r="K398" s="9">
        <v>9.83</v>
      </c>
      <c r="L398" s="14">
        <f t="shared" si="124"/>
        <v>0.38778671952251154</v>
      </c>
      <c r="M398" s="6"/>
      <c r="N398" s="2">
        <f t="shared" si="128"/>
        <v>-8.3725346585117215</v>
      </c>
    </row>
    <row r="399" spans="1:14" x14ac:dyDescent="0.3">
      <c r="A399">
        <v>1</v>
      </c>
      <c r="B399">
        <v>20</v>
      </c>
      <c r="C399">
        <v>1</v>
      </c>
      <c r="D399" s="16">
        <v>9</v>
      </c>
      <c r="E399" s="11">
        <v>7.7104226310000001</v>
      </c>
      <c r="F399" s="9">
        <f t="shared" si="115"/>
        <v>11.672511911104865</v>
      </c>
      <c r="G399" s="8">
        <v>7.0444000000000004</v>
      </c>
      <c r="H399" s="15">
        <v>7.5770359999999997E-3</v>
      </c>
      <c r="I399" s="17">
        <f t="shared" si="127"/>
        <v>35.621543558616629</v>
      </c>
      <c r="J399" s="16">
        <v>4.5</v>
      </c>
      <c r="K399" s="9">
        <v>13.62</v>
      </c>
      <c r="L399" s="14">
        <f t="shared" si="124"/>
        <v>-0.86074188857587142</v>
      </c>
      <c r="M399" s="6"/>
      <c r="N399" s="2">
        <f t="shared" si="128"/>
        <v>-16.073266055045867</v>
      </c>
    </row>
    <row r="400" spans="1:14" x14ac:dyDescent="0.3">
      <c r="A400">
        <v>1</v>
      </c>
      <c r="B400">
        <v>20</v>
      </c>
      <c r="C400">
        <v>1</v>
      </c>
      <c r="D400" s="16">
        <v>10.8</v>
      </c>
      <c r="E400" s="11">
        <v>7.7104226310000001</v>
      </c>
      <c r="F400" s="9">
        <f t="shared" si="115"/>
        <v>14.007014293325836</v>
      </c>
      <c r="G400" s="8">
        <v>7.0444000000000004</v>
      </c>
      <c r="H400" s="15">
        <v>7.5770359999999997E-3</v>
      </c>
      <c r="I400" s="17">
        <f t="shared" si="127"/>
        <v>42.745852270339952</v>
      </c>
      <c r="J400" s="16">
        <v>4.5</v>
      </c>
      <c r="K400" s="9">
        <v>16.920000000000002</v>
      </c>
      <c r="L400" s="14">
        <f t="shared" si="124"/>
        <v>-1.4709917578163796</v>
      </c>
      <c r="M400" s="6"/>
      <c r="N400" s="2">
        <f t="shared" si="128"/>
        <v>-24.805651376146791</v>
      </c>
    </row>
    <row r="401" spans="1:14" x14ac:dyDescent="0.3">
      <c r="A401">
        <v>1</v>
      </c>
      <c r="B401">
        <v>20</v>
      </c>
      <c r="C401">
        <v>1</v>
      </c>
      <c r="D401" s="16">
        <v>12.8</v>
      </c>
      <c r="E401" s="11">
        <v>7.7104226310000001</v>
      </c>
      <c r="F401" s="9">
        <f t="shared" si="115"/>
        <v>16.600905829126919</v>
      </c>
      <c r="G401" s="8">
        <v>7.0444000000000004</v>
      </c>
      <c r="H401" s="15">
        <v>7.5770359999999997E-3</v>
      </c>
      <c r="I401" s="17">
        <f t="shared" si="127"/>
        <v>50.661750838921428</v>
      </c>
      <c r="J401" s="16">
        <v>4.5</v>
      </c>
      <c r="K401" s="9">
        <v>22.62</v>
      </c>
      <c r="L401" s="14">
        <f t="shared" si="124"/>
        <v>-2.4374824151064209</v>
      </c>
      <c r="M401" s="6"/>
      <c r="N401" s="2">
        <f t="shared" si="128"/>
        <v>-44.333816513761469</v>
      </c>
    </row>
    <row r="402" spans="1:14" x14ac:dyDescent="0.3">
      <c r="A402">
        <v>1</v>
      </c>
      <c r="B402">
        <v>20</v>
      </c>
      <c r="C402">
        <v>2</v>
      </c>
      <c r="D402" s="16">
        <v>1.8</v>
      </c>
      <c r="E402" s="11">
        <v>7.7104226310000001</v>
      </c>
      <c r="F402" s="9">
        <f t="shared" si="115"/>
        <v>2.3345023822209727</v>
      </c>
      <c r="G402" s="8">
        <v>7.0444000000000004</v>
      </c>
      <c r="H402" s="15">
        <v>3.7885179999999998E-3</v>
      </c>
      <c r="I402" s="17">
        <f>F402/((E402*10^-4)/(G402*10^-2)*9.81)^(1/2)</f>
        <v>7.1243087117233248</v>
      </c>
      <c r="J402" s="16">
        <v>4.5</v>
      </c>
      <c r="K402" s="9">
        <v>0.42</v>
      </c>
      <c r="L402" s="14">
        <f t="shared" si="124"/>
        <v>36.291232900937779</v>
      </c>
      <c r="M402" s="6"/>
      <c r="N402" s="2">
        <f>-(1.7*K402^2)/19.62</f>
        <v>-1.5284403669724765E-2</v>
      </c>
    </row>
    <row r="403" spans="1:14" x14ac:dyDescent="0.3">
      <c r="A403">
        <v>1</v>
      </c>
      <c r="B403">
        <v>20</v>
      </c>
      <c r="C403">
        <v>2</v>
      </c>
      <c r="D403" s="16">
        <v>3.6</v>
      </c>
      <c r="E403" s="11">
        <v>7.7104226310000001</v>
      </c>
      <c r="F403" s="9">
        <f t="shared" si="115"/>
        <v>4.6690047644419455</v>
      </c>
      <c r="G403" s="8">
        <v>7.0444000000000004</v>
      </c>
      <c r="H403" s="15">
        <v>3.7885179999999998E-3</v>
      </c>
      <c r="I403" s="17">
        <f t="shared" ref="I403:I408" si="129">F403/((E403*10^-4)/(G403*10^-2)*9.81)^(1/2)</f>
        <v>14.24861742344665</v>
      </c>
      <c r="J403" s="16">
        <v>4.5</v>
      </c>
      <c r="K403" s="9">
        <v>2.21</v>
      </c>
      <c r="L403" s="14">
        <f t="shared" si="124"/>
        <v>8.705687361348577</v>
      </c>
      <c r="M403" s="6"/>
      <c r="N403" s="2">
        <f t="shared" ref="N403:N408" si="130">-(1.7*K403^2)/19.62</f>
        <v>-0.42318909276248723</v>
      </c>
    </row>
    <row r="404" spans="1:14" x14ac:dyDescent="0.3">
      <c r="A404">
        <v>1</v>
      </c>
      <c r="B404">
        <v>20</v>
      </c>
      <c r="C404">
        <v>2</v>
      </c>
      <c r="D404" s="16">
        <v>5.4</v>
      </c>
      <c r="E404" s="11">
        <v>7.7104226310000001</v>
      </c>
      <c r="F404" s="9">
        <f t="shared" si="115"/>
        <v>7.0035071466629182</v>
      </c>
      <c r="G404" s="8">
        <v>7.0444000000000004</v>
      </c>
      <c r="H404" s="15">
        <v>3.7885179999999998E-3</v>
      </c>
      <c r="I404" s="17">
        <f t="shared" si="129"/>
        <v>21.372926135169976</v>
      </c>
      <c r="J404" s="16">
        <v>4.5</v>
      </c>
      <c r="K404" s="9">
        <v>7.47</v>
      </c>
      <c r="L404" s="14">
        <f t="shared" si="124"/>
        <v>2.1044619371777897</v>
      </c>
      <c r="M404" s="6"/>
      <c r="N404" s="2">
        <f t="shared" si="130"/>
        <v>-4.8349403669724769</v>
      </c>
    </row>
    <row r="405" spans="1:14" x14ac:dyDescent="0.3">
      <c r="A405">
        <v>1</v>
      </c>
      <c r="B405">
        <v>20</v>
      </c>
      <c r="C405">
        <v>2</v>
      </c>
      <c r="D405" s="16">
        <v>7.2</v>
      </c>
      <c r="E405" s="11">
        <v>7.7104226310000001</v>
      </c>
      <c r="F405" s="9">
        <f t="shared" si="115"/>
        <v>9.3380095288838909</v>
      </c>
      <c r="G405" s="8">
        <v>7.0444000000000004</v>
      </c>
      <c r="H405" s="15">
        <v>3.7885179999999998E-3</v>
      </c>
      <c r="I405" s="17">
        <f t="shared" si="129"/>
        <v>28.497234846893299</v>
      </c>
      <c r="J405" s="16">
        <v>4.5</v>
      </c>
      <c r="K405" s="9">
        <v>12.04</v>
      </c>
      <c r="L405" s="14">
        <f t="shared" si="124"/>
        <v>-0.55449627312445415</v>
      </c>
      <c r="M405" s="6"/>
      <c r="N405" s="2">
        <f t="shared" si="130"/>
        <v>-12.56038328236493</v>
      </c>
    </row>
    <row r="406" spans="1:14" x14ac:dyDescent="0.3">
      <c r="A406">
        <v>1</v>
      </c>
      <c r="B406">
        <v>20</v>
      </c>
      <c r="C406">
        <v>2</v>
      </c>
      <c r="D406" s="16">
        <v>9</v>
      </c>
      <c r="E406" s="11">
        <v>7.7104226310000001</v>
      </c>
      <c r="F406" s="9">
        <f t="shared" si="115"/>
        <v>11.672511911104865</v>
      </c>
      <c r="G406" s="8">
        <v>7.0444000000000004</v>
      </c>
      <c r="H406" s="15">
        <v>3.7885179999999998E-3</v>
      </c>
      <c r="I406" s="17">
        <f t="shared" si="129"/>
        <v>35.621543558616629</v>
      </c>
      <c r="J406" s="16">
        <v>4.5</v>
      </c>
      <c r="K406" s="9">
        <v>17.61</v>
      </c>
      <c r="L406" s="14">
        <f t="shared" si="124"/>
        <v>-2.4155083000576933</v>
      </c>
      <c r="M406" s="6"/>
      <c r="N406" s="2">
        <f t="shared" si="130"/>
        <v>-26.87005963302752</v>
      </c>
    </row>
    <row r="407" spans="1:14" x14ac:dyDescent="0.3">
      <c r="A407">
        <v>1</v>
      </c>
      <c r="B407">
        <v>20</v>
      </c>
      <c r="C407">
        <v>2</v>
      </c>
      <c r="D407" s="16">
        <v>10.8</v>
      </c>
      <c r="E407" s="11">
        <v>7.7104226310000001</v>
      </c>
      <c r="F407" s="9">
        <f t="shared" si="115"/>
        <v>14.007014293325836</v>
      </c>
      <c r="G407" s="8">
        <v>7.0444000000000004</v>
      </c>
      <c r="H407" s="15">
        <v>3.7885179999999998E-3</v>
      </c>
      <c r="I407" s="17">
        <f t="shared" si="129"/>
        <v>42.745852270339952</v>
      </c>
      <c r="J407" s="16">
        <v>4.5</v>
      </c>
      <c r="K407" s="9">
        <v>25.91</v>
      </c>
      <c r="L407" s="14">
        <f t="shared" si="124"/>
        <v>-4.8072952024350846</v>
      </c>
      <c r="M407" s="6"/>
      <c r="N407" s="2">
        <f t="shared" si="130"/>
        <v>-58.16808205912335</v>
      </c>
    </row>
    <row r="408" spans="1:14" x14ac:dyDescent="0.3">
      <c r="A408">
        <v>1</v>
      </c>
      <c r="B408">
        <v>20</v>
      </c>
      <c r="C408">
        <v>2</v>
      </c>
      <c r="D408" s="16">
        <v>12.9</v>
      </c>
      <c r="E408" s="11">
        <v>7.7104226310000001</v>
      </c>
      <c r="F408" s="9">
        <f t="shared" si="115"/>
        <v>16.73060040591697</v>
      </c>
      <c r="G408" s="8">
        <v>7.0444000000000004</v>
      </c>
      <c r="H408" s="15">
        <v>3.7885179999999998E-3</v>
      </c>
      <c r="I408" s="17">
        <f t="shared" si="129"/>
        <v>51.05754576735049</v>
      </c>
      <c r="J408" s="16">
        <v>4.5</v>
      </c>
      <c r="K408" s="9">
        <v>31.4</v>
      </c>
      <c r="L408" s="14">
        <f t="shared" si="124"/>
        <v>-5.2803854522928182</v>
      </c>
      <c r="M408" s="6"/>
      <c r="N408" s="2">
        <f t="shared" si="130"/>
        <v>-85.42976554536186</v>
      </c>
    </row>
    <row r="409" spans="1:14" x14ac:dyDescent="0.3">
      <c r="A409">
        <v>1</v>
      </c>
      <c r="B409">
        <v>20</v>
      </c>
      <c r="C409">
        <v>4</v>
      </c>
      <c r="D409" s="16">
        <v>1.8</v>
      </c>
      <c r="E409" s="11">
        <v>7.7104226310000001</v>
      </c>
      <c r="F409" s="9">
        <f t="shared" si="115"/>
        <v>2.3345023822209727</v>
      </c>
      <c r="G409" s="8">
        <v>7.0444000000000004</v>
      </c>
      <c r="H409" s="15">
        <v>1.8942589999999999E-3</v>
      </c>
      <c r="I409" s="17">
        <f>F409/((E409*10^-4)/(G409*10^-2)*9.81)^(1/2)</f>
        <v>7.1243087117233248</v>
      </c>
      <c r="J409" s="16">
        <v>4.5</v>
      </c>
      <c r="K409" s="9">
        <v>0.67</v>
      </c>
      <c r="L409" s="14">
        <f t="shared" si="124"/>
        <v>36.206231362684363</v>
      </c>
      <c r="M409" s="6"/>
      <c r="N409" s="2">
        <f>-(1.7*K409^2)/19.62</f>
        <v>-3.8895514780835881E-2</v>
      </c>
    </row>
    <row r="410" spans="1:14" x14ac:dyDescent="0.3">
      <c r="A410">
        <v>1</v>
      </c>
      <c r="B410">
        <v>20</v>
      </c>
      <c r="C410">
        <v>4</v>
      </c>
      <c r="D410" s="16">
        <v>3.6</v>
      </c>
      <c r="E410" s="11">
        <v>7.7104226310000001</v>
      </c>
      <c r="F410" s="9">
        <f t="shared" si="115"/>
        <v>4.6690047644419455</v>
      </c>
      <c r="G410" s="8">
        <v>7.0444000000000004</v>
      </c>
      <c r="H410" s="15">
        <v>1.8942589999999999E-3</v>
      </c>
      <c r="I410" s="17">
        <f t="shared" ref="I410:I415" si="131">F410/((E410*10^-4)/(G410*10^-2)*9.81)^(1/2)</f>
        <v>14.24861742344665</v>
      </c>
      <c r="J410" s="16">
        <v>4.5</v>
      </c>
      <c r="K410" s="9">
        <v>2.94</v>
      </c>
      <c r="L410" s="14">
        <f t="shared" si="124"/>
        <v>8.4125100374369168</v>
      </c>
      <c r="M410" s="6"/>
      <c r="N410" s="2">
        <f t="shared" ref="N410:N415" si="132">-(1.7*K410^2)/19.62</f>
        <v>-0.7489357798165136</v>
      </c>
    </row>
    <row r="411" spans="1:14" x14ac:dyDescent="0.3">
      <c r="A411">
        <v>1</v>
      </c>
      <c r="B411">
        <v>20</v>
      </c>
      <c r="C411">
        <v>4</v>
      </c>
      <c r="D411" s="16">
        <v>5.4</v>
      </c>
      <c r="E411" s="11">
        <v>7.7104226310000001</v>
      </c>
      <c r="F411" s="9">
        <f t="shared" si="115"/>
        <v>7.0035071466629182</v>
      </c>
      <c r="G411" s="8">
        <v>7.0444000000000004</v>
      </c>
      <c r="H411" s="15">
        <v>1.8942589999999999E-3</v>
      </c>
      <c r="I411" s="17">
        <f t="shared" si="131"/>
        <v>21.372926135169976</v>
      </c>
      <c r="J411" s="16">
        <v>4.5</v>
      </c>
      <c r="K411" s="9">
        <v>7.65</v>
      </c>
      <c r="L411" s="14">
        <f t="shared" si="124"/>
        <v>2.0101336246352854</v>
      </c>
      <c r="M411" s="6"/>
      <c r="N411" s="2">
        <f t="shared" si="132"/>
        <v>-5.0707568807339447</v>
      </c>
    </row>
    <row r="412" spans="1:14" x14ac:dyDescent="0.3">
      <c r="A412">
        <v>1</v>
      </c>
      <c r="B412">
        <v>20</v>
      </c>
      <c r="C412">
        <v>4</v>
      </c>
      <c r="D412" s="16">
        <v>7.2</v>
      </c>
      <c r="E412" s="11">
        <v>7.7104226310000001</v>
      </c>
      <c r="F412" s="9">
        <f t="shared" si="115"/>
        <v>9.3380095288838909</v>
      </c>
      <c r="G412" s="8">
        <v>7.0444000000000004</v>
      </c>
      <c r="H412" s="15">
        <v>1.8942589999999999E-3</v>
      </c>
      <c r="I412" s="17">
        <f t="shared" si="131"/>
        <v>28.497234846893299</v>
      </c>
      <c r="J412" s="16">
        <v>4.5</v>
      </c>
      <c r="K412" s="9">
        <v>12.53</v>
      </c>
      <c r="L412" s="14">
        <f t="shared" si="124"/>
        <v>-0.78921164456810666</v>
      </c>
      <c r="M412" s="6"/>
      <c r="N412" s="2">
        <f t="shared" si="132"/>
        <v>-13.603543832823645</v>
      </c>
    </row>
    <row r="413" spans="1:14" x14ac:dyDescent="0.3">
      <c r="A413">
        <v>1</v>
      </c>
      <c r="B413">
        <v>20</v>
      </c>
      <c r="C413">
        <v>4</v>
      </c>
      <c r="D413" s="16">
        <v>9</v>
      </c>
      <c r="E413" s="11">
        <v>7.7104226310000001</v>
      </c>
      <c r="F413" s="9">
        <f t="shared" si="115"/>
        <v>11.672511911104865</v>
      </c>
      <c r="G413" s="8">
        <v>7.0444000000000004</v>
      </c>
      <c r="H413" s="15">
        <v>1.8942589999999999E-3</v>
      </c>
      <c r="I413" s="17">
        <f t="shared" si="131"/>
        <v>35.621543558616629</v>
      </c>
      <c r="J413" s="16">
        <v>4.5</v>
      </c>
      <c r="K413" s="9">
        <v>19.02</v>
      </c>
      <c r="L413" s="14">
        <f t="shared" si="124"/>
        <v>-3.0599391181382498</v>
      </c>
      <c r="M413" s="6"/>
      <c r="N413" s="2">
        <f t="shared" si="132"/>
        <v>-31.345192660550456</v>
      </c>
    </row>
    <row r="414" spans="1:14" x14ac:dyDescent="0.3">
      <c r="A414">
        <v>1</v>
      </c>
      <c r="B414">
        <v>20</v>
      </c>
      <c r="C414">
        <v>4</v>
      </c>
      <c r="D414" s="16">
        <v>10.8</v>
      </c>
      <c r="E414" s="11">
        <v>7.7104226310000001</v>
      </c>
      <c r="F414" s="9">
        <f t="shared" si="115"/>
        <v>14.007014293325836</v>
      </c>
      <c r="G414" s="8">
        <v>7.0444000000000004</v>
      </c>
      <c r="H414" s="15">
        <v>1.8942589999999999E-3</v>
      </c>
      <c r="I414" s="17">
        <f t="shared" si="131"/>
        <v>42.745852270339952</v>
      </c>
      <c r="J414" s="16">
        <v>4.5</v>
      </c>
      <c r="K414" s="9">
        <v>26.24</v>
      </c>
      <c r="L414" s="14">
        <f t="shared" si="124"/>
        <v>-4.9564118153374404</v>
      </c>
      <c r="M414" s="6"/>
      <c r="N414" s="2">
        <f t="shared" si="132"/>
        <v>-59.659221202854219</v>
      </c>
    </row>
    <row r="415" spans="1:14" x14ac:dyDescent="0.3">
      <c r="A415">
        <v>1</v>
      </c>
      <c r="B415">
        <v>20</v>
      </c>
      <c r="C415">
        <v>4</v>
      </c>
      <c r="D415" s="16">
        <v>12.8</v>
      </c>
      <c r="E415" s="11">
        <v>7.7104226310000001</v>
      </c>
      <c r="F415" s="9">
        <f t="shared" si="115"/>
        <v>16.600905829126919</v>
      </c>
      <c r="G415" s="8">
        <v>7.0444000000000004</v>
      </c>
      <c r="H415" s="15">
        <v>1.8942589999999999E-3</v>
      </c>
      <c r="I415" s="17">
        <f t="shared" si="131"/>
        <v>50.661750838921428</v>
      </c>
      <c r="J415" s="16">
        <v>4.5</v>
      </c>
      <c r="K415" s="9">
        <v>32.369999999999997</v>
      </c>
      <c r="L415" s="14">
        <f t="shared" si="124"/>
        <v>-5.7447831303367511</v>
      </c>
      <c r="M415" s="6"/>
      <c r="N415" s="2">
        <f t="shared" si="132"/>
        <v>-90.789435779816486</v>
      </c>
    </row>
    <row r="416" spans="1:14" x14ac:dyDescent="0.3">
      <c r="A416">
        <v>1</v>
      </c>
      <c r="B416">
        <v>20</v>
      </c>
      <c r="C416">
        <v>6</v>
      </c>
      <c r="D416" s="16">
        <v>1.8</v>
      </c>
      <c r="E416" s="11">
        <v>7.7104226310000001</v>
      </c>
      <c r="F416" s="9">
        <f t="shared" si="115"/>
        <v>2.3345023822209727</v>
      </c>
      <c r="G416" s="8">
        <v>7.0444000000000004</v>
      </c>
      <c r="H416" s="15">
        <v>1.262839E-3</v>
      </c>
      <c r="I416" s="17">
        <f>F416/((E416*10^-4)/(G416*10^-2)*9.81)^(1/2)</f>
        <v>7.1243087117233248</v>
      </c>
      <c r="J416" s="16">
        <v>4.5</v>
      </c>
      <c r="K416" s="9">
        <v>0.73</v>
      </c>
      <c r="L416" s="14">
        <f t="shared" si="124"/>
        <v>36.18002905364478</v>
      </c>
      <c r="M416" s="6"/>
      <c r="N416" s="2">
        <f>-(1.7*K416^2)/19.62</f>
        <v>-4.6173802242609578E-2</v>
      </c>
    </row>
    <row r="417" spans="1:14" x14ac:dyDescent="0.3">
      <c r="A417">
        <v>1</v>
      </c>
      <c r="B417">
        <v>20</v>
      </c>
      <c r="C417">
        <v>6</v>
      </c>
      <c r="D417" s="16">
        <v>3.6</v>
      </c>
      <c r="E417" s="11">
        <v>7.7104226310000001</v>
      </c>
      <c r="F417" s="9">
        <f t="shared" si="115"/>
        <v>4.6690047644419455</v>
      </c>
      <c r="G417" s="8">
        <v>7.0444000000000004</v>
      </c>
      <c r="H417" s="15">
        <v>1.262839E-3</v>
      </c>
      <c r="I417" s="17">
        <f t="shared" ref="I417:I422" si="133">F417/((E417*10^-4)/(G417*10^-2)*9.81)^(1/2)</f>
        <v>14.24861742344665</v>
      </c>
      <c r="J417" s="16">
        <v>4.5</v>
      </c>
      <c r="K417" s="9">
        <v>3.14</v>
      </c>
      <c r="L417" s="14">
        <f t="shared" si="124"/>
        <v>8.3176826332936589</v>
      </c>
      <c r="M417" s="6"/>
      <c r="N417" s="2">
        <f t="shared" ref="N417:N422" si="134">-(1.7*K417^2)/19.62</f>
        <v>-0.8542976554536188</v>
      </c>
    </row>
    <row r="418" spans="1:14" x14ac:dyDescent="0.3">
      <c r="A418">
        <v>1</v>
      </c>
      <c r="B418">
        <v>20</v>
      </c>
      <c r="C418">
        <v>6</v>
      </c>
      <c r="D418" s="16">
        <v>5.4</v>
      </c>
      <c r="E418" s="11">
        <v>7.7104226310000001</v>
      </c>
      <c r="F418" s="9">
        <f t="shared" si="115"/>
        <v>7.0035071466629182</v>
      </c>
      <c r="G418" s="8">
        <v>7.0444000000000004</v>
      </c>
      <c r="H418" s="15">
        <v>1.262839E-3</v>
      </c>
      <c r="I418" s="17">
        <f t="shared" si="133"/>
        <v>21.372926135169976</v>
      </c>
      <c r="J418" s="16">
        <v>4.5</v>
      </c>
      <c r="K418" s="9">
        <v>6.34</v>
      </c>
      <c r="L418" s="14">
        <f t="shared" si="124"/>
        <v>2.6453281980976668</v>
      </c>
      <c r="M418" s="6"/>
      <c r="N418" s="2">
        <f t="shared" si="134"/>
        <v>-3.4827991845056063</v>
      </c>
    </row>
    <row r="419" spans="1:14" x14ac:dyDescent="0.3">
      <c r="A419">
        <v>1</v>
      </c>
      <c r="B419">
        <v>20</v>
      </c>
      <c r="C419">
        <v>6</v>
      </c>
      <c r="D419" s="16">
        <v>7.2</v>
      </c>
      <c r="E419" s="11">
        <v>7.7104226310000001</v>
      </c>
      <c r="F419" s="9">
        <f t="shared" si="115"/>
        <v>9.3380095288838909</v>
      </c>
      <c r="G419" s="8">
        <v>7.0444000000000004</v>
      </c>
      <c r="H419" s="15">
        <v>1.262839E-3</v>
      </c>
      <c r="I419" s="17">
        <f t="shared" si="133"/>
        <v>28.497234846893299</v>
      </c>
      <c r="J419" s="16">
        <v>4.5</v>
      </c>
      <c r="K419" s="9">
        <v>11.7</v>
      </c>
      <c r="L419" s="14">
        <f t="shared" si="124"/>
        <v>-0.39713425106797412</v>
      </c>
      <c r="M419" s="6"/>
      <c r="N419" s="2">
        <f t="shared" si="134"/>
        <v>-11.861009174311924</v>
      </c>
    </row>
    <row r="420" spans="1:14" x14ac:dyDescent="0.3">
      <c r="A420">
        <v>1</v>
      </c>
      <c r="B420">
        <v>20</v>
      </c>
      <c r="C420">
        <v>6</v>
      </c>
      <c r="D420" s="16">
        <v>9</v>
      </c>
      <c r="E420" s="11">
        <v>7.7104226310000001</v>
      </c>
      <c r="F420" s="9">
        <f t="shared" si="115"/>
        <v>11.672511911104865</v>
      </c>
      <c r="G420" s="8">
        <v>7.0444000000000004</v>
      </c>
      <c r="H420" s="15">
        <v>1.262839E-3</v>
      </c>
      <c r="I420" s="17">
        <f t="shared" si="133"/>
        <v>35.621543558616629</v>
      </c>
      <c r="J420" s="16">
        <v>4.5</v>
      </c>
      <c r="K420" s="9">
        <v>18.690000000000001</v>
      </c>
      <c r="L420" s="14">
        <f t="shared" si="124"/>
        <v>-2.9046679779566791</v>
      </c>
      <c r="M420" s="6"/>
      <c r="N420" s="2">
        <f t="shared" si="134"/>
        <v>-30.266940366972481</v>
      </c>
    </row>
    <row r="421" spans="1:14" x14ac:dyDescent="0.3">
      <c r="A421">
        <v>1</v>
      </c>
      <c r="B421">
        <v>20</v>
      </c>
      <c r="C421">
        <v>6</v>
      </c>
      <c r="D421" s="16">
        <v>10.8</v>
      </c>
      <c r="E421" s="11">
        <v>7.7104226310000001</v>
      </c>
      <c r="F421" s="9">
        <f t="shared" ref="F421:F484" si="135">(D421*10^-3)/(E421*10^-4)</f>
        <v>14.007014293325836</v>
      </c>
      <c r="G421" s="8">
        <v>7.0444000000000004</v>
      </c>
      <c r="H421" s="15">
        <v>1.262839E-3</v>
      </c>
      <c r="I421" s="17">
        <f t="shared" si="133"/>
        <v>42.745852270339952</v>
      </c>
      <c r="J421" s="16">
        <v>4.5</v>
      </c>
      <c r="K421" s="9">
        <v>22.37</v>
      </c>
      <c r="L421" s="14">
        <f t="shared" si="124"/>
        <v>-3.3263864455811736</v>
      </c>
      <c r="M421" s="6"/>
      <c r="N421" s="2">
        <f t="shared" si="134"/>
        <v>-43.359262487257901</v>
      </c>
    </row>
    <row r="422" spans="1:14" x14ac:dyDescent="0.3">
      <c r="A422">
        <v>1</v>
      </c>
      <c r="B422">
        <v>20</v>
      </c>
      <c r="C422">
        <v>6</v>
      </c>
      <c r="D422" s="16">
        <v>12.8</v>
      </c>
      <c r="E422" s="11">
        <v>7.7104226310000001</v>
      </c>
      <c r="F422" s="9">
        <f t="shared" si="135"/>
        <v>16.600905829126919</v>
      </c>
      <c r="G422" s="8">
        <v>7.0444000000000004</v>
      </c>
      <c r="H422" s="15">
        <v>1.262839E-3</v>
      </c>
      <c r="I422" s="17">
        <f t="shared" si="133"/>
        <v>50.661750838921428</v>
      </c>
      <c r="J422" s="16">
        <v>4.5</v>
      </c>
      <c r="K422" s="9">
        <v>28.71</v>
      </c>
      <c r="L422" s="14">
        <f t="shared" si="124"/>
        <v>-4.3657793294932556</v>
      </c>
      <c r="M422" s="6"/>
      <c r="N422" s="2">
        <f t="shared" si="134"/>
        <v>-71.419417431192656</v>
      </c>
    </row>
    <row r="423" spans="1:14" x14ac:dyDescent="0.3">
      <c r="A423">
        <v>1</v>
      </c>
      <c r="B423">
        <v>30</v>
      </c>
      <c r="C423">
        <v>1</v>
      </c>
      <c r="D423" s="16">
        <v>2.5</v>
      </c>
      <c r="E423" s="11">
        <v>15.422011619999999</v>
      </c>
      <c r="F423" s="8">
        <f t="shared" si="135"/>
        <v>1.621059600783779</v>
      </c>
      <c r="G423" s="8">
        <v>7.6656000000000004</v>
      </c>
      <c r="H423" s="15">
        <v>9.1083629999999995E-3</v>
      </c>
      <c r="I423" s="17">
        <f>F423/((E423*10^-4)/(G423*10^-2)*9.81)^(1/2)</f>
        <v>3.6489426924427844</v>
      </c>
      <c r="J423" s="16">
        <v>3</v>
      </c>
      <c r="K423" s="9">
        <v>0</v>
      </c>
      <c r="L423" s="14">
        <f t="shared" si="124"/>
        <v>75.379001381404876</v>
      </c>
      <c r="M423" s="6"/>
      <c r="N423" s="2">
        <f>-(1.7*K423^2)/19.62</f>
        <v>0</v>
      </c>
    </row>
    <row r="424" spans="1:14" x14ac:dyDescent="0.3">
      <c r="A424">
        <v>1</v>
      </c>
      <c r="B424">
        <v>30</v>
      </c>
      <c r="C424">
        <v>1</v>
      </c>
      <c r="D424" s="16">
        <v>5</v>
      </c>
      <c r="E424" s="11">
        <v>15.422011619999999</v>
      </c>
      <c r="F424" s="8">
        <f t="shared" si="135"/>
        <v>3.242119201567558</v>
      </c>
      <c r="G424" s="8">
        <v>7.6656000000000004</v>
      </c>
      <c r="H424" s="15">
        <v>9.1083629999999995E-3</v>
      </c>
      <c r="I424" s="17">
        <f t="shared" ref="I424:I429" si="136">F424/((E424*10^-4)/(G424*10^-2)*9.81)^(1/2)</f>
        <v>7.2978853848855687</v>
      </c>
      <c r="J424" s="16">
        <v>4.5</v>
      </c>
      <c r="K424" s="9">
        <v>1.49</v>
      </c>
      <c r="L424" s="14">
        <f t="shared" si="124"/>
        <v>18.4856932596789</v>
      </c>
      <c r="M424" s="6"/>
      <c r="N424" s="2">
        <f t="shared" ref="N424:N429" si="137">-(1.7*K424^2)/19.62</f>
        <v>-0.19236340468909274</v>
      </c>
    </row>
    <row r="425" spans="1:14" x14ac:dyDescent="0.3">
      <c r="A425">
        <v>1</v>
      </c>
      <c r="B425">
        <v>30</v>
      </c>
      <c r="C425">
        <v>1</v>
      </c>
      <c r="D425" s="16">
        <v>7.5</v>
      </c>
      <c r="E425" s="11">
        <v>15.422011619999999</v>
      </c>
      <c r="F425" s="8">
        <f t="shared" si="135"/>
        <v>4.8631788023513369</v>
      </c>
      <c r="G425" s="8">
        <v>7.6656000000000004</v>
      </c>
      <c r="H425" s="15">
        <v>9.1083629999999995E-3</v>
      </c>
      <c r="I425" s="17">
        <f t="shared" si="136"/>
        <v>10.946828077328352</v>
      </c>
      <c r="J425" s="16">
        <v>4.5</v>
      </c>
      <c r="K425" s="9">
        <v>3.11</v>
      </c>
      <c r="L425" s="14">
        <f t="shared" si="124"/>
        <v>7.6802134445161183</v>
      </c>
      <c r="M425" s="6"/>
      <c r="N425" s="2">
        <f t="shared" si="137"/>
        <v>-0.83805147808358793</v>
      </c>
    </row>
    <row r="426" spans="1:14" x14ac:dyDescent="0.3">
      <c r="A426">
        <v>1</v>
      </c>
      <c r="B426">
        <v>30</v>
      </c>
      <c r="C426">
        <v>1</v>
      </c>
      <c r="D426" s="16">
        <v>10</v>
      </c>
      <c r="E426" s="11">
        <v>15.422011619999999</v>
      </c>
      <c r="F426" s="8">
        <f t="shared" si="135"/>
        <v>6.4842384031351159</v>
      </c>
      <c r="G426" s="8">
        <v>7.6656000000000004</v>
      </c>
      <c r="H426" s="15">
        <v>9.1083629999999995E-3</v>
      </c>
      <c r="I426" s="17">
        <f t="shared" si="136"/>
        <v>14.595770769771137</v>
      </c>
      <c r="J426" s="16">
        <v>4.5</v>
      </c>
      <c r="K426" s="9">
        <v>6.94</v>
      </c>
      <c r="L426" s="14">
        <f t="shared" si="124"/>
        <v>2.7638111335330633</v>
      </c>
      <c r="M426" s="6"/>
      <c r="N426" s="2">
        <f t="shared" si="137"/>
        <v>-4.1731967380224253</v>
      </c>
    </row>
    <row r="427" spans="1:14" x14ac:dyDescent="0.3">
      <c r="A427">
        <v>1</v>
      </c>
      <c r="B427">
        <v>30</v>
      </c>
      <c r="C427">
        <v>1</v>
      </c>
      <c r="D427" s="16">
        <v>12.5</v>
      </c>
      <c r="E427" s="11">
        <v>15.422011619999999</v>
      </c>
      <c r="F427" s="8">
        <f t="shared" si="135"/>
        <v>8.1052980039188949</v>
      </c>
      <c r="G427" s="8">
        <v>7.6656000000000004</v>
      </c>
      <c r="H427" s="15">
        <v>9.1083629999999995E-3</v>
      </c>
      <c r="I427" s="17">
        <f t="shared" si="136"/>
        <v>18.24471346221392</v>
      </c>
      <c r="J427" s="16">
        <v>4.5</v>
      </c>
      <c r="K427" s="9">
        <v>10.43</v>
      </c>
      <c r="L427" s="14">
        <f t="shared" si="124"/>
        <v>0.20015250358522627</v>
      </c>
      <c r="M427" s="6"/>
      <c r="N427" s="2">
        <f t="shared" si="137"/>
        <v>-9.4258068297655448</v>
      </c>
    </row>
    <row r="428" spans="1:14" x14ac:dyDescent="0.3">
      <c r="A428">
        <v>1</v>
      </c>
      <c r="B428">
        <v>30</v>
      </c>
      <c r="C428">
        <v>1</v>
      </c>
      <c r="D428" s="16">
        <v>15</v>
      </c>
      <c r="E428" s="11">
        <v>15.422011619999999</v>
      </c>
      <c r="F428" s="8">
        <f t="shared" si="135"/>
        <v>9.7263576047026739</v>
      </c>
      <c r="G428" s="8">
        <v>7.6656000000000004</v>
      </c>
      <c r="H428" s="15">
        <v>9.1083629999999995E-3</v>
      </c>
      <c r="I428" s="17">
        <f t="shared" si="136"/>
        <v>21.893656154656703</v>
      </c>
      <c r="J428" s="16">
        <v>4.5</v>
      </c>
      <c r="K428" s="9">
        <v>13.22</v>
      </c>
      <c r="L428" s="14">
        <f t="shared" si="124"/>
        <v>-1.0467297333903682</v>
      </c>
      <c r="M428" s="6"/>
      <c r="N428" s="2">
        <f t="shared" si="137"/>
        <v>-15.143031600407747</v>
      </c>
    </row>
    <row r="429" spans="1:14" x14ac:dyDescent="0.3">
      <c r="A429">
        <v>1</v>
      </c>
      <c r="B429">
        <v>30</v>
      </c>
      <c r="C429">
        <v>1</v>
      </c>
      <c r="D429" s="16">
        <v>17.899999999999999</v>
      </c>
      <c r="E429" s="11">
        <v>15.422011619999999</v>
      </c>
      <c r="F429" s="8">
        <f t="shared" si="135"/>
        <v>11.606786741611856</v>
      </c>
      <c r="G429" s="8">
        <v>7.6656000000000004</v>
      </c>
      <c r="H429" s="15">
        <v>9.1083629999999995E-3</v>
      </c>
      <c r="I429" s="17">
        <f t="shared" si="136"/>
        <v>26.126429677890332</v>
      </c>
      <c r="J429" s="16">
        <v>4.5</v>
      </c>
      <c r="K429" s="9">
        <v>19.440000000000001</v>
      </c>
      <c r="L429" s="14">
        <f t="shared" si="124"/>
        <v>-3.2985291818983833</v>
      </c>
      <c r="M429" s="6"/>
      <c r="N429" s="2">
        <f t="shared" si="137"/>
        <v>-32.744807339449544</v>
      </c>
    </row>
    <row r="430" spans="1:14" x14ac:dyDescent="0.3">
      <c r="A430">
        <v>1</v>
      </c>
      <c r="B430">
        <v>30</v>
      </c>
      <c r="C430">
        <v>2</v>
      </c>
      <c r="D430" s="16">
        <v>2.5</v>
      </c>
      <c r="E430" s="11">
        <v>15.422011619999999</v>
      </c>
      <c r="F430" s="8">
        <f t="shared" si="135"/>
        <v>1.621059600783779</v>
      </c>
      <c r="G430" s="8">
        <v>7.6656000000000004</v>
      </c>
      <c r="H430" s="15">
        <v>4.5541820000000004E-3</v>
      </c>
      <c r="I430" s="17">
        <f>F430/((E430*10^-4)/(G430*10^-2)*9.81)^(1/2)</f>
        <v>3.6489426924427844</v>
      </c>
      <c r="J430" s="16">
        <v>4.5</v>
      </c>
      <c r="K430" s="9">
        <v>0.52</v>
      </c>
      <c r="L430" s="14">
        <f t="shared" si="124"/>
        <v>75.204074061075531</v>
      </c>
      <c r="M430" s="6"/>
      <c r="N430" s="2">
        <f>-(1.7*K430^2)/19.62</f>
        <v>-2.3429153924566768E-2</v>
      </c>
    </row>
    <row r="431" spans="1:14" x14ac:dyDescent="0.3">
      <c r="A431">
        <v>1</v>
      </c>
      <c r="B431">
        <v>30</v>
      </c>
      <c r="C431">
        <v>2</v>
      </c>
      <c r="D431" s="16">
        <v>5</v>
      </c>
      <c r="E431" s="11">
        <v>15.422011619999999</v>
      </c>
      <c r="F431" s="8">
        <f t="shared" si="135"/>
        <v>3.242119201567558</v>
      </c>
      <c r="G431" s="8">
        <v>7.6656000000000004</v>
      </c>
      <c r="H431" s="15">
        <v>4.5541820000000004E-3</v>
      </c>
      <c r="I431" s="17">
        <f t="shared" ref="I431:I436" si="138">F431/((E431*10^-4)/(G431*10^-2)*9.81)^(1/2)</f>
        <v>7.2978853848855687</v>
      </c>
      <c r="J431" s="16">
        <v>4.5</v>
      </c>
      <c r="K431" s="9">
        <v>2.25</v>
      </c>
      <c r="L431" s="14">
        <f t="shared" si="124"/>
        <v>18.025991507363695</v>
      </c>
      <c r="M431" s="6"/>
      <c r="N431" s="2">
        <f t="shared" ref="N431:N436" si="139">-(1.7*K431^2)/19.62</f>
        <v>-0.43864678899082565</v>
      </c>
    </row>
    <row r="432" spans="1:14" x14ac:dyDescent="0.3">
      <c r="A432">
        <v>1</v>
      </c>
      <c r="B432">
        <v>30</v>
      </c>
      <c r="C432">
        <v>2</v>
      </c>
      <c r="D432" s="16">
        <v>7.5</v>
      </c>
      <c r="E432" s="11">
        <v>15.422011619999999</v>
      </c>
      <c r="F432" s="8">
        <f t="shared" si="135"/>
        <v>4.8631788023513369</v>
      </c>
      <c r="G432" s="8">
        <v>7.6656000000000004</v>
      </c>
      <c r="H432" s="15">
        <v>4.5541820000000004E-3</v>
      </c>
      <c r="I432" s="17">
        <f t="shared" si="138"/>
        <v>10.946828077328352</v>
      </c>
      <c r="J432" s="16">
        <v>4.5</v>
      </c>
      <c r="K432" s="9">
        <v>5.16</v>
      </c>
      <c r="L432" s="14">
        <f t="shared" si="124"/>
        <v>6.461594803324652</v>
      </c>
      <c r="M432" s="6"/>
      <c r="N432" s="2">
        <f t="shared" si="139"/>
        <v>-2.3070091743119265</v>
      </c>
    </row>
    <row r="433" spans="1:14" x14ac:dyDescent="0.3">
      <c r="A433">
        <v>1</v>
      </c>
      <c r="B433">
        <v>30</v>
      </c>
      <c r="C433">
        <v>2</v>
      </c>
      <c r="D433" s="16">
        <v>10</v>
      </c>
      <c r="E433" s="11">
        <v>15.422011619999999</v>
      </c>
      <c r="F433" s="8">
        <f t="shared" si="135"/>
        <v>6.4842384031351159</v>
      </c>
      <c r="G433" s="8">
        <v>7.6656000000000004</v>
      </c>
      <c r="H433" s="15">
        <v>4.5541820000000004E-3</v>
      </c>
      <c r="I433" s="17">
        <f t="shared" si="138"/>
        <v>14.595770769771137</v>
      </c>
      <c r="J433" s="16">
        <v>4.5</v>
      </c>
      <c r="K433" s="9">
        <v>10.1</v>
      </c>
      <c r="L433" s="14">
        <f t="shared" si="124"/>
        <v>0.58666466964113628</v>
      </c>
      <c r="M433" s="6"/>
      <c r="N433" s="2">
        <f t="shared" si="139"/>
        <v>-8.838786952089702</v>
      </c>
    </row>
    <row r="434" spans="1:14" x14ac:dyDescent="0.3">
      <c r="A434">
        <v>1</v>
      </c>
      <c r="B434">
        <v>30</v>
      </c>
      <c r="C434">
        <v>2</v>
      </c>
      <c r="D434" s="16">
        <v>12.5</v>
      </c>
      <c r="E434" s="11">
        <v>15.422011619999999</v>
      </c>
      <c r="F434" s="8">
        <f t="shared" si="135"/>
        <v>8.1052980039188949</v>
      </c>
      <c r="G434" s="8">
        <v>7.6656000000000004</v>
      </c>
      <c r="H434" s="15">
        <v>4.5541820000000004E-3</v>
      </c>
      <c r="I434" s="17">
        <f t="shared" si="138"/>
        <v>18.24471346221392</v>
      </c>
      <c r="J434" s="16">
        <v>4.5</v>
      </c>
      <c r="K434" s="9">
        <v>14.94</v>
      </c>
      <c r="L434" s="14">
        <f t="shared" si="124"/>
        <v>-2.7606398908773788</v>
      </c>
      <c r="M434" s="6"/>
      <c r="N434" s="2">
        <f t="shared" si="139"/>
        <v>-19.339761467889907</v>
      </c>
    </row>
    <row r="435" spans="1:14" x14ac:dyDescent="0.3">
      <c r="A435">
        <v>1</v>
      </c>
      <c r="B435">
        <v>30</v>
      </c>
      <c r="C435">
        <v>2</v>
      </c>
      <c r="D435" s="16">
        <v>15</v>
      </c>
      <c r="E435" s="11">
        <v>15.422011619999999</v>
      </c>
      <c r="F435" s="8">
        <f t="shared" si="135"/>
        <v>9.7263576047026739</v>
      </c>
      <c r="G435" s="8">
        <v>7.6656000000000004</v>
      </c>
      <c r="H435" s="15">
        <v>4.5541820000000004E-3</v>
      </c>
      <c r="I435" s="17">
        <f t="shared" si="138"/>
        <v>21.893656154656703</v>
      </c>
      <c r="J435" s="16">
        <v>4.5</v>
      </c>
      <c r="K435" s="9">
        <v>21.39</v>
      </c>
      <c r="L435" s="14">
        <f t="shared" si="124"/>
        <v>-6.1279978472351644</v>
      </c>
      <c r="M435" s="6"/>
      <c r="N435" s="2">
        <f t="shared" si="139"/>
        <v>-39.643454128440368</v>
      </c>
    </row>
    <row r="436" spans="1:14" x14ac:dyDescent="0.3">
      <c r="A436">
        <v>1</v>
      </c>
      <c r="B436">
        <v>30</v>
      </c>
      <c r="C436">
        <v>2</v>
      </c>
      <c r="D436" s="16">
        <v>17.8</v>
      </c>
      <c r="E436" s="11">
        <v>15.422011619999999</v>
      </c>
      <c r="F436" s="8">
        <f t="shared" si="135"/>
        <v>11.541944357580507</v>
      </c>
      <c r="G436" s="8">
        <v>7.6656000000000004</v>
      </c>
      <c r="H436" s="15">
        <v>4.5541820000000004E-3</v>
      </c>
      <c r="I436" s="17">
        <f t="shared" si="138"/>
        <v>25.980471970192625</v>
      </c>
      <c r="J436" s="16">
        <v>4.5</v>
      </c>
      <c r="K436" s="9">
        <v>27.12</v>
      </c>
      <c r="L436" s="14">
        <f t="shared" si="124"/>
        <v>-7.8988497783979801</v>
      </c>
      <c r="M436" s="6"/>
      <c r="N436" s="2">
        <f t="shared" si="139"/>
        <v>-63.727853211009176</v>
      </c>
    </row>
    <row r="437" spans="1:14" x14ac:dyDescent="0.3">
      <c r="A437">
        <v>1</v>
      </c>
      <c r="B437">
        <v>30</v>
      </c>
      <c r="C437">
        <v>4</v>
      </c>
      <c r="D437" s="16">
        <v>2.5</v>
      </c>
      <c r="E437" s="11">
        <v>15.422011619999999</v>
      </c>
      <c r="F437" s="8">
        <f t="shared" si="135"/>
        <v>1.621059600783779</v>
      </c>
      <c r="G437" s="8">
        <v>7.6656000000000004</v>
      </c>
      <c r="H437" s="15">
        <v>2.2770910000000002E-3</v>
      </c>
      <c r="I437" s="17">
        <f>F437/((E437*10^-4)/(G437*10^-2)*9.81)^(1/2)</f>
        <v>3.6489426924427844</v>
      </c>
      <c r="J437" s="16">
        <v>3</v>
      </c>
      <c r="K437" s="9">
        <v>0</v>
      </c>
      <c r="L437" s="14">
        <f t="shared" si="124"/>
        <v>75.379001381404876</v>
      </c>
      <c r="M437" s="6"/>
      <c r="N437" s="2">
        <f>-(1.7*K437^2)/19.62</f>
        <v>0</v>
      </c>
    </row>
    <row r="438" spans="1:14" x14ac:dyDescent="0.3">
      <c r="A438">
        <v>1</v>
      </c>
      <c r="B438">
        <v>30</v>
      </c>
      <c r="C438">
        <v>4</v>
      </c>
      <c r="D438" s="16">
        <v>5</v>
      </c>
      <c r="E438" s="11">
        <v>15.422011619999999</v>
      </c>
      <c r="F438" s="8">
        <f t="shared" si="135"/>
        <v>3.242119201567558</v>
      </c>
      <c r="G438" s="8">
        <v>7.6656000000000004</v>
      </c>
      <c r="H438" s="15">
        <v>2.2770910000000002E-3</v>
      </c>
      <c r="I438" s="17">
        <f t="shared" ref="I438:I443" si="140">F438/((E438*10^-4)/(G438*10^-2)*9.81)^(1/2)</f>
        <v>7.2978853848855687</v>
      </c>
      <c r="J438" s="16">
        <v>4.5</v>
      </c>
      <c r="K438" s="9">
        <v>2.64</v>
      </c>
      <c r="L438" s="14">
        <f t="shared" si="124"/>
        <v>17.717555955773371</v>
      </c>
      <c r="M438" s="6"/>
      <c r="N438" s="2">
        <f t="shared" ref="N438:N443" si="141">-(1.7*K438^2)/19.62</f>
        <v>-0.60388990825688071</v>
      </c>
    </row>
    <row r="439" spans="1:14" x14ac:dyDescent="0.3">
      <c r="A439">
        <v>1</v>
      </c>
      <c r="B439">
        <v>30</v>
      </c>
      <c r="C439">
        <v>4</v>
      </c>
      <c r="D439" s="16">
        <v>7.5</v>
      </c>
      <c r="E439" s="11">
        <v>15.422011619999999</v>
      </c>
      <c r="F439" s="8">
        <f t="shared" si="135"/>
        <v>4.8631788023513369</v>
      </c>
      <c r="G439" s="8">
        <v>7.6656000000000004</v>
      </c>
      <c r="H439" s="15">
        <v>2.2770910000000002E-3</v>
      </c>
      <c r="I439" s="17">
        <f t="shared" si="140"/>
        <v>10.946828077328352</v>
      </c>
      <c r="J439" s="16">
        <v>4.5</v>
      </c>
      <c r="K439" s="9">
        <v>6.18</v>
      </c>
      <c r="L439" s="14">
        <f t="shared" si="124"/>
        <v>5.6301724953095862</v>
      </c>
      <c r="M439" s="6"/>
      <c r="N439" s="2">
        <f t="shared" si="141"/>
        <v>-3.3092293577981651</v>
      </c>
    </row>
    <row r="440" spans="1:14" x14ac:dyDescent="0.3">
      <c r="A440">
        <v>1</v>
      </c>
      <c r="B440">
        <v>30</v>
      </c>
      <c r="C440">
        <v>4</v>
      </c>
      <c r="D440" s="16">
        <v>10</v>
      </c>
      <c r="E440" s="11">
        <v>15.422011619999999</v>
      </c>
      <c r="F440" s="8">
        <f t="shared" si="135"/>
        <v>6.4842384031351159</v>
      </c>
      <c r="G440" s="8">
        <v>7.6656000000000004</v>
      </c>
      <c r="H440" s="15">
        <v>2.2770910000000002E-3</v>
      </c>
      <c r="I440" s="17">
        <f t="shared" si="140"/>
        <v>14.595770769771137</v>
      </c>
      <c r="J440" s="16">
        <v>4.5</v>
      </c>
      <c r="K440" s="9">
        <v>10.37</v>
      </c>
      <c r="L440" s="14">
        <f t="shared" si="124"/>
        <v>0.36319809079307375</v>
      </c>
      <c r="M440" s="6"/>
      <c r="N440" s="2">
        <f t="shared" si="141"/>
        <v>-9.3176722731906203</v>
      </c>
    </row>
    <row r="441" spans="1:14" x14ac:dyDescent="0.3">
      <c r="A441">
        <v>1</v>
      </c>
      <c r="B441">
        <v>30</v>
      </c>
      <c r="C441">
        <v>4</v>
      </c>
      <c r="D441" s="16">
        <v>12.5</v>
      </c>
      <c r="E441" s="11">
        <v>15.422011619999999</v>
      </c>
      <c r="F441" s="8">
        <f t="shared" si="135"/>
        <v>8.1052980039188949</v>
      </c>
      <c r="G441" s="8">
        <v>7.6656000000000004</v>
      </c>
      <c r="H441" s="15">
        <v>2.2770910000000002E-3</v>
      </c>
      <c r="I441" s="17">
        <f t="shared" si="140"/>
        <v>18.24471346221392</v>
      </c>
      <c r="J441" s="16">
        <v>4.5</v>
      </c>
      <c r="K441" s="9">
        <v>15.3</v>
      </c>
      <c r="L441" s="14">
        <f t="shared" si="124"/>
        <v>-3.042345331710719</v>
      </c>
      <c r="M441" s="6"/>
      <c r="N441" s="2">
        <f t="shared" si="141"/>
        <v>-20.283027522935779</v>
      </c>
    </row>
    <row r="442" spans="1:14" x14ac:dyDescent="0.3">
      <c r="A442">
        <v>1</v>
      </c>
      <c r="B442">
        <v>30</v>
      </c>
      <c r="C442">
        <v>4</v>
      </c>
      <c r="D442" s="16">
        <v>15</v>
      </c>
      <c r="E442" s="11">
        <v>15.422011619999999</v>
      </c>
      <c r="F442" s="8">
        <f t="shared" si="135"/>
        <v>9.7263576047026739</v>
      </c>
      <c r="G442" s="8">
        <v>7.6656000000000004</v>
      </c>
      <c r="H442" s="15">
        <v>2.2770910000000002E-3</v>
      </c>
      <c r="I442" s="17">
        <f t="shared" si="140"/>
        <v>21.893656154656703</v>
      </c>
      <c r="J442" s="16">
        <v>4.5</v>
      </c>
      <c r="K442" s="9">
        <v>22.47</v>
      </c>
      <c r="L442" s="14">
        <f t="shared" si="124"/>
        <v>-6.9792159244886829</v>
      </c>
      <c r="M442" s="6"/>
      <c r="N442" s="2">
        <f t="shared" si="141"/>
        <v>-43.747784403669712</v>
      </c>
    </row>
    <row r="443" spans="1:14" x14ac:dyDescent="0.3">
      <c r="A443">
        <v>1</v>
      </c>
      <c r="B443">
        <v>30</v>
      </c>
      <c r="C443">
        <v>4</v>
      </c>
      <c r="D443" s="16">
        <v>17.8</v>
      </c>
      <c r="E443" s="11">
        <v>15.422011619999999</v>
      </c>
      <c r="F443" s="8">
        <f t="shared" si="135"/>
        <v>11.541944357580507</v>
      </c>
      <c r="G443" s="8">
        <v>7.6656000000000004</v>
      </c>
      <c r="H443" s="15">
        <v>2.2770910000000002E-3</v>
      </c>
      <c r="I443" s="17">
        <f t="shared" si="140"/>
        <v>25.980471970192625</v>
      </c>
      <c r="J443" s="16">
        <v>4.5</v>
      </c>
      <c r="K443" s="9">
        <v>27.36</v>
      </c>
      <c r="L443" s="14">
        <f t="shared" si="124"/>
        <v>-8.0657048107070697</v>
      </c>
      <c r="M443" s="6"/>
      <c r="N443" s="2">
        <f t="shared" si="141"/>
        <v>-64.860770642201828</v>
      </c>
    </row>
    <row r="444" spans="1:14" x14ac:dyDescent="0.3">
      <c r="A444">
        <v>1</v>
      </c>
      <c r="B444">
        <v>30</v>
      </c>
      <c r="C444">
        <v>6</v>
      </c>
      <c r="D444" s="16">
        <v>2.5</v>
      </c>
      <c r="E444" s="11">
        <v>15.422011619999999</v>
      </c>
      <c r="F444" s="8">
        <f t="shared" si="135"/>
        <v>1.621059600783779</v>
      </c>
      <c r="G444" s="8">
        <v>7.6656000000000004</v>
      </c>
      <c r="H444" s="15">
        <v>1.518061E-3</v>
      </c>
      <c r="I444" s="17">
        <f>F444/((E444*10^-4)/(G444*10^-2)*9.81)^(1/2)</f>
        <v>3.6489426924427844</v>
      </c>
      <c r="J444" s="16">
        <v>3</v>
      </c>
      <c r="K444" s="9">
        <v>0</v>
      </c>
      <c r="L444" s="14">
        <f t="shared" si="124"/>
        <v>75.379001381404876</v>
      </c>
      <c r="M444" s="6"/>
      <c r="N444" s="2">
        <f>-(1.7*K444^2)/19.62</f>
        <v>0</v>
      </c>
    </row>
    <row r="445" spans="1:14" x14ac:dyDescent="0.3">
      <c r="A445">
        <v>1</v>
      </c>
      <c r="B445">
        <v>30</v>
      </c>
      <c r="C445">
        <v>6</v>
      </c>
      <c r="D445" s="16">
        <v>5</v>
      </c>
      <c r="E445" s="11">
        <v>15.422011619999999</v>
      </c>
      <c r="F445" s="8">
        <f t="shared" si="135"/>
        <v>3.242119201567558</v>
      </c>
      <c r="G445" s="8">
        <v>7.6656000000000004</v>
      </c>
      <c r="H445" s="15">
        <v>1.518061E-3</v>
      </c>
      <c r="I445" s="17">
        <f t="shared" ref="I445:I450" si="142">F445/((E445*10^-4)/(G445*10^-2)*9.81)^(1/2)</f>
        <v>7.2978853848855687</v>
      </c>
      <c r="J445" s="16">
        <v>4.5</v>
      </c>
      <c r="K445" s="9">
        <v>2.3199999999999998</v>
      </c>
      <c r="L445" s="14">
        <f t="shared" si="124"/>
        <v>17.974254035309922</v>
      </c>
      <c r="M445" s="6"/>
      <c r="N445" s="2">
        <f t="shared" ref="N445:N450" si="143">-(1.7*K445^2)/19.62</f>
        <v>-0.46636493374108046</v>
      </c>
    </row>
    <row r="446" spans="1:14" x14ac:dyDescent="0.3">
      <c r="A446">
        <v>1</v>
      </c>
      <c r="B446">
        <v>30</v>
      </c>
      <c r="C446">
        <v>6</v>
      </c>
      <c r="D446" s="16">
        <v>7.5</v>
      </c>
      <c r="E446" s="11">
        <v>15.422011619999999</v>
      </c>
      <c r="F446" s="8">
        <f t="shared" si="135"/>
        <v>4.8631788023513369</v>
      </c>
      <c r="G446" s="8">
        <v>7.6656000000000004</v>
      </c>
      <c r="H446" s="15">
        <v>1.518061E-3</v>
      </c>
      <c r="I446" s="17">
        <f t="shared" si="142"/>
        <v>10.946828077328352</v>
      </c>
      <c r="J446" s="16">
        <v>4.5</v>
      </c>
      <c r="K446" s="9">
        <v>6.02</v>
      </c>
      <c r="L446" s="14">
        <f t="shared" si="124"/>
        <v>5.7704823774935443</v>
      </c>
      <c r="M446" s="6"/>
      <c r="N446" s="2">
        <f t="shared" si="143"/>
        <v>-3.1400958205912324</v>
      </c>
    </row>
    <row r="447" spans="1:14" x14ac:dyDescent="0.3">
      <c r="A447">
        <v>1</v>
      </c>
      <c r="B447">
        <v>30</v>
      </c>
      <c r="C447">
        <v>6</v>
      </c>
      <c r="D447" s="16">
        <v>10</v>
      </c>
      <c r="E447" s="11">
        <v>15.422011619999999</v>
      </c>
      <c r="F447" s="8">
        <f t="shared" si="135"/>
        <v>6.4842384031351159</v>
      </c>
      <c r="G447" s="8">
        <v>7.6656000000000004</v>
      </c>
      <c r="H447" s="15">
        <v>1.518061E-3</v>
      </c>
      <c r="I447" s="17">
        <f t="shared" si="142"/>
        <v>14.595770769771137</v>
      </c>
      <c r="J447" s="16">
        <v>4.5</v>
      </c>
      <c r="K447" s="9">
        <v>11.29</v>
      </c>
      <c r="L447" s="14">
        <f t="shared" si="124"/>
        <v>-0.44250912482890353</v>
      </c>
      <c r="M447" s="6"/>
      <c r="N447" s="2">
        <f t="shared" si="143"/>
        <v>-11.044290010193679</v>
      </c>
    </row>
    <row r="448" spans="1:14" x14ac:dyDescent="0.3">
      <c r="A448">
        <v>1</v>
      </c>
      <c r="B448">
        <v>30</v>
      </c>
      <c r="C448">
        <v>6</v>
      </c>
      <c r="D448" s="16">
        <v>12.5</v>
      </c>
      <c r="E448" s="11">
        <v>15.422011619999999</v>
      </c>
      <c r="F448" s="8">
        <f t="shared" si="135"/>
        <v>8.1052980039188949</v>
      </c>
      <c r="G448" s="8">
        <v>7.6656000000000004</v>
      </c>
      <c r="H448" s="15">
        <v>1.518061E-3</v>
      </c>
      <c r="I448" s="17">
        <f t="shared" si="142"/>
        <v>18.24471346221392</v>
      </c>
      <c r="J448" s="16">
        <v>4.5</v>
      </c>
      <c r="K448" s="9">
        <v>14.82</v>
      </c>
      <c r="L448" s="14">
        <f t="shared" si="124"/>
        <v>-2.6682285822442195</v>
      </c>
      <c r="M448" s="6"/>
      <c r="N448" s="2">
        <f t="shared" si="143"/>
        <v>-19.030330275229357</v>
      </c>
    </row>
    <row r="449" spans="1:14" x14ac:dyDescent="0.3">
      <c r="A449">
        <v>1</v>
      </c>
      <c r="B449">
        <v>30</v>
      </c>
      <c r="C449">
        <v>6</v>
      </c>
      <c r="D449" s="16">
        <v>15</v>
      </c>
      <c r="E449" s="11">
        <v>15.422011619999999</v>
      </c>
      <c r="F449" s="8">
        <f t="shared" si="135"/>
        <v>9.7263576047026739</v>
      </c>
      <c r="G449" s="8">
        <v>7.6656000000000004</v>
      </c>
      <c r="H449" s="15">
        <v>1.518061E-3</v>
      </c>
      <c r="I449" s="17">
        <f t="shared" si="142"/>
        <v>21.893656154656703</v>
      </c>
      <c r="J449" s="16">
        <v>4.5</v>
      </c>
      <c r="K449" s="9">
        <v>16.16</v>
      </c>
      <c r="L449" s="14">
        <f t="shared" si="124"/>
        <v>-2.5989293690691864</v>
      </c>
      <c r="M449" s="6"/>
      <c r="N449" s="2">
        <f t="shared" si="143"/>
        <v>-22.627294597349643</v>
      </c>
    </row>
    <row r="450" spans="1:14" x14ac:dyDescent="0.3">
      <c r="A450">
        <v>1</v>
      </c>
      <c r="B450">
        <v>30</v>
      </c>
      <c r="C450">
        <v>6</v>
      </c>
      <c r="D450" s="16">
        <v>17.8</v>
      </c>
      <c r="E450" s="11">
        <v>15.422011619999999</v>
      </c>
      <c r="F450" s="8">
        <f t="shared" si="135"/>
        <v>11.541944357580507</v>
      </c>
      <c r="G450" s="8">
        <v>7.6656000000000004</v>
      </c>
      <c r="H450" s="15">
        <v>1.518061E-3</v>
      </c>
      <c r="I450" s="17">
        <f t="shared" si="142"/>
        <v>25.980471970192625</v>
      </c>
      <c r="J450" s="16">
        <v>4.5</v>
      </c>
      <c r="K450" s="9">
        <v>21.61</v>
      </c>
      <c r="L450" s="14">
        <f t="shared" si="124"/>
        <v>-4.4724425386184574</v>
      </c>
      <c r="M450" s="6"/>
      <c r="N450" s="2">
        <f t="shared" si="143"/>
        <v>-40.463127930682973</v>
      </c>
    </row>
    <row r="451" spans="1:14" x14ac:dyDescent="0.3">
      <c r="A451">
        <v>1</v>
      </c>
      <c r="B451">
        <v>40</v>
      </c>
      <c r="C451">
        <v>1</v>
      </c>
      <c r="D451" s="16">
        <v>3.2</v>
      </c>
      <c r="E451" s="11">
        <v>20.561469760000001</v>
      </c>
      <c r="F451" s="9">
        <f t="shared" si="135"/>
        <v>1.5563089785659368</v>
      </c>
      <c r="G451" s="8">
        <v>7.9885999999999999</v>
      </c>
      <c r="H451" s="15">
        <v>1.0389860000000001E-2</v>
      </c>
      <c r="I451" s="17">
        <f>F451/((E451*10^-4)/(G451*10^-2)*9.81)^(1/2)</f>
        <v>3.0972023463023919</v>
      </c>
      <c r="J451" s="16">
        <v>3</v>
      </c>
      <c r="K451" s="9">
        <v>0</v>
      </c>
      <c r="L451" s="14">
        <f t="shared" ref="L451:L506" si="144">(10.33+N451-0.234)/((F451^2)/19.62)</f>
        <v>81.781806395124647</v>
      </c>
      <c r="M451" s="6"/>
      <c r="N451" s="2">
        <f>-(1.7*K451^2)/19.62</f>
        <v>0</v>
      </c>
    </row>
    <row r="452" spans="1:14" x14ac:dyDescent="0.3">
      <c r="A452">
        <v>1</v>
      </c>
      <c r="B452">
        <v>40</v>
      </c>
      <c r="C452">
        <v>1</v>
      </c>
      <c r="D452" s="16">
        <v>6.4</v>
      </c>
      <c r="E452" s="11">
        <v>20.561469760000001</v>
      </c>
      <c r="F452" s="9">
        <f t="shared" si="135"/>
        <v>3.1126179571318735</v>
      </c>
      <c r="G452" s="8">
        <v>7.9885999999999999</v>
      </c>
      <c r="H452" s="15">
        <v>1.0389860000000001E-2</v>
      </c>
      <c r="I452" s="17">
        <f t="shared" ref="I452:I457" si="145">F452/((E452*10^-4)/(G452*10^-2)*9.81)^(1/2)</f>
        <v>6.1944046926047838</v>
      </c>
      <c r="J452" s="16">
        <v>4.5</v>
      </c>
      <c r="K452" s="9">
        <v>1.75</v>
      </c>
      <c r="L452" s="14">
        <f t="shared" si="144"/>
        <v>19.908081642985977</v>
      </c>
      <c r="M452" s="6"/>
      <c r="N452" s="2">
        <f t="shared" ref="N452:N457" si="146">-(1.7*K452^2)/19.62</f>
        <v>-0.26535423037716616</v>
      </c>
    </row>
    <row r="453" spans="1:14" x14ac:dyDescent="0.3">
      <c r="A453">
        <v>1</v>
      </c>
      <c r="B453">
        <v>40</v>
      </c>
      <c r="C453">
        <v>1</v>
      </c>
      <c r="D453" s="16">
        <v>9.6</v>
      </c>
      <c r="E453" s="11">
        <v>20.561469760000001</v>
      </c>
      <c r="F453" s="9">
        <f t="shared" si="135"/>
        <v>4.6689269356978089</v>
      </c>
      <c r="G453" s="8">
        <v>7.9885999999999999</v>
      </c>
      <c r="H453" s="15">
        <v>1.0389860000000001E-2</v>
      </c>
      <c r="I453" s="17">
        <f t="shared" si="145"/>
        <v>9.2916070389071734</v>
      </c>
      <c r="J453" s="16">
        <v>4.5</v>
      </c>
      <c r="K453" s="9">
        <v>4.4000000000000004</v>
      </c>
      <c r="L453" s="14">
        <f t="shared" si="144"/>
        <v>7.5770649508676753</v>
      </c>
      <c r="M453" s="6"/>
      <c r="N453" s="2">
        <f t="shared" si="146"/>
        <v>-1.6774719673802245</v>
      </c>
    </row>
    <row r="454" spans="1:14" x14ac:dyDescent="0.3">
      <c r="A454">
        <v>1</v>
      </c>
      <c r="B454">
        <v>40</v>
      </c>
      <c r="C454">
        <v>1</v>
      </c>
      <c r="D454" s="16">
        <v>12.8</v>
      </c>
      <c r="E454" s="11">
        <v>20.561469760000001</v>
      </c>
      <c r="F454" s="9">
        <f t="shared" si="135"/>
        <v>6.225235914263747</v>
      </c>
      <c r="G454" s="8">
        <v>7.9885999999999999</v>
      </c>
      <c r="H454" s="15">
        <v>1.0389860000000001E-2</v>
      </c>
      <c r="I454" s="17">
        <f t="shared" si="145"/>
        <v>12.388809385209568</v>
      </c>
      <c r="J454" s="16">
        <v>4.5</v>
      </c>
      <c r="K454" s="9">
        <v>7.01</v>
      </c>
      <c r="L454" s="14">
        <f t="shared" si="144"/>
        <v>2.9557373188976652</v>
      </c>
      <c r="M454" s="6"/>
      <c r="N454" s="2">
        <f t="shared" si="146"/>
        <v>-4.2578068297655447</v>
      </c>
    </row>
    <row r="455" spans="1:14" x14ac:dyDescent="0.3">
      <c r="A455">
        <v>1</v>
      </c>
      <c r="B455">
        <v>40</v>
      </c>
      <c r="C455">
        <v>1</v>
      </c>
      <c r="D455" s="16">
        <v>16</v>
      </c>
      <c r="E455" s="11">
        <v>20.561469760000001</v>
      </c>
      <c r="F455" s="9">
        <f t="shared" si="135"/>
        <v>7.7815448928296833</v>
      </c>
      <c r="G455" s="8">
        <v>7.9885999999999999</v>
      </c>
      <c r="H455" s="15">
        <v>1.0389860000000001E-2</v>
      </c>
      <c r="I455" s="17">
        <f t="shared" si="145"/>
        <v>15.48601173151196</v>
      </c>
      <c r="J455" s="16">
        <v>4.5</v>
      </c>
      <c r="K455" s="9">
        <v>11.09</v>
      </c>
      <c r="L455" s="14">
        <f t="shared" si="144"/>
        <v>-0.1815987899593845</v>
      </c>
      <c r="M455" s="6"/>
      <c r="N455" s="2">
        <f t="shared" si="146"/>
        <v>-10.656461264016309</v>
      </c>
    </row>
    <row r="456" spans="1:14" x14ac:dyDescent="0.3">
      <c r="A456">
        <v>1</v>
      </c>
      <c r="B456">
        <v>40</v>
      </c>
      <c r="C456">
        <v>1</v>
      </c>
      <c r="D456" s="16">
        <v>19.2</v>
      </c>
      <c r="E456" s="11">
        <v>20.561469760000001</v>
      </c>
      <c r="F456" s="9">
        <f t="shared" si="135"/>
        <v>9.3378538713956178</v>
      </c>
      <c r="G456" s="8">
        <v>7.9885999999999999</v>
      </c>
      <c r="H456" s="15">
        <v>1.0389860000000001E-2</v>
      </c>
      <c r="I456" s="17">
        <f t="shared" si="145"/>
        <v>18.583214077814347</v>
      </c>
      <c r="J456" s="16">
        <v>4.5</v>
      </c>
      <c r="K456" s="9">
        <v>15.59</v>
      </c>
      <c r="L456" s="14">
        <f t="shared" si="144"/>
        <v>-2.4668499313137833</v>
      </c>
      <c r="M456" s="6"/>
      <c r="N456" s="2">
        <f t="shared" si="146"/>
        <v>-21.05921355759429</v>
      </c>
    </row>
    <row r="457" spans="1:14" x14ac:dyDescent="0.3">
      <c r="A457">
        <v>1</v>
      </c>
      <c r="B457">
        <v>40</v>
      </c>
      <c r="C457">
        <v>1</v>
      </c>
      <c r="D457" s="16">
        <v>22.6</v>
      </c>
      <c r="E457" s="11">
        <v>20.561469760000001</v>
      </c>
      <c r="F457" s="9">
        <f t="shared" si="135"/>
        <v>10.991432161121928</v>
      </c>
      <c r="G457" s="8">
        <v>7.9885999999999999</v>
      </c>
      <c r="H457" s="15">
        <v>1.0389860000000001E-2</v>
      </c>
      <c r="I457" s="17">
        <f t="shared" si="145"/>
        <v>21.873991570760644</v>
      </c>
      <c r="J457" s="16">
        <v>4.5</v>
      </c>
      <c r="K457" s="9">
        <v>19.75</v>
      </c>
      <c r="L457" s="14">
        <f t="shared" si="144"/>
        <v>-3.8491568964953773</v>
      </c>
      <c r="M457" s="6"/>
      <c r="N457" s="2">
        <f t="shared" si="146"/>
        <v>-33.797464322120277</v>
      </c>
    </row>
    <row r="458" spans="1:14" x14ac:dyDescent="0.3">
      <c r="A458">
        <v>1</v>
      </c>
      <c r="B458">
        <v>40</v>
      </c>
      <c r="C458">
        <v>2</v>
      </c>
      <c r="D458" s="16">
        <v>3.2</v>
      </c>
      <c r="E458" s="11">
        <v>20.561469760000001</v>
      </c>
      <c r="F458" s="9">
        <f t="shared" si="135"/>
        <v>1.5563089785659368</v>
      </c>
      <c r="G458" s="8">
        <v>7.9885999999999999</v>
      </c>
      <c r="H458" s="15">
        <v>5.1949300000000004E-3</v>
      </c>
      <c r="I458" s="17">
        <f>F458/((E458*10^-4)/(G458*10^-2)*9.81)^(1/2)</f>
        <v>3.0972023463023919</v>
      </c>
      <c r="J458" s="16">
        <v>3</v>
      </c>
      <c r="K458" s="9">
        <v>0</v>
      </c>
      <c r="L458" s="14">
        <f t="shared" si="144"/>
        <v>81.781806395124647</v>
      </c>
      <c r="M458" s="6"/>
      <c r="N458" s="2">
        <f>-(1.7*K458^2)/19.62</f>
        <v>0</v>
      </c>
    </row>
    <row r="459" spans="1:14" x14ac:dyDescent="0.3">
      <c r="A459">
        <v>1</v>
      </c>
      <c r="B459">
        <v>40</v>
      </c>
      <c r="C459">
        <v>2</v>
      </c>
      <c r="D459" s="16">
        <v>6.4</v>
      </c>
      <c r="E459" s="11">
        <v>20.561469760000001</v>
      </c>
      <c r="F459" s="9">
        <f t="shared" si="135"/>
        <v>3.1126179571318735</v>
      </c>
      <c r="G459" s="8">
        <v>7.9885999999999999</v>
      </c>
      <c r="H459" s="15">
        <v>5.1949300000000004E-3</v>
      </c>
      <c r="I459" s="17">
        <f t="shared" ref="I459:I464" si="147">F459/((E459*10^-4)/(G459*10^-2)*9.81)^(1/2)</f>
        <v>6.1944046926047838</v>
      </c>
      <c r="J459" s="16">
        <v>4.5</v>
      </c>
      <c r="K459" s="9">
        <v>2.23</v>
      </c>
      <c r="L459" s="14">
        <f t="shared" si="144"/>
        <v>19.572868071214184</v>
      </c>
      <c r="M459" s="6"/>
      <c r="N459" s="2">
        <f t="shared" ref="N459:N464" si="148">-(1.7*K459^2)/19.62</f>
        <v>-0.43088328236493373</v>
      </c>
    </row>
    <row r="460" spans="1:14" x14ac:dyDescent="0.3">
      <c r="A460">
        <v>1</v>
      </c>
      <c r="B460">
        <v>40</v>
      </c>
      <c r="C460">
        <v>2</v>
      </c>
      <c r="D460" s="16">
        <v>9.6</v>
      </c>
      <c r="E460" s="11">
        <v>20.561469760000001</v>
      </c>
      <c r="F460" s="9">
        <f t="shared" si="135"/>
        <v>4.6689269356978089</v>
      </c>
      <c r="G460" s="8">
        <v>7.9885999999999999</v>
      </c>
      <c r="H460" s="15">
        <v>5.1949300000000004E-3</v>
      </c>
      <c r="I460" s="17">
        <f t="shared" si="147"/>
        <v>9.2916070389071734</v>
      </c>
      <c r="J460" s="16">
        <v>4.5</v>
      </c>
      <c r="K460" s="9">
        <v>5.07</v>
      </c>
      <c r="L460" s="14">
        <f t="shared" si="144"/>
        <v>7.0822537207506873</v>
      </c>
      <c r="M460" s="6"/>
      <c r="N460" s="2">
        <f t="shared" si="148"/>
        <v>-2.2272339449541287</v>
      </c>
    </row>
    <row r="461" spans="1:14" x14ac:dyDescent="0.3">
      <c r="A461">
        <v>1</v>
      </c>
      <c r="B461">
        <v>40</v>
      </c>
      <c r="C461">
        <v>2</v>
      </c>
      <c r="D461" s="16">
        <v>12.8</v>
      </c>
      <c r="E461" s="11">
        <v>20.561469760000001</v>
      </c>
      <c r="F461" s="9">
        <f t="shared" si="135"/>
        <v>6.225235914263747</v>
      </c>
      <c r="G461" s="8">
        <v>7.9885999999999999</v>
      </c>
      <c r="H461" s="15">
        <v>5.1949300000000004E-3</v>
      </c>
      <c r="I461" s="17">
        <f t="shared" si="147"/>
        <v>12.388809385209568</v>
      </c>
      <c r="J461" s="16">
        <v>4.5</v>
      </c>
      <c r="K461" s="9">
        <v>9.27</v>
      </c>
      <c r="L461" s="14">
        <f t="shared" si="144"/>
        <v>1.3417499466869678</v>
      </c>
      <c r="M461" s="6"/>
      <c r="N461" s="2">
        <f t="shared" si="148"/>
        <v>-7.4457660550458709</v>
      </c>
    </row>
    <row r="462" spans="1:14" x14ac:dyDescent="0.3">
      <c r="A462">
        <v>1</v>
      </c>
      <c r="B462">
        <v>40</v>
      </c>
      <c r="C462">
        <v>2</v>
      </c>
      <c r="D462" s="16">
        <v>16</v>
      </c>
      <c r="E462" s="11">
        <v>20.561469760000001</v>
      </c>
      <c r="F462" s="9">
        <f t="shared" si="135"/>
        <v>7.7815448928296833</v>
      </c>
      <c r="G462" s="8">
        <v>7.9885999999999999</v>
      </c>
      <c r="H462" s="15">
        <v>5.1949300000000004E-3</v>
      </c>
      <c r="I462" s="17">
        <f t="shared" si="147"/>
        <v>15.48601173151196</v>
      </c>
      <c r="J462" s="16">
        <v>4.5</v>
      </c>
      <c r="K462" s="9">
        <v>14.7</v>
      </c>
      <c r="L462" s="14">
        <f t="shared" si="144"/>
        <v>-2.7954195971403206</v>
      </c>
      <c r="M462" s="6"/>
      <c r="N462" s="2">
        <f t="shared" si="148"/>
        <v>-18.72339449541284</v>
      </c>
    </row>
    <row r="463" spans="1:14" x14ac:dyDescent="0.3">
      <c r="A463">
        <v>1</v>
      </c>
      <c r="B463">
        <v>40</v>
      </c>
      <c r="C463">
        <v>2</v>
      </c>
      <c r="D463" s="16">
        <v>19.2</v>
      </c>
      <c r="E463" s="11">
        <v>20.561469760000001</v>
      </c>
      <c r="F463" s="9">
        <f t="shared" si="135"/>
        <v>9.3378538713956178</v>
      </c>
      <c r="G463" s="8">
        <v>7.9885999999999999</v>
      </c>
      <c r="H463" s="15">
        <v>5.1949300000000004E-3</v>
      </c>
      <c r="I463" s="17">
        <f t="shared" si="147"/>
        <v>18.583214077814347</v>
      </c>
      <c r="J463" s="16">
        <v>4.5</v>
      </c>
      <c r="K463" s="9">
        <v>19.12</v>
      </c>
      <c r="L463" s="14">
        <f t="shared" si="144"/>
        <v>-4.8556736016901105</v>
      </c>
      <c r="M463" s="6"/>
      <c r="N463" s="2">
        <f t="shared" si="148"/>
        <v>-31.675661569826708</v>
      </c>
    </row>
    <row r="464" spans="1:14" x14ac:dyDescent="0.3">
      <c r="A464">
        <v>1</v>
      </c>
      <c r="B464">
        <v>40</v>
      </c>
      <c r="C464">
        <v>2</v>
      </c>
      <c r="D464" s="16">
        <v>23</v>
      </c>
      <c r="E464" s="11">
        <v>20.561469760000001</v>
      </c>
      <c r="F464" s="9">
        <f t="shared" si="135"/>
        <v>11.185970783442668</v>
      </c>
      <c r="G464" s="8">
        <v>7.9885999999999999</v>
      </c>
      <c r="H464" s="15">
        <v>5.1949300000000004E-3</v>
      </c>
      <c r="I464" s="17">
        <f t="shared" si="147"/>
        <v>22.26114186404844</v>
      </c>
      <c r="J464" s="16">
        <v>4.5</v>
      </c>
      <c r="K464" s="9">
        <v>25.79</v>
      </c>
      <c r="L464" s="14">
        <f t="shared" si="144"/>
        <v>-7.453509898505799</v>
      </c>
      <c r="M464" s="6"/>
      <c r="N464" s="2">
        <f t="shared" si="148"/>
        <v>-57.630528542303765</v>
      </c>
    </row>
    <row r="465" spans="1:14" x14ac:dyDescent="0.3">
      <c r="A465">
        <v>1</v>
      </c>
      <c r="B465">
        <v>40</v>
      </c>
      <c r="C465">
        <v>4</v>
      </c>
      <c r="D465" s="16">
        <v>3.2</v>
      </c>
      <c r="E465" s="11">
        <v>20.561469760000001</v>
      </c>
      <c r="F465" s="9">
        <f t="shared" si="135"/>
        <v>1.5563089785659368</v>
      </c>
      <c r="G465" s="8">
        <v>7.9885999999999999</v>
      </c>
      <c r="H465" s="15">
        <v>2.5974650000000002E-3</v>
      </c>
      <c r="I465" s="17">
        <f>F465/((E465*10^-4)/(G465*10^-2)*9.81)^(1/2)</f>
        <v>3.0972023463023919</v>
      </c>
      <c r="J465" s="16">
        <v>3</v>
      </c>
      <c r="K465" s="9">
        <v>0</v>
      </c>
      <c r="L465" s="14">
        <f t="shared" si="144"/>
        <v>81.781806395124647</v>
      </c>
      <c r="M465" s="6"/>
      <c r="N465" s="2">
        <f>-(1.7*K465^2)/19.62</f>
        <v>0</v>
      </c>
    </row>
    <row r="466" spans="1:14" x14ac:dyDescent="0.3">
      <c r="A466">
        <v>1</v>
      </c>
      <c r="B466">
        <v>40</v>
      </c>
      <c r="C466">
        <v>4</v>
      </c>
      <c r="D466" s="16">
        <v>6.4</v>
      </c>
      <c r="E466" s="11">
        <v>20.561469760000001</v>
      </c>
      <c r="F466" s="9">
        <f t="shared" si="135"/>
        <v>3.1126179571318735</v>
      </c>
      <c r="G466" s="8">
        <v>7.9885999999999999</v>
      </c>
      <c r="H466" s="15">
        <v>2.5974650000000002E-3</v>
      </c>
      <c r="I466" s="17">
        <f t="shared" ref="I466:I471" si="149">F466/((E466*10^-4)/(G466*10^-2)*9.81)^(1/2)</f>
        <v>6.1944046926047838</v>
      </c>
      <c r="J466" s="16">
        <v>4.5</v>
      </c>
      <c r="K466" s="9">
        <v>2.82</v>
      </c>
      <c r="L466" s="14">
        <f t="shared" si="144"/>
        <v>19.050061937894426</v>
      </c>
      <c r="M466" s="6"/>
      <c r="N466" s="2">
        <f t="shared" ref="N466:N471" si="150">-(1.7*K466^2)/19.62</f>
        <v>-0.68904587155963293</v>
      </c>
    </row>
    <row r="467" spans="1:14" x14ac:dyDescent="0.3">
      <c r="A467">
        <v>1</v>
      </c>
      <c r="B467">
        <v>40</v>
      </c>
      <c r="C467">
        <v>4</v>
      </c>
      <c r="D467" s="16">
        <v>9.6</v>
      </c>
      <c r="E467" s="11">
        <v>20.561469760000001</v>
      </c>
      <c r="F467" s="9">
        <f t="shared" si="135"/>
        <v>4.6689269356978089</v>
      </c>
      <c r="G467" s="8">
        <v>7.9885999999999999</v>
      </c>
      <c r="H467" s="15">
        <v>2.5974650000000002E-3</v>
      </c>
      <c r="I467" s="17">
        <f t="shared" si="149"/>
        <v>9.2916070389071734</v>
      </c>
      <c r="J467" s="16">
        <v>4.5</v>
      </c>
      <c r="K467" s="9">
        <v>5.86</v>
      </c>
      <c r="L467" s="14">
        <f t="shared" si="144"/>
        <v>6.4088709205976286</v>
      </c>
      <c r="M467" s="6"/>
      <c r="N467" s="2">
        <f t="shared" si="150"/>
        <v>-2.9753985728848114</v>
      </c>
    </row>
    <row r="468" spans="1:14" x14ac:dyDescent="0.3">
      <c r="A468">
        <v>1</v>
      </c>
      <c r="B468">
        <v>40</v>
      </c>
      <c r="C468">
        <v>4</v>
      </c>
      <c r="D468" s="16">
        <v>12.8</v>
      </c>
      <c r="E468" s="11">
        <v>20.561469760000001</v>
      </c>
      <c r="F468" s="9">
        <f t="shared" si="135"/>
        <v>6.225235914263747</v>
      </c>
      <c r="G468" s="8">
        <v>7.9885999999999999</v>
      </c>
      <c r="H468" s="15">
        <v>2.5974650000000002E-3</v>
      </c>
      <c r="I468" s="17">
        <f t="shared" si="149"/>
        <v>12.388809385209568</v>
      </c>
      <c r="J468" s="16">
        <v>4.5</v>
      </c>
      <c r="K468" s="9">
        <v>10.09</v>
      </c>
      <c r="L468" s="14">
        <f t="shared" si="144"/>
        <v>0.64535357752454314</v>
      </c>
      <c r="M468" s="6"/>
      <c r="N468" s="2">
        <f t="shared" si="150"/>
        <v>-8.8212930682976545</v>
      </c>
    </row>
    <row r="469" spans="1:14" x14ac:dyDescent="0.3">
      <c r="A469">
        <v>1</v>
      </c>
      <c r="B469">
        <v>40</v>
      </c>
      <c r="C469">
        <v>4</v>
      </c>
      <c r="D469" s="16">
        <v>16</v>
      </c>
      <c r="E469" s="11">
        <v>20.561469760000001</v>
      </c>
      <c r="F469" s="9">
        <f t="shared" si="135"/>
        <v>7.7815448928296833</v>
      </c>
      <c r="G469" s="8">
        <v>7.9885999999999999</v>
      </c>
      <c r="H469" s="15">
        <v>2.5974650000000002E-3</v>
      </c>
      <c r="I469" s="17">
        <f t="shared" si="149"/>
        <v>15.48601173151196</v>
      </c>
      <c r="J469" s="16">
        <v>4.5</v>
      </c>
      <c r="K469" s="9">
        <v>15.56</v>
      </c>
      <c r="L469" s="14">
        <f t="shared" si="144"/>
        <v>-3.5260279645071941</v>
      </c>
      <c r="M469" s="6"/>
      <c r="N469" s="2">
        <f t="shared" si="150"/>
        <v>-20.978242609582058</v>
      </c>
    </row>
    <row r="470" spans="1:14" x14ac:dyDescent="0.3">
      <c r="A470">
        <v>1</v>
      </c>
      <c r="B470">
        <v>40</v>
      </c>
      <c r="C470">
        <v>4</v>
      </c>
      <c r="D470" s="16">
        <v>19.2</v>
      </c>
      <c r="E470" s="11">
        <v>20.561469760000001</v>
      </c>
      <c r="F470" s="9">
        <f t="shared" si="135"/>
        <v>9.3378538713956178</v>
      </c>
      <c r="G470" s="8">
        <v>7.9885999999999999</v>
      </c>
      <c r="H470" s="15">
        <v>2.5974650000000002E-3</v>
      </c>
      <c r="I470" s="17">
        <f t="shared" si="149"/>
        <v>18.583214077814347</v>
      </c>
      <c r="J470" s="16">
        <v>4.5</v>
      </c>
      <c r="K470" s="9">
        <v>19.43</v>
      </c>
      <c r="L470" s="14">
        <f t="shared" si="144"/>
        <v>-5.0886655166735242</v>
      </c>
      <c r="M470" s="6"/>
      <c r="N470" s="2">
        <f t="shared" si="150"/>
        <v>-32.711127930682977</v>
      </c>
    </row>
    <row r="471" spans="1:14" x14ac:dyDescent="0.3">
      <c r="A471">
        <v>1</v>
      </c>
      <c r="B471">
        <v>40</v>
      </c>
      <c r="C471">
        <v>4</v>
      </c>
      <c r="D471" s="16">
        <v>22.9</v>
      </c>
      <c r="E471" s="11">
        <v>20.561469760000001</v>
      </c>
      <c r="F471" s="9">
        <f t="shared" si="135"/>
        <v>11.137336127862485</v>
      </c>
      <c r="G471" s="8">
        <v>7.9885999999999999</v>
      </c>
      <c r="H471" s="15">
        <v>2.5974650000000002E-3</v>
      </c>
      <c r="I471" s="17">
        <f t="shared" si="149"/>
        <v>22.164354290726493</v>
      </c>
      <c r="J471" s="16">
        <v>4.5</v>
      </c>
      <c r="K471" s="9">
        <v>23.69</v>
      </c>
      <c r="L471" s="14">
        <f t="shared" si="144"/>
        <v>-6.094665346770074</v>
      </c>
      <c r="M471" s="6"/>
      <c r="N471" s="2">
        <f t="shared" si="150"/>
        <v>-48.627286952089705</v>
      </c>
    </row>
    <row r="472" spans="1:14" x14ac:dyDescent="0.3">
      <c r="A472">
        <v>1</v>
      </c>
      <c r="B472">
        <v>40</v>
      </c>
      <c r="C472">
        <v>6</v>
      </c>
      <c r="D472" s="16">
        <v>3.2</v>
      </c>
      <c r="E472" s="11">
        <v>20.561469760000001</v>
      </c>
      <c r="F472" s="9">
        <f t="shared" si="135"/>
        <v>1.5563089785659368</v>
      </c>
      <c r="G472" s="8">
        <v>7.9885999999999999</v>
      </c>
      <c r="H472" s="15">
        <v>1.7316429999999999E-3</v>
      </c>
      <c r="I472" s="17">
        <f>F472/((E472*10^-4)/(G472*10^-2)*9.81)^(1/2)</f>
        <v>3.0972023463023919</v>
      </c>
      <c r="J472" s="16">
        <v>3</v>
      </c>
      <c r="K472" s="9">
        <v>0</v>
      </c>
      <c r="L472" s="14">
        <f t="shared" si="144"/>
        <v>81.781806395124647</v>
      </c>
      <c r="M472" s="6"/>
      <c r="N472" s="2">
        <f>-(1.7*K472^2)/19.62</f>
        <v>0</v>
      </c>
    </row>
    <row r="473" spans="1:14" x14ac:dyDescent="0.3">
      <c r="A473">
        <v>1</v>
      </c>
      <c r="B473">
        <v>40</v>
      </c>
      <c r="C473">
        <v>6</v>
      </c>
      <c r="D473" s="16">
        <v>6.4</v>
      </c>
      <c r="E473" s="11">
        <v>20.561469760000001</v>
      </c>
      <c r="F473" s="9">
        <f t="shared" si="135"/>
        <v>3.1126179571318735</v>
      </c>
      <c r="G473" s="8">
        <v>7.9885999999999999</v>
      </c>
      <c r="H473" s="15">
        <v>1.7316429999999999E-3</v>
      </c>
      <c r="I473" s="17">
        <f t="shared" ref="I473:I478" si="151">F473/((E473*10^-4)/(G473*10^-2)*9.81)^(1/2)</f>
        <v>6.1944046926047838</v>
      </c>
      <c r="J473" s="16">
        <v>4.5</v>
      </c>
      <c r="K473" s="9">
        <v>2.62</v>
      </c>
      <c r="L473" s="14">
        <f t="shared" si="144"/>
        <v>19.24097083974101</v>
      </c>
      <c r="M473" s="6"/>
      <c r="N473" s="2">
        <f t="shared" ref="N473:N478" si="152">-(1.7*K473^2)/19.62</f>
        <v>-0.59477471967380224</v>
      </c>
    </row>
    <row r="474" spans="1:14" x14ac:dyDescent="0.3">
      <c r="A474">
        <v>1</v>
      </c>
      <c r="B474">
        <v>40</v>
      </c>
      <c r="C474">
        <v>6</v>
      </c>
      <c r="D474" s="16">
        <v>9.6</v>
      </c>
      <c r="E474" s="11">
        <v>20.561469760000001</v>
      </c>
      <c r="F474" s="9">
        <f t="shared" si="135"/>
        <v>4.6689269356978089</v>
      </c>
      <c r="G474" s="8">
        <v>7.9885999999999999</v>
      </c>
      <c r="H474" s="15">
        <v>1.7316429999999999E-3</v>
      </c>
      <c r="I474" s="17">
        <f t="shared" si="151"/>
        <v>9.2916070389071734</v>
      </c>
      <c r="J474" s="16">
        <v>4.5</v>
      </c>
      <c r="K474" s="9">
        <v>5.75</v>
      </c>
      <c r="L474" s="14">
        <f t="shared" si="144"/>
        <v>6.5084664102006808</v>
      </c>
      <c r="M474" s="6"/>
      <c r="N474" s="2">
        <f t="shared" si="152"/>
        <v>-2.8647426095820587</v>
      </c>
    </row>
    <row r="475" spans="1:14" x14ac:dyDescent="0.3">
      <c r="A475">
        <v>1</v>
      </c>
      <c r="B475">
        <v>40</v>
      </c>
      <c r="C475">
        <v>6</v>
      </c>
      <c r="D475" s="16">
        <v>12.8</v>
      </c>
      <c r="E475" s="11">
        <v>20.561469760000001</v>
      </c>
      <c r="F475" s="9">
        <f t="shared" si="135"/>
        <v>6.225235914263747</v>
      </c>
      <c r="G475" s="8">
        <v>7.9885999999999999</v>
      </c>
      <c r="H475" s="15">
        <v>1.7316429999999999E-3</v>
      </c>
      <c r="I475" s="17">
        <f t="shared" si="151"/>
        <v>12.388809385209568</v>
      </c>
      <c r="J475" s="16">
        <v>4.5</v>
      </c>
      <c r="K475" s="9">
        <v>9.69</v>
      </c>
      <c r="L475" s="14">
        <f t="shared" si="144"/>
        <v>0.99242876856548212</v>
      </c>
      <c r="M475" s="6"/>
      <c r="N475" s="2">
        <f t="shared" si="152"/>
        <v>-8.1357477064220163</v>
      </c>
    </row>
    <row r="476" spans="1:14" x14ac:dyDescent="0.3">
      <c r="A476">
        <v>1</v>
      </c>
      <c r="B476">
        <v>40</v>
      </c>
      <c r="C476">
        <v>6</v>
      </c>
      <c r="D476" s="16">
        <v>16</v>
      </c>
      <c r="E476" s="11">
        <v>20.561469760000001</v>
      </c>
      <c r="F476" s="9">
        <f t="shared" si="135"/>
        <v>7.7815448928296833</v>
      </c>
      <c r="G476" s="8">
        <v>7.9885999999999999</v>
      </c>
      <c r="H476" s="15">
        <v>1.7316429999999999E-3</v>
      </c>
      <c r="I476" s="17">
        <f t="shared" si="151"/>
        <v>15.48601173151196</v>
      </c>
      <c r="J476" s="16">
        <v>4.5</v>
      </c>
      <c r="K476" s="9">
        <v>10.85</v>
      </c>
      <c r="L476" s="14">
        <f t="shared" si="144"/>
        <v>-3.3767920317712405E-2</v>
      </c>
      <c r="M476" s="6"/>
      <c r="N476" s="2">
        <f t="shared" si="152"/>
        <v>-10.200216615698265</v>
      </c>
    </row>
    <row r="477" spans="1:14" x14ac:dyDescent="0.3">
      <c r="A477">
        <v>1</v>
      </c>
      <c r="B477">
        <v>40</v>
      </c>
      <c r="C477">
        <v>6</v>
      </c>
      <c r="D477" s="16">
        <v>19.2</v>
      </c>
      <c r="E477" s="11">
        <v>20.561469760000001</v>
      </c>
      <c r="F477" s="9">
        <f t="shared" si="135"/>
        <v>9.3378538713956178</v>
      </c>
      <c r="G477" s="8">
        <v>7.9885999999999999</v>
      </c>
      <c r="H477" s="15">
        <v>1.7316429999999999E-3</v>
      </c>
      <c r="I477" s="17">
        <f t="shared" si="151"/>
        <v>18.583214077814347</v>
      </c>
      <c r="J477" s="16">
        <v>4.5</v>
      </c>
      <c r="K477" s="9">
        <v>12.99</v>
      </c>
      <c r="L477" s="14">
        <f t="shared" si="144"/>
        <v>-1.018110278697782</v>
      </c>
      <c r="M477" s="6"/>
      <c r="N477" s="2">
        <f t="shared" si="152"/>
        <v>-14.620701834862386</v>
      </c>
    </row>
    <row r="478" spans="1:14" x14ac:dyDescent="0.3">
      <c r="A478">
        <v>1</v>
      </c>
      <c r="B478">
        <v>40</v>
      </c>
      <c r="C478">
        <v>6</v>
      </c>
      <c r="D478" s="16">
        <v>22.6</v>
      </c>
      <c r="E478" s="11">
        <v>20.561469760000001</v>
      </c>
      <c r="F478" s="9">
        <f t="shared" si="135"/>
        <v>10.991432161121928</v>
      </c>
      <c r="G478" s="8">
        <v>7.9885999999999999</v>
      </c>
      <c r="H478" s="15">
        <v>1.7316429999999999E-3</v>
      </c>
      <c r="I478" s="17">
        <f t="shared" si="151"/>
        <v>21.873991570760644</v>
      </c>
      <c r="J478" s="16">
        <v>4.5</v>
      </c>
      <c r="K478" s="9">
        <v>15.37</v>
      </c>
      <c r="L478" s="14">
        <f t="shared" si="144"/>
        <v>-1.6846001715675076</v>
      </c>
      <c r="M478" s="6"/>
      <c r="N478" s="2">
        <f t="shared" si="152"/>
        <v>-20.469048419979607</v>
      </c>
    </row>
    <row r="479" spans="1:14" x14ac:dyDescent="0.3">
      <c r="A479">
        <v>1</v>
      </c>
      <c r="B479">
        <v>60</v>
      </c>
      <c r="C479">
        <v>1</v>
      </c>
      <c r="D479" s="16">
        <v>4.2</v>
      </c>
      <c r="E479" s="11">
        <v>30.8453421</v>
      </c>
      <c r="F479" s="8">
        <f t="shared" si="135"/>
        <v>1.3616318426243035</v>
      </c>
      <c r="G479" s="8">
        <v>7.9885999999999999</v>
      </c>
      <c r="H479" s="15">
        <v>1.2535021E-2</v>
      </c>
      <c r="I479" s="17">
        <f>F479/((E479*10^-4)/(G479*10^-2)*9.81)^(1/2)</f>
        <v>2.2124106366767977</v>
      </c>
      <c r="J479" s="16">
        <v>3</v>
      </c>
      <c r="K479" s="9">
        <v>0</v>
      </c>
      <c r="L479" s="14">
        <f t="shared" si="144"/>
        <v>106.83878654006276</v>
      </c>
      <c r="M479" s="6"/>
      <c r="N479" s="2">
        <f>-(1.7*K479^2)/19.62</f>
        <v>0</v>
      </c>
    </row>
    <row r="480" spans="1:14" x14ac:dyDescent="0.3">
      <c r="A480">
        <v>1</v>
      </c>
      <c r="B480">
        <v>60</v>
      </c>
      <c r="C480">
        <v>1</v>
      </c>
      <c r="D480" s="16">
        <v>8.4</v>
      </c>
      <c r="E480" s="11">
        <v>30.8453421</v>
      </c>
      <c r="F480" s="8">
        <f t="shared" si="135"/>
        <v>2.723263685248607</v>
      </c>
      <c r="G480" s="8">
        <v>7.9885999999999999</v>
      </c>
      <c r="H480" s="15">
        <v>1.2535021E-2</v>
      </c>
      <c r="I480" s="17">
        <f t="shared" ref="I480:I485" si="153">F480/((E480*10^-4)/(G480*10^-2)*9.81)^(1/2)</f>
        <v>4.4248212733535954</v>
      </c>
      <c r="J480" s="16">
        <v>4.5</v>
      </c>
      <c r="K480" s="9">
        <v>1.4</v>
      </c>
      <c r="L480" s="14">
        <f t="shared" si="144"/>
        <v>26.260407823973399</v>
      </c>
      <c r="M480" s="6"/>
      <c r="N480" s="2">
        <f t="shared" ref="N480:N485" si="154">-(1.7*K480^2)/19.62</f>
        <v>-0.16982670744138631</v>
      </c>
    </row>
    <row r="481" spans="1:14" x14ac:dyDescent="0.3">
      <c r="A481">
        <v>1</v>
      </c>
      <c r="B481">
        <v>60</v>
      </c>
      <c r="C481">
        <v>1</v>
      </c>
      <c r="D481" s="16">
        <v>12.6</v>
      </c>
      <c r="E481" s="11">
        <v>30.8453421</v>
      </c>
      <c r="F481" s="8">
        <f t="shared" si="135"/>
        <v>4.0848955278729093</v>
      </c>
      <c r="G481" s="8">
        <v>7.9885999999999999</v>
      </c>
      <c r="H481" s="15">
        <v>1.2535021E-2</v>
      </c>
      <c r="I481" s="17">
        <f t="shared" si="153"/>
        <v>6.6372319100303914</v>
      </c>
      <c r="J481" s="16">
        <v>4.5</v>
      </c>
      <c r="K481" s="9">
        <v>4.47</v>
      </c>
      <c r="L481" s="14">
        <f t="shared" si="144"/>
        <v>9.8353312018312522</v>
      </c>
      <c r="M481" s="6"/>
      <c r="N481" s="2">
        <f t="shared" si="154"/>
        <v>-1.7312706422018347</v>
      </c>
    </row>
    <row r="482" spans="1:14" x14ac:dyDescent="0.3">
      <c r="A482">
        <v>1</v>
      </c>
      <c r="B482">
        <v>60</v>
      </c>
      <c r="C482">
        <v>1</v>
      </c>
      <c r="D482" s="16">
        <v>16.8</v>
      </c>
      <c r="E482" s="11">
        <v>30.8453421</v>
      </c>
      <c r="F482" s="8">
        <f t="shared" si="135"/>
        <v>5.4465273704972139</v>
      </c>
      <c r="G482" s="8">
        <v>7.9885999999999999</v>
      </c>
      <c r="H482" s="15">
        <v>1.2535021E-2</v>
      </c>
      <c r="I482" s="17">
        <f t="shared" si="153"/>
        <v>8.8496425467071909</v>
      </c>
      <c r="J482" s="16">
        <v>4.5</v>
      </c>
      <c r="K482" s="9">
        <v>9.3000000000000007</v>
      </c>
      <c r="L482" s="14">
        <f t="shared" si="144"/>
        <v>1.7209204257120947</v>
      </c>
      <c r="M482" s="6"/>
      <c r="N482" s="2">
        <f t="shared" si="154"/>
        <v>-7.494036697247707</v>
      </c>
    </row>
    <row r="483" spans="1:14" x14ac:dyDescent="0.3">
      <c r="A483">
        <v>1</v>
      </c>
      <c r="B483">
        <v>60</v>
      </c>
      <c r="C483">
        <v>1</v>
      </c>
      <c r="D483" s="16">
        <v>21</v>
      </c>
      <c r="E483" s="11">
        <v>30.8453421</v>
      </c>
      <c r="F483" s="8">
        <f t="shared" si="135"/>
        <v>6.8081592131215167</v>
      </c>
      <c r="G483" s="8">
        <v>7.9885999999999999</v>
      </c>
      <c r="H483" s="15">
        <v>1.2535021E-2</v>
      </c>
      <c r="I483" s="17">
        <f t="shared" si="153"/>
        <v>11.062053183383988</v>
      </c>
      <c r="J483" s="16">
        <v>4.5</v>
      </c>
      <c r="K483" s="9">
        <v>11.93</v>
      </c>
      <c r="L483" s="14">
        <f t="shared" si="144"/>
        <v>-0.94644732229244855</v>
      </c>
      <c r="M483" s="6"/>
      <c r="N483" s="2">
        <f t="shared" si="154"/>
        <v>-12.331923037716614</v>
      </c>
    </row>
    <row r="484" spans="1:14" x14ac:dyDescent="0.3">
      <c r="A484">
        <v>1</v>
      </c>
      <c r="B484">
        <v>60</v>
      </c>
      <c r="C484">
        <v>1</v>
      </c>
      <c r="D484" s="16">
        <v>25.2</v>
      </c>
      <c r="E484" s="11">
        <v>30.8453421</v>
      </c>
      <c r="F484" s="8">
        <f t="shared" si="135"/>
        <v>8.1697910557458187</v>
      </c>
      <c r="G484" s="8">
        <v>7.9885999999999999</v>
      </c>
      <c r="H484" s="15">
        <v>1.2535021E-2</v>
      </c>
      <c r="I484" s="17">
        <f t="shared" si="153"/>
        <v>13.274463820060783</v>
      </c>
      <c r="J484" s="16">
        <v>4.5</v>
      </c>
      <c r="K484" s="9">
        <v>14.51</v>
      </c>
      <c r="L484" s="14">
        <f t="shared" si="144"/>
        <v>-2.3946885374770268</v>
      </c>
      <c r="M484" s="6"/>
      <c r="N484" s="2">
        <f t="shared" si="154"/>
        <v>-18.242516309887868</v>
      </c>
    </row>
    <row r="485" spans="1:14" x14ac:dyDescent="0.3">
      <c r="A485">
        <v>1</v>
      </c>
      <c r="B485">
        <v>60</v>
      </c>
      <c r="C485">
        <v>1</v>
      </c>
      <c r="D485" s="16">
        <v>29.4</v>
      </c>
      <c r="E485" s="11">
        <v>30.8453421</v>
      </c>
      <c r="F485" s="8">
        <f t="shared" ref="F485:F506" si="155">(D485*10^-3)/(E485*10^-4)</f>
        <v>9.5314228983701224</v>
      </c>
      <c r="G485" s="8">
        <v>7.9885999999999999</v>
      </c>
      <c r="H485" s="15">
        <v>1.2535021E-2</v>
      </c>
      <c r="I485" s="17">
        <f t="shared" si="153"/>
        <v>15.48687445673758</v>
      </c>
      <c r="J485" s="16">
        <v>4.5</v>
      </c>
      <c r="K485" s="9">
        <v>18.8</v>
      </c>
      <c r="L485" s="14">
        <f t="shared" si="144"/>
        <v>-4.433387420664614</v>
      </c>
      <c r="M485" s="6"/>
      <c r="N485" s="2">
        <f t="shared" si="154"/>
        <v>-30.624260958205916</v>
      </c>
    </row>
    <row r="486" spans="1:14" x14ac:dyDescent="0.3">
      <c r="A486">
        <v>1</v>
      </c>
      <c r="B486">
        <v>60</v>
      </c>
      <c r="C486">
        <v>2</v>
      </c>
      <c r="D486" s="16">
        <v>4.2</v>
      </c>
      <c r="E486" s="11">
        <v>30.8453421</v>
      </c>
      <c r="F486" s="8">
        <f t="shared" si="155"/>
        <v>1.3616318426243035</v>
      </c>
      <c r="G486" s="8">
        <v>7.9885999999999999</v>
      </c>
      <c r="H486" s="15">
        <v>6.2675109999999999E-3</v>
      </c>
      <c r="I486" s="17">
        <f>F486/((E486*10^-4)/(G486*10^-2)*9.81)^(1/2)</f>
        <v>2.2124106366767977</v>
      </c>
      <c r="J486" s="16">
        <v>4.5</v>
      </c>
      <c r="K486" s="9">
        <v>0.56000000000000005</v>
      </c>
      <c r="L486" s="14">
        <f t="shared" si="144"/>
        <v>106.55124170099569</v>
      </c>
      <c r="M486" s="6"/>
      <c r="N486" s="2">
        <f>-(1.7*K486^2)/19.62</f>
        <v>-2.7172273190621814E-2</v>
      </c>
    </row>
    <row r="487" spans="1:14" x14ac:dyDescent="0.3">
      <c r="A487">
        <v>1</v>
      </c>
      <c r="B487">
        <v>60</v>
      </c>
      <c r="C487">
        <v>2</v>
      </c>
      <c r="D487" s="16">
        <v>8.4</v>
      </c>
      <c r="E487" s="11">
        <v>30.8453421</v>
      </c>
      <c r="F487" s="8">
        <f t="shared" si="155"/>
        <v>2.723263685248607</v>
      </c>
      <c r="G487" s="8">
        <v>7.9885999999999999</v>
      </c>
      <c r="H487" s="15">
        <v>6.2675109999999999E-3</v>
      </c>
      <c r="I487" s="17">
        <f t="shared" ref="I487:I492" si="156">F487/((E487*10^-4)/(G487*10^-2)*9.81)^(1/2)</f>
        <v>4.4248212733535954</v>
      </c>
      <c r="J487" s="16">
        <v>4.5</v>
      </c>
      <c r="K487" s="9">
        <v>1.82</v>
      </c>
      <c r="L487" s="14">
        <f t="shared" si="144"/>
        <v>25.950398544354215</v>
      </c>
      <c r="M487" s="6"/>
      <c r="N487" s="2">
        <f t="shared" ref="N487:N492" si="157">-(1.7*K487^2)/19.62</f>
        <v>-0.28700713557594287</v>
      </c>
    </row>
    <row r="488" spans="1:14" x14ac:dyDescent="0.3">
      <c r="A488">
        <v>1</v>
      </c>
      <c r="B488">
        <v>60</v>
      </c>
      <c r="C488">
        <v>2</v>
      </c>
      <c r="D488" s="16">
        <v>12.6</v>
      </c>
      <c r="E488" s="11">
        <v>30.8453421</v>
      </c>
      <c r="F488" s="8">
        <f t="shared" si="155"/>
        <v>4.0848955278729093</v>
      </c>
      <c r="G488" s="8">
        <v>7.9885999999999999</v>
      </c>
      <c r="H488" s="15">
        <v>6.2675109999999999E-3</v>
      </c>
      <c r="I488" s="17">
        <f t="shared" si="156"/>
        <v>6.6372319100303914</v>
      </c>
      <c r="J488" s="16">
        <v>4.5</v>
      </c>
      <c r="K488" s="9">
        <v>4.16</v>
      </c>
      <c r="L488" s="14">
        <f t="shared" si="144"/>
        <v>10.107889559242011</v>
      </c>
      <c r="M488" s="6"/>
      <c r="N488" s="2">
        <f t="shared" si="157"/>
        <v>-1.4994658511722732</v>
      </c>
    </row>
    <row r="489" spans="1:14" x14ac:dyDescent="0.3">
      <c r="A489">
        <v>1</v>
      </c>
      <c r="B489">
        <v>60</v>
      </c>
      <c r="C489">
        <v>2</v>
      </c>
      <c r="D489" s="16">
        <v>16.8</v>
      </c>
      <c r="E489" s="11">
        <v>30.8453421</v>
      </c>
      <c r="F489" s="8">
        <f t="shared" si="155"/>
        <v>5.4465273704972139</v>
      </c>
      <c r="G489" s="8">
        <v>7.9885999999999999</v>
      </c>
      <c r="H489" s="15">
        <v>6.2675109999999999E-3</v>
      </c>
      <c r="I489" s="17">
        <f t="shared" si="156"/>
        <v>8.8496425467071909</v>
      </c>
      <c r="J489" s="16">
        <v>4.5</v>
      </c>
      <c r="K489" s="9">
        <v>7.43</v>
      </c>
      <c r="L489" s="14">
        <f t="shared" si="144"/>
        <v>3.5137833571329171</v>
      </c>
      <c r="M489" s="6"/>
      <c r="N489" s="2">
        <f t="shared" si="157"/>
        <v>-4.7832991845056059</v>
      </c>
    </row>
    <row r="490" spans="1:14" x14ac:dyDescent="0.3">
      <c r="A490">
        <v>1</v>
      </c>
      <c r="B490">
        <v>60</v>
      </c>
      <c r="C490">
        <v>2</v>
      </c>
      <c r="D490" s="16">
        <v>21</v>
      </c>
      <c r="E490" s="11">
        <v>30.8453421</v>
      </c>
      <c r="F490" s="8">
        <f t="shared" si="155"/>
        <v>6.8081592131215167</v>
      </c>
      <c r="G490" s="8">
        <v>7.9885999999999999</v>
      </c>
      <c r="H490" s="15">
        <v>6.2675109999999999E-3</v>
      </c>
      <c r="I490" s="17">
        <f t="shared" si="156"/>
        <v>11.062053183383988</v>
      </c>
      <c r="J490" s="16">
        <v>4.5</v>
      </c>
      <c r="K490" s="9">
        <v>10.62</v>
      </c>
      <c r="L490" s="14">
        <f t="shared" si="144"/>
        <v>0.13699889179692815</v>
      </c>
      <c r="M490" s="6"/>
      <c r="N490" s="2">
        <f t="shared" si="157"/>
        <v>-9.7723486238532082</v>
      </c>
    </row>
    <row r="491" spans="1:14" x14ac:dyDescent="0.3">
      <c r="A491">
        <v>1</v>
      </c>
      <c r="B491">
        <v>60</v>
      </c>
      <c r="C491">
        <v>2</v>
      </c>
      <c r="D491" s="16">
        <v>25.2</v>
      </c>
      <c r="E491" s="11">
        <v>30.8453421</v>
      </c>
      <c r="F491" s="8">
        <f t="shared" si="155"/>
        <v>8.1697910557458187</v>
      </c>
      <c r="G491" s="8">
        <v>7.9885999999999999</v>
      </c>
      <c r="H491" s="15">
        <v>6.2675109999999999E-3</v>
      </c>
      <c r="I491" s="17">
        <f t="shared" si="156"/>
        <v>13.274463820060783</v>
      </c>
      <c r="J491" s="16">
        <v>4.5</v>
      </c>
      <c r="K491" s="9">
        <v>13.32</v>
      </c>
      <c r="L491" s="14">
        <f t="shared" si="144"/>
        <v>-1.5511844525872678</v>
      </c>
      <c r="M491" s="6"/>
      <c r="N491" s="2">
        <f t="shared" si="157"/>
        <v>-15.372990825688074</v>
      </c>
    </row>
    <row r="492" spans="1:14" x14ac:dyDescent="0.3">
      <c r="A492">
        <v>1</v>
      </c>
      <c r="B492">
        <v>60</v>
      </c>
      <c r="C492">
        <v>2</v>
      </c>
      <c r="D492" s="16">
        <v>29</v>
      </c>
      <c r="E492" s="11">
        <v>30.8453421</v>
      </c>
      <c r="F492" s="8">
        <f t="shared" si="155"/>
        <v>9.401743675263047</v>
      </c>
      <c r="G492" s="8">
        <v>7.9885999999999999</v>
      </c>
      <c r="H492" s="15">
        <v>6.2675109999999999E-3</v>
      </c>
      <c r="I492" s="17">
        <f t="shared" si="156"/>
        <v>15.276168681815982</v>
      </c>
      <c r="J492" s="16">
        <v>4.5</v>
      </c>
      <c r="K492" s="9">
        <v>15.51</v>
      </c>
      <c r="L492" s="14">
        <f t="shared" si="144"/>
        <v>-2.3855866976326254</v>
      </c>
      <c r="M492" s="6"/>
      <c r="N492" s="2">
        <f t="shared" si="157"/>
        <v>-20.843637614678901</v>
      </c>
    </row>
    <row r="493" spans="1:14" x14ac:dyDescent="0.3">
      <c r="A493">
        <v>1</v>
      </c>
      <c r="B493">
        <v>60</v>
      </c>
      <c r="C493">
        <v>4</v>
      </c>
      <c r="D493" s="16">
        <v>4.2</v>
      </c>
      <c r="E493" s="11">
        <v>30.8453421</v>
      </c>
      <c r="F493" s="8">
        <f t="shared" si="155"/>
        <v>1.3616318426243035</v>
      </c>
      <c r="G493" s="8">
        <v>7.9885999999999999</v>
      </c>
      <c r="H493" s="15">
        <v>3.1337549999999998E-3</v>
      </c>
      <c r="I493" s="17">
        <f>F493/((E493*10^-4)/(G493*10^-2)*9.81)^(1/2)</f>
        <v>2.2124106366767977</v>
      </c>
      <c r="J493" s="16">
        <v>4.5</v>
      </c>
      <c r="K493" s="9">
        <v>0.54</v>
      </c>
      <c r="L493" s="14">
        <f t="shared" si="144"/>
        <v>106.57141385169554</v>
      </c>
      <c r="M493" s="6"/>
      <c r="N493" s="2">
        <f>-(1.7*K493^2)/19.62</f>
        <v>-2.5266055045871563E-2</v>
      </c>
    </row>
    <row r="494" spans="1:14" x14ac:dyDescent="0.3">
      <c r="A494">
        <v>1</v>
      </c>
      <c r="B494">
        <v>60</v>
      </c>
      <c r="C494">
        <v>4</v>
      </c>
      <c r="D494" s="16">
        <v>8.4</v>
      </c>
      <c r="E494" s="11">
        <v>30.8453421</v>
      </c>
      <c r="F494" s="8">
        <f t="shared" si="155"/>
        <v>2.723263685248607</v>
      </c>
      <c r="G494" s="8">
        <v>7.9885999999999999</v>
      </c>
      <c r="H494" s="15">
        <v>3.1337549999999998E-3</v>
      </c>
      <c r="I494" s="17">
        <f t="shared" ref="I494:I499" si="158">F494/((E494*10^-4)/(G494*10^-2)*9.81)^(1/2)</f>
        <v>4.4248212733535954</v>
      </c>
      <c r="J494" s="16">
        <v>4.5</v>
      </c>
      <c r="K494" s="9">
        <v>2.08</v>
      </c>
      <c r="L494" s="14">
        <f t="shared" si="144"/>
        <v>25.717960353335396</v>
      </c>
      <c r="M494" s="6"/>
      <c r="N494" s="2">
        <f t="shared" ref="N494:N499" si="159">-(1.7*K494^2)/19.62</f>
        <v>-0.37486646279306829</v>
      </c>
    </row>
    <row r="495" spans="1:14" x14ac:dyDescent="0.3">
      <c r="A495">
        <v>1</v>
      </c>
      <c r="B495">
        <v>60</v>
      </c>
      <c r="C495">
        <v>4</v>
      </c>
      <c r="D495" s="16">
        <v>12.6</v>
      </c>
      <c r="E495" s="11">
        <v>30.8453421</v>
      </c>
      <c r="F495" s="8">
        <f t="shared" si="155"/>
        <v>4.0848955278729093</v>
      </c>
      <c r="G495" s="8">
        <v>7.9885999999999999</v>
      </c>
      <c r="H495" s="15">
        <v>3.1337549999999998E-3</v>
      </c>
      <c r="I495" s="17">
        <f t="shared" si="158"/>
        <v>6.6372319100303914</v>
      </c>
      <c r="J495" s="16">
        <v>4.5</v>
      </c>
      <c r="K495" s="9">
        <v>4.92</v>
      </c>
      <c r="L495" s="14">
        <f t="shared" si="144"/>
        <v>9.4048391675774621</v>
      </c>
      <c r="M495" s="6"/>
      <c r="N495" s="2">
        <f t="shared" si="159"/>
        <v>-2.0973944954128436</v>
      </c>
    </row>
    <row r="496" spans="1:14" x14ac:dyDescent="0.3">
      <c r="A496">
        <v>1</v>
      </c>
      <c r="B496">
        <v>60</v>
      </c>
      <c r="C496">
        <v>4</v>
      </c>
      <c r="D496" s="16">
        <v>16.8</v>
      </c>
      <c r="E496" s="11">
        <v>30.8453421</v>
      </c>
      <c r="F496" s="8">
        <f t="shared" si="155"/>
        <v>5.4465273704972139</v>
      </c>
      <c r="G496" s="8">
        <v>7.9885999999999999</v>
      </c>
      <c r="H496" s="15">
        <v>3.1337549999999998E-3</v>
      </c>
      <c r="I496" s="17">
        <f t="shared" si="158"/>
        <v>8.8496425467071909</v>
      </c>
      <c r="J496" s="16">
        <v>4.5</v>
      </c>
      <c r="K496" s="9">
        <v>6.91</v>
      </c>
      <c r="L496" s="14">
        <f t="shared" si="144"/>
        <v>3.9411120313905923</v>
      </c>
      <c r="M496" s="6"/>
      <c r="N496" s="2">
        <f t="shared" si="159"/>
        <v>-4.1371952089704376</v>
      </c>
    </row>
    <row r="497" spans="1:14" x14ac:dyDescent="0.3">
      <c r="A497">
        <v>1</v>
      </c>
      <c r="B497">
        <v>60</v>
      </c>
      <c r="C497">
        <v>4</v>
      </c>
      <c r="D497" s="16">
        <v>21</v>
      </c>
      <c r="E497" s="11">
        <v>30.8453421</v>
      </c>
      <c r="F497" s="8">
        <f t="shared" si="155"/>
        <v>6.8081592131215167</v>
      </c>
      <c r="G497" s="8">
        <v>7.9885999999999999</v>
      </c>
      <c r="H497" s="15">
        <v>3.1337549999999998E-3</v>
      </c>
      <c r="I497" s="17">
        <f t="shared" si="158"/>
        <v>11.062053183383988</v>
      </c>
      <c r="J497" s="16">
        <v>4.5</v>
      </c>
      <c r="K497" s="9">
        <v>7.65</v>
      </c>
      <c r="L497" s="14">
        <f t="shared" si="144"/>
        <v>2.1271429355435236</v>
      </c>
      <c r="M497" s="6"/>
      <c r="N497" s="2">
        <f t="shared" si="159"/>
        <v>-5.0707568807339447</v>
      </c>
    </row>
    <row r="498" spans="1:14" x14ac:dyDescent="0.3">
      <c r="A498">
        <v>1</v>
      </c>
      <c r="B498">
        <v>60</v>
      </c>
      <c r="C498">
        <v>4</v>
      </c>
      <c r="D498" s="16">
        <v>25.2</v>
      </c>
      <c r="E498" s="11">
        <v>30.8453421</v>
      </c>
      <c r="F498" s="8">
        <f t="shared" si="155"/>
        <v>8.1697910557458187</v>
      </c>
      <c r="G498" s="8">
        <v>7.9885999999999999</v>
      </c>
      <c r="H498" s="15">
        <v>3.1337549999999998E-3</v>
      </c>
      <c r="I498" s="17">
        <f t="shared" si="158"/>
        <v>13.274463820060783</v>
      </c>
      <c r="J498" s="16">
        <v>4.5</v>
      </c>
      <c r="K498" s="9">
        <v>9.34</v>
      </c>
      <c r="L498" s="14">
        <f t="shared" si="144"/>
        <v>0.74586317460712626</v>
      </c>
      <c r="M498" s="6"/>
      <c r="N498" s="2">
        <f t="shared" si="159"/>
        <v>-7.5586401630988771</v>
      </c>
    </row>
    <row r="499" spans="1:14" x14ac:dyDescent="0.3">
      <c r="A499">
        <v>1</v>
      </c>
      <c r="B499">
        <v>60</v>
      </c>
      <c r="C499">
        <v>4</v>
      </c>
      <c r="D499" s="16">
        <v>29.3</v>
      </c>
      <c r="E499" s="11">
        <v>30.8453421</v>
      </c>
      <c r="F499" s="8">
        <f t="shared" si="155"/>
        <v>9.4990030925933535</v>
      </c>
      <c r="G499" s="8">
        <v>7.9885999999999999</v>
      </c>
      <c r="H499" s="15">
        <v>3.1337549999999998E-3</v>
      </c>
      <c r="I499" s="17">
        <f t="shared" si="158"/>
        <v>15.434198013007181</v>
      </c>
      <c r="J499" s="16">
        <v>4.5</v>
      </c>
      <c r="K499" s="9">
        <v>10.82</v>
      </c>
      <c r="L499" s="14">
        <f t="shared" si="144"/>
        <v>-1.0412822398084611E-2</v>
      </c>
      <c r="M499" s="6"/>
      <c r="N499" s="2">
        <f t="shared" si="159"/>
        <v>-10.143887869520896</v>
      </c>
    </row>
    <row r="500" spans="1:14" x14ac:dyDescent="0.3">
      <c r="A500">
        <v>1</v>
      </c>
      <c r="B500">
        <v>60</v>
      </c>
      <c r="C500">
        <v>6</v>
      </c>
      <c r="D500" s="16">
        <v>4.2</v>
      </c>
      <c r="E500" s="11">
        <v>30.8453421</v>
      </c>
      <c r="F500" s="8">
        <f t="shared" si="155"/>
        <v>1.3616318426243035</v>
      </c>
      <c r="G500" s="8">
        <v>7.9885999999999999</v>
      </c>
      <c r="H500" s="15">
        <v>2.08917E-3</v>
      </c>
      <c r="I500" s="17">
        <f>F500/((E500*10^-4)/(G500*10^-2)*9.81)^(1/2)</f>
        <v>2.2124106366767977</v>
      </c>
      <c r="J500" s="16">
        <v>3</v>
      </c>
      <c r="K500" s="9">
        <v>0</v>
      </c>
      <c r="L500" s="14">
        <f t="shared" si="144"/>
        <v>106.83878654006276</v>
      </c>
      <c r="M500" s="6"/>
      <c r="N500" s="2">
        <f>-(1.7*K500^2)/19.62</f>
        <v>0</v>
      </c>
    </row>
    <row r="501" spans="1:14" x14ac:dyDescent="0.3">
      <c r="A501">
        <v>1</v>
      </c>
      <c r="B501">
        <v>60</v>
      </c>
      <c r="C501">
        <v>6</v>
      </c>
      <c r="D501" s="16">
        <v>8.4</v>
      </c>
      <c r="E501" s="11">
        <v>30.8453421</v>
      </c>
      <c r="F501" s="8">
        <f t="shared" si="155"/>
        <v>2.723263685248607</v>
      </c>
      <c r="G501" s="8">
        <v>7.9885999999999999</v>
      </c>
      <c r="H501" s="15">
        <v>2.08917E-3</v>
      </c>
      <c r="I501" s="17">
        <f t="shared" ref="I501:I506" si="160">F501/((E501*10^-4)/(G501*10^-2)*9.81)^(1/2)</f>
        <v>4.4248212733535954</v>
      </c>
      <c r="J501" s="16">
        <v>4.5</v>
      </c>
      <c r="K501" s="9">
        <v>1.05</v>
      </c>
      <c r="L501" s="14">
        <f t="shared" si="144"/>
        <v>26.456971678804397</v>
      </c>
      <c r="M501" s="6"/>
      <c r="N501" s="2">
        <f t="shared" ref="N501:N506" si="161">-(1.7*K501^2)/19.62</f>
        <v>-9.5527522935779804E-2</v>
      </c>
    </row>
    <row r="502" spans="1:14" x14ac:dyDescent="0.3">
      <c r="A502">
        <v>1</v>
      </c>
      <c r="B502">
        <v>60</v>
      </c>
      <c r="C502">
        <v>6</v>
      </c>
      <c r="D502" s="16">
        <v>12.6</v>
      </c>
      <c r="E502" s="11">
        <v>30.8453421</v>
      </c>
      <c r="F502" s="8">
        <f t="shared" si="155"/>
        <v>4.0848955278729093</v>
      </c>
      <c r="G502" s="8">
        <v>7.9885999999999999</v>
      </c>
      <c r="H502" s="15">
        <v>2.08917E-3</v>
      </c>
      <c r="I502" s="17">
        <f t="shared" si="160"/>
        <v>6.6372319100303914</v>
      </c>
      <c r="J502" s="16">
        <v>4.5</v>
      </c>
      <c r="K502" s="9">
        <v>1.65</v>
      </c>
      <c r="L502" s="14">
        <f t="shared" si="144"/>
        <v>11.593609210106154</v>
      </c>
      <c r="M502" s="6"/>
      <c r="N502" s="2">
        <f t="shared" si="161"/>
        <v>-0.23589449541284399</v>
      </c>
    </row>
    <row r="503" spans="1:14" x14ac:dyDescent="0.3">
      <c r="A503">
        <v>1</v>
      </c>
      <c r="B503">
        <v>60</v>
      </c>
      <c r="C503">
        <v>6</v>
      </c>
      <c r="D503" s="16">
        <v>16.8</v>
      </c>
      <c r="E503" s="11">
        <v>30.8453421</v>
      </c>
      <c r="F503" s="8">
        <f t="shared" si="155"/>
        <v>5.4465273704972139</v>
      </c>
      <c r="G503" s="8">
        <v>7.9885999999999999</v>
      </c>
      <c r="H503" s="15">
        <v>2.08917E-3</v>
      </c>
      <c r="I503" s="17">
        <f t="shared" si="160"/>
        <v>8.8496425467071909</v>
      </c>
      <c r="J503" s="16">
        <v>4.5</v>
      </c>
      <c r="K503" s="9">
        <v>2.98</v>
      </c>
      <c r="L503" s="14">
        <f t="shared" si="144"/>
        <v>6.1685128886544351</v>
      </c>
      <c r="M503" s="6"/>
      <c r="N503" s="2">
        <f t="shared" si="161"/>
        <v>-0.76945361875637097</v>
      </c>
    </row>
    <row r="504" spans="1:14" x14ac:dyDescent="0.3">
      <c r="A504">
        <v>1</v>
      </c>
      <c r="B504">
        <v>60</v>
      </c>
      <c r="C504">
        <v>6</v>
      </c>
      <c r="D504" s="16">
        <v>21</v>
      </c>
      <c r="E504" s="11">
        <v>30.8453421</v>
      </c>
      <c r="F504" s="8">
        <f t="shared" si="155"/>
        <v>6.8081592131215167</v>
      </c>
      <c r="G504" s="8">
        <v>7.9885999999999999</v>
      </c>
      <c r="H504" s="15">
        <v>2.08917E-3</v>
      </c>
      <c r="I504" s="17">
        <f t="shared" si="160"/>
        <v>11.062053183383988</v>
      </c>
      <c r="J504" s="16">
        <v>4.5</v>
      </c>
      <c r="K504" s="9">
        <v>4.01</v>
      </c>
      <c r="L504" s="14">
        <f t="shared" si="144"/>
        <v>3.683787460750171</v>
      </c>
      <c r="M504" s="6"/>
      <c r="N504" s="2">
        <f t="shared" si="161"/>
        <v>-1.393280835881753</v>
      </c>
    </row>
    <row r="505" spans="1:14" x14ac:dyDescent="0.3">
      <c r="A505">
        <v>1</v>
      </c>
      <c r="B505">
        <v>60</v>
      </c>
      <c r="C505">
        <v>6</v>
      </c>
      <c r="D505" s="16">
        <v>25.2</v>
      </c>
      <c r="E505" s="11">
        <v>30.8453421</v>
      </c>
      <c r="F505" s="8">
        <f t="shared" si="155"/>
        <v>8.1697910557458187</v>
      </c>
      <c r="G505" s="8">
        <v>7.9885999999999999</v>
      </c>
      <c r="H505" s="15">
        <v>2.08917E-3</v>
      </c>
      <c r="I505" s="17">
        <f t="shared" si="160"/>
        <v>13.274463820060783</v>
      </c>
      <c r="J505" s="16">
        <v>4.5</v>
      </c>
      <c r="K505" s="9">
        <v>5.59</v>
      </c>
      <c r="L505" s="14">
        <f t="shared" si="144"/>
        <v>2.171858486865085</v>
      </c>
      <c r="M505" s="6"/>
      <c r="N505" s="2">
        <f t="shared" si="161"/>
        <v>-2.7075316004077465</v>
      </c>
    </row>
    <row r="506" spans="1:14" x14ac:dyDescent="0.3">
      <c r="A506">
        <v>1</v>
      </c>
      <c r="B506">
        <v>60</v>
      </c>
      <c r="C506">
        <v>6</v>
      </c>
      <c r="D506" s="16">
        <v>29.6</v>
      </c>
      <c r="E506" s="11">
        <v>30.8453421</v>
      </c>
      <c r="F506" s="8">
        <f t="shared" si="155"/>
        <v>9.5962625099236618</v>
      </c>
      <c r="G506" s="8">
        <v>7.9885999999999999</v>
      </c>
      <c r="H506" s="15">
        <v>2.08917E-3</v>
      </c>
      <c r="I506" s="17">
        <f t="shared" si="160"/>
        <v>15.592227344198381</v>
      </c>
      <c r="J506" s="16">
        <v>4.5</v>
      </c>
      <c r="K506" s="9">
        <v>7.06</v>
      </c>
      <c r="L506" s="14">
        <f t="shared" si="144"/>
        <v>1.2308779337247449</v>
      </c>
      <c r="M506" s="6"/>
      <c r="N506" s="2">
        <f t="shared" si="161"/>
        <v>-4.3187624872578994</v>
      </c>
    </row>
  </sheetData>
  <mergeCells count="1"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9BE6-1188-461A-A143-477DA420D408}">
  <dimension ref="A1:R506"/>
  <sheetViews>
    <sheetView topLeftCell="I1" zoomScaleNormal="100" workbookViewId="0">
      <selection activeCell="L1" sqref="L1:L1048576"/>
    </sheetView>
  </sheetViews>
  <sheetFormatPr defaultColWidth="12" defaultRowHeight="14.4" x14ac:dyDescent="0.3"/>
  <cols>
    <col min="2" max="2" width="9.77734375" customWidth="1"/>
  </cols>
  <sheetData>
    <row r="1" spans="1:18" ht="18" x14ac:dyDescent="0.3">
      <c r="A1" t="s">
        <v>15</v>
      </c>
      <c r="B1" t="s">
        <v>0</v>
      </c>
      <c r="C1" t="s">
        <v>1</v>
      </c>
      <c r="D1" s="18" t="s">
        <v>16</v>
      </c>
      <c r="E1" s="3" t="s">
        <v>2</v>
      </c>
      <c r="F1" s="4" t="s">
        <v>3</v>
      </c>
      <c r="G1" s="1" t="s">
        <v>4</v>
      </c>
      <c r="H1" s="1" t="s">
        <v>5</v>
      </c>
      <c r="I1" s="3" t="s">
        <v>6</v>
      </c>
      <c r="J1" s="1" t="s">
        <v>7</v>
      </c>
      <c r="K1" s="1" t="s">
        <v>8</v>
      </c>
      <c r="L1" s="5" t="s">
        <v>9</v>
      </c>
      <c r="N1" s="2" t="s">
        <v>10</v>
      </c>
      <c r="O1" s="1" t="s">
        <v>18</v>
      </c>
      <c r="P1" s="19" t="s">
        <v>19</v>
      </c>
      <c r="Q1" t="s">
        <v>20</v>
      </c>
      <c r="R1" t="s">
        <v>21</v>
      </c>
    </row>
    <row r="2" spans="1:18" ht="16.8" x14ac:dyDescent="0.3">
      <c r="A2" t="s">
        <v>13</v>
      </c>
      <c r="B2" t="s">
        <v>13</v>
      </c>
      <c r="C2" t="s">
        <v>14</v>
      </c>
      <c r="D2" s="18"/>
      <c r="E2" s="3" t="s">
        <v>11</v>
      </c>
      <c r="F2" s="4" t="s">
        <v>17</v>
      </c>
      <c r="G2" s="1" t="s">
        <v>12</v>
      </c>
      <c r="H2" s="1" t="s">
        <v>13</v>
      </c>
      <c r="I2" s="3" t="s">
        <v>13</v>
      </c>
      <c r="J2" s="1" t="s">
        <v>14</v>
      </c>
      <c r="K2" s="1" t="s">
        <v>17</v>
      </c>
      <c r="L2" s="5" t="s">
        <v>13</v>
      </c>
      <c r="N2" s="2" t="s">
        <v>14</v>
      </c>
      <c r="O2" t="s">
        <v>13</v>
      </c>
      <c r="P2" t="s">
        <v>22</v>
      </c>
    </row>
    <row r="3" spans="1:18" x14ac:dyDescent="0.3">
      <c r="A3">
        <v>0.6</v>
      </c>
      <c r="B3">
        <v>10</v>
      </c>
      <c r="C3">
        <v>1</v>
      </c>
      <c r="D3" s="1">
        <v>0.95</v>
      </c>
      <c r="E3" s="3">
        <v>5.0759999999999996</v>
      </c>
      <c r="F3" s="8">
        <f>(D3*10^-3)/(E3*10^-4)</f>
        <v>1.8715524034672972</v>
      </c>
      <c r="G3" s="9">
        <v>0.94</v>
      </c>
      <c r="H3" s="10">
        <v>4.0000000000000001E-3</v>
      </c>
      <c r="I3" s="11">
        <f>(F3)/((9.81*G3*10^-2))^(1/2)</f>
        <v>6.1631616874318302</v>
      </c>
      <c r="J3" s="9">
        <v>3</v>
      </c>
      <c r="K3" s="9">
        <v>0</v>
      </c>
      <c r="L3" s="12">
        <f t="shared" ref="L3:L66" si="0">(10.33+N3-0.234)/((F3^2)/19.62)</f>
        <v>56.551530256083318</v>
      </c>
      <c r="M3" s="6"/>
      <c r="N3" s="2">
        <f>-(1.7*K3^2)/19.62</f>
        <v>0</v>
      </c>
      <c r="O3">
        <f>K3/F3</f>
        <v>0</v>
      </c>
      <c r="P3">
        <f>K3*PI()*(J3^2)/40</f>
        <v>0</v>
      </c>
      <c r="Q3">
        <f>P3/D3</f>
        <v>0</v>
      </c>
      <c r="R3">
        <f>H3*C3</f>
        <v>4.0000000000000001E-3</v>
      </c>
    </row>
    <row r="4" spans="1:18" x14ac:dyDescent="0.3">
      <c r="A4">
        <v>0.6</v>
      </c>
      <c r="B4">
        <v>10</v>
      </c>
      <c r="C4">
        <v>1</v>
      </c>
      <c r="D4" s="1">
        <v>1.9</v>
      </c>
      <c r="E4" s="3">
        <v>5.0759999999999996</v>
      </c>
      <c r="F4" s="8">
        <f t="shared" ref="F4:F9" si="1">(D4*10^-3)/(E4*10^-4)</f>
        <v>3.7431048069345945</v>
      </c>
      <c r="G4" s="9">
        <v>0.94</v>
      </c>
      <c r="H4" s="10">
        <v>4.0000000000000001E-3</v>
      </c>
      <c r="I4" s="11">
        <f t="shared" ref="I4:I9" si="2">(F4)/((9.81*G4*10^-2))^(1/2)</f>
        <v>12.32632337486366</v>
      </c>
      <c r="J4" s="9">
        <v>4.5</v>
      </c>
      <c r="K4" s="9">
        <v>2.72</v>
      </c>
      <c r="L4" s="12">
        <f t="shared" si="0"/>
        <v>13.2402000732472</v>
      </c>
      <c r="M4" s="6"/>
      <c r="N4" s="2">
        <f t="shared" ref="N4:N9" si="3">-(1.7*K4^2)/19.62</f>
        <v>-0.64104383282364941</v>
      </c>
      <c r="O4">
        <f t="shared" ref="O4:O67" si="4">K4/F4</f>
        <v>0.72666947368421053</v>
      </c>
      <c r="P4">
        <f>K4*PI()*(J4^2)/40</f>
        <v>4.3259730839931461</v>
      </c>
      <c r="Q4">
        <f t="shared" ref="Q4:Q67" si="5">P4/D4</f>
        <v>2.2768279389437613</v>
      </c>
      <c r="R4">
        <f t="shared" ref="R4:R67" si="6">H4*C4</f>
        <v>4.0000000000000001E-3</v>
      </c>
    </row>
    <row r="5" spans="1:18" x14ac:dyDescent="0.3">
      <c r="A5">
        <v>0.6</v>
      </c>
      <c r="B5">
        <v>10</v>
      </c>
      <c r="C5">
        <v>1</v>
      </c>
      <c r="D5" s="1">
        <v>2.85</v>
      </c>
      <c r="E5" s="3">
        <v>5.0759999999999996</v>
      </c>
      <c r="F5" s="8">
        <f t="shared" si="1"/>
        <v>5.6146572104018917</v>
      </c>
      <c r="G5" s="9">
        <v>0.94</v>
      </c>
      <c r="H5" s="10">
        <v>4.0000000000000001E-3</v>
      </c>
      <c r="I5" s="11">
        <f t="shared" si="2"/>
        <v>18.48948506229549</v>
      </c>
      <c r="J5" s="9">
        <v>4.5</v>
      </c>
      <c r="K5" s="9">
        <v>6.26</v>
      </c>
      <c r="L5" s="12">
        <f t="shared" si="0"/>
        <v>4.1702523059767316</v>
      </c>
      <c r="M5" s="6"/>
      <c r="N5" s="2">
        <f t="shared" si="3"/>
        <v>-3.3954597349643212</v>
      </c>
      <c r="O5">
        <f t="shared" si="4"/>
        <v>1.114938947368421</v>
      </c>
      <c r="P5">
        <f t="shared" ref="P5:P68" si="7">K5*PI()*(J5^2)/40</f>
        <v>9.9560998183077523</v>
      </c>
      <c r="Q5">
        <f t="shared" si="5"/>
        <v>3.4933683573009655</v>
      </c>
      <c r="R5">
        <f t="shared" si="6"/>
        <v>4.0000000000000001E-3</v>
      </c>
    </row>
    <row r="6" spans="1:18" x14ac:dyDescent="0.3">
      <c r="A6">
        <v>0.6</v>
      </c>
      <c r="B6">
        <v>10</v>
      </c>
      <c r="C6">
        <v>1</v>
      </c>
      <c r="D6" s="1">
        <v>3.8</v>
      </c>
      <c r="E6" s="3">
        <v>5.0759999999999996</v>
      </c>
      <c r="F6" s="8">
        <f t="shared" si="1"/>
        <v>7.4862096138691889</v>
      </c>
      <c r="G6" s="9">
        <v>0.94</v>
      </c>
      <c r="H6" s="10">
        <v>4.0000000000000001E-3</v>
      </c>
      <c r="I6" s="11">
        <f t="shared" si="2"/>
        <v>24.652646749727321</v>
      </c>
      <c r="J6" s="9">
        <v>4.5</v>
      </c>
      <c r="K6" s="9">
        <v>11.68</v>
      </c>
      <c r="L6" s="12">
        <f t="shared" si="0"/>
        <v>-0.60372139474969488</v>
      </c>
      <c r="M6" s="6"/>
      <c r="N6" s="2">
        <f t="shared" si="3"/>
        <v>-11.820493374108052</v>
      </c>
      <c r="O6">
        <f t="shared" si="4"/>
        <v>1.5602021052631578</v>
      </c>
      <c r="P6">
        <f t="shared" si="7"/>
        <v>18.576237360676448</v>
      </c>
      <c r="Q6">
        <f t="shared" si="5"/>
        <v>4.8884835159674864</v>
      </c>
      <c r="R6">
        <f t="shared" si="6"/>
        <v>4.0000000000000001E-3</v>
      </c>
    </row>
    <row r="7" spans="1:18" x14ac:dyDescent="0.3">
      <c r="A7">
        <v>0.6</v>
      </c>
      <c r="B7">
        <v>10</v>
      </c>
      <c r="C7">
        <v>1</v>
      </c>
      <c r="D7" s="1">
        <v>4.75</v>
      </c>
      <c r="E7" s="3">
        <v>5.0759999999999996</v>
      </c>
      <c r="F7" s="8">
        <f t="shared" si="1"/>
        <v>9.3577620173364853</v>
      </c>
      <c r="G7" s="9">
        <v>0.94</v>
      </c>
      <c r="H7" s="10">
        <v>4.0000000000000001E-3</v>
      </c>
      <c r="I7" s="11">
        <f t="shared" si="2"/>
        <v>30.815808437159149</v>
      </c>
      <c r="J7" s="9">
        <v>4.5</v>
      </c>
      <c r="K7" s="9">
        <v>15.93</v>
      </c>
      <c r="L7" s="12">
        <f t="shared" si="0"/>
        <v>-2.6644160281416327</v>
      </c>
      <c r="M7" s="6"/>
      <c r="N7" s="2">
        <f t="shared" si="3"/>
        <v>-21.987784403669721</v>
      </c>
      <c r="O7">
        <f t="shared" si="4"/>
        <v>1.7023301052631579</v>
      </c>
      <c r="P7">
        <f t="shared" si="7"/>
        <v>25.335570304415732</v>
      </c>
      <c r="Q7">
        <f t="shared" si="5"/>
        <v>5.3338042746138381</v>
      </c>
      <c r="R7">
        <f t="shared" si="6"/>
        <v>4.0000000000000001E-3</v>
      </c>
    </row>
    <row r="8" spans="1:18" x14ac:dyDescent="0.3">
      <c r="A8">
        <v>0.6</v>
      </c>
      <c r="B8">
        <v>10</v>
      </c>
      <c r="C8">
        <v>1</v>
      </c>
      <c r="D8" s="1">
        <v>5.65</v>
      </c>
      <c r="E8" s="3">
        <v>5.0759999999999996</v>
      </c>
      <c r="F8" s="8">
        <f t="shared" si="1"/>
        <v>11.130811662726558</v>
      </c>
      <c r="G8" s="9">
        <v>0.94</v>
      </c>
      <c r="H8" s="10">
        <v>4.0000000000000001E-3</v>
      </c>
      <c r="I8" s="11">
        <f t="shared" si="2"/>
        <v>36.654593193673513</v>
      </c>
      <c r="J8" s="9">
        <v>4.5</v>
      </c>
      <c r="K8" s="9">
        <v>19.579999999999998</v>
      </c>
      <c r="L8" s="12">
        <f t="shared" si="0"/>
        <v>-3.6616205349629114</v>
      </c>
      <c r="M8" s="6"/>
      <c r="N8" s="2">
        <f t="shared" si="3"/>
        <v>-33.21813863404688</v>
      </c>
      <c r="O8">
        <f t="shared" si="4"/>
        <v>1.7590810619469024</v>
      </c>
      <c r="P8">
        <f t="shared" si="7"/>
        <v>31.14064447962712</v>
      </c>
      <c r="Q8">
        <f t="shared" si="5"/>
        <v>5.5116184919694016</v>
      </c>
      <c r="R8">
        <f t="shared" si="6"/>
        <v>4.0000000000000001E-3</v>
      </c>
    </row>
    <row r="9" spans="1:18" x14ac:dyDescent="0.3">
      <c r="A9">
        <v>0.6</v>
      </c>
      <c r="B9">
        <v>10</v>
      </c>
      <c r="C9">
        <v>1</v>
      </c>
      <c r="D9" s="9">
        <v>6.6</v>
      </c>
      <c r="E9" s="3">
        <v>5.0759999999999996</v>
      </c>
      <c r="F9" s="8">
        <f t="shared" si="1"/>
        <v>13.002364066193854</v>
      </c>
      <c r="G9" s="9">
        <v>0.94</v>
      </c>
      <c r="H9" s="10">
        <v>4.0000000000000001E-3</v>
      </c>
      <c r="I9" s="11">
        <f t="shared" si="2"/>
        <v>42.817754881105344</v>
      </c>
      <c r="J9" s="9">
        <v>4.5</v>
      </c>
      <c r="K9" s="9">
        <v>22.49</v>
      </c>
      <c r="L9" s="12">
        <f t="shared" si="0"/>
        <v>-3.9144143539785112</v>
      </c>
      <c r="M9" s="6"/>
      <c r="N9" s="2">
        <f t="shared" si="3"/>
        <v>-43.825696738022415</v>
      </c>
      <c r="O9">
        <f t="shared" si="4"/>
        <v>1.7296854545454543</v>
      </c>
      <c r="P9">
        <f t="shared" si="7"/>
        <v>35.768799506987435</v>
      </c>
      <c r="Q9">
        <f t="shared" si="5"/>
        <v>5.4195150768162783</v>
      </c>
      <c r="R9">
        <f t="shared" si="6"/>
        <v>4.0000000000000001E-3</v>
      </c>
    </row>
    <row r="10" spans="1:18" x14ac:dyDescent="0.3">
      <c r="A10">
        <v>0.6</v>
      </c>
      <c r="B10">
        <v>10</v>
      </c>
      <c r="C10">
        <v>2</v>
      </c>
      <c r="D10" s="1">
        <v>0.95</v>
      </c>
      <c r="E10" s="3">
        <v>5.0759999999999996</v>
      </c>
      <c r="F10" s="8">
        <f>(D10*10^-3)/(E10*10^-4)</f>
        <v>1.8715524034672972</v>
      </c>
      <c r="G10" s="9">
        <v>0.94</v>
      </c>
      <c r="H10" s="10">
        <v>2E-3</v>
      </c>
      <c r="I10" s="11">
        <f>(F10)/((9.81*G10*10^-2))^(1/2)</f>
        <v>6.1631616874318302</v>
      </c>
      <c r="J10" s="9">
        <v>3</v>
      </c>
      <c r="K10" s="9">
        <v>0</v>
      </c>
      <c r="L10" s="14">
        <f t="shared" si="0"/>
        <v>56.551530256083318</v>
      </c>
      <c r="M10" s="6"/>
      <c r="N10" s="2">
        <f>-(1.7*K10^2)/19.62</f>
        <v>0</v>
      </c>
      <c r="O10">
        <f t="shared" si="4"/>
        <v>0</v>
      </c>
      <c r="P10">
        <f t="shared" si="7"/>
        <v>0</v>
      </c>
      <c r="Q10">
        <f t="shared" si="5"/>
        <v>0</v>
      </c>
      <c r="R10">
        <f t="shared" si="6"/>
        <v>4.0000000000000001E-3</v>
      </c>
    </row>
    <row r="11" spans="1:18" x14ac:dyDescent="0.3">
      <c r="A11">
        <v>0.6</v>
      </c>
      <c r="B11">
        <v>10</v>
      </c>
      <c r="C11">
        <v>2</v>
      </c>
      <c r="D11" s="1">
        <v>1.9</v>
      </c>
      <c r="E11" s="3">
        <v>5.0759999999999996</v>
      </c>
      <c r="F11" s="8">
        <f t="shared" ref="F11:F16" si="8">(D11*10^-3)/(E11*10^-4)</f>
        <v>3.7431048069345945</v>
      </c>
      <c r="G11" s="9">
        <v>0.94</v>
      </c>
      <c r="H11" s="10">
        <v>2E-3</v>
      </c>
      <c r="I11" s="11">
        <f t="shared" ref="I11:I16" si="9">(F11)/((9.81*G11*10^-2))^(1/2)</f>
        <v>12.32632337486366</v>
      </c>
      <c r="J11" s="9">
        <v>4.5</v>
      </c>
      <c r="K11" s="9">
        <v>2.78</v>
      </c>
      <c r="L11" s="14">
        <f t="shared" si="0"/>
        <v>13.200159629103156</v>
      </c>
      <c r="M11" s="6"/>
      <c r="N11" s="2">
        <f t="shared" ref="N11:N16" si="10">-(1.7*K11^2)/19.62</f>
        <v>-0.66963710499490303</v>
      </c>
      <c r="O11">
        <f t="shared" si="4"/>
        <v>0.7426989473684209</v>
      </c>
      <c r="P11">
        <f t="shared" si="7"/>
        <v>4.4213989608459343</v>
      </c>
      <c r="Q11">
        <f t="shared" si="5"/>
        <v>2.327052084655755</v>
      </c>
      <c r="R11">
        <f t="shared" si="6"/>
        <v>4.0000000000000001E-3</v>
      </c>
    </row>
    <row r="12" spans="1:18" x14ac:dyDescent="0.3">
      <c r="A12">
        <v>0.6</v>
      </c>
      <c r="B12">
        <v>10</v>
      </c>
      <c r="C12">
        <v>2</v>
      </c>
      <c r="D12" s="1">
        <v>2.85</v>
      </c>
      <c r="E12" s="3">
        <v>5.0759999999999996</v>
      </c>
      <c r="F12" s="8">
        <f t="shared" si="8"/>
        <v>5.6146572104018917</v>
      </c>
      <c r="G12" s="9">
        <v>0.94</v>
      </c>
      <c r="H12" s="10">
        <v>2E-3</v>
      </c>
      <c r="I12" s="11">
        <f t="shared" si="9"/>
        <v>18.48948506229549</v>
      </c>
      <c r="J12" s="9">
        <v>4.5</v>
      </c>
      <c r="K12" s="9">
        <v>5.78</v>
      </c>
      <c r="L12" s="14">
        <f t="shared" si="0"/>
        <v>4.4819044740538496</v>
      </c>
      <c r="M12" s="6"/>
      <c r="N12" s="2">
        <f t="shared" si="10"/>
        <v>-2.8947135575942915</v>
      </c>
      <c r="O12">
        <f t="shared" si="4"/>
        <v>1.0294484210526316</v>
      </c>
      <c r="P12">
        <f t="shared" si="7"/>
        <v>9.1926928034854338</v>
      </c>
      <c r="Q12">
        <f t="shared" si="5"/>
        <v>3.2255062468369942</v>
      </c>
      <c r="R12">
        <f t="shared" si="6"/>
        <v>4.0000000000000001E-3</v>
      </c>
    </row>
    <row r="13" spans="1:18" x14ac:dyDescent="0.3">
      <c r="A13">
        <v>0.6</v>
      </c>
      <c r="B13">
        <v>10</v>
      </c>
      <c r="C13">
        <v>2</v>
      </c>
      <c r="D13" s="1">
        <v>3.8</v>
      </c>
      <c r="E13" s="3">
        <v>5.0759999999999996</v>
      </c>
      <c r="F13" s="8">
        <f t="shared" si="8"/>
        <v>7.4862096138691889</v>
      </c>
      <c r="G13" s="9">
        <v>0.94</v>
      </c>
      <c r="H13" s="10">
        <v>2E-3</v>
      </c>
      <c r="I13" s="11">
        <f t="shared" si="9"/>
        <v>24.652646749727321</v>
      </c>
      <c r="J13" s="9">
        <v>4.5</v>
      </c>
      <c r="K13" s="9">
        <v>12.43</v>
      </c>
      <c r="L13" s="14">
        <f t="shared" si="0"/>
        <v>-1.1522299790183927</v>
      </c>
      <c r="M13" s="6"/>
      <c r="N13" s="2">
        <f t="shared" si="10"/>
        <v>-13.387274719673801</v>
      </c>
      <c r="O13">
        <f t="shared" si="4"/>
        <v>1.6603863157894736</v>
      </c>
      <c r="P13">
        <f t="shared" si="7"/>
        <v>19.769060821336318</v>
      </c>
      <c r="Q13">
        <f t="shared" si="5"/>
        <v>5.2023844266674519</v>
      </c>
      <c r="R13">
        <f t="shared" si="6"/>
        <v>4.0000000000000001E-3</v>
      </c>
    </row>
    <row r="14" spans="1:18" x14ac:dyDescent="0.3">
      <c r="A14">
        <v>0.6</v>
      </c>
      <c r="B14">
        <v>10</v>
      </c>
      <c r="C14">
        <v>2</v>
      </c>
      <c r="D14" s="1">
        <v>4.75</v>
      </c>
      <c r="E14" s="3">
        <v>5.0759999999999996</v>
      </c>
      <c r="F14" s="8">
        <f t="shared" si="8"/>
        <v>9.3577620173364853</v>
      </c>
      <c r="G14" s="9">
        <v>0.94</v>
      </c>
      <c r="H14" s="10">
        <v>2E-3</v>
      </c>
      <c r="I14" s="11">
        <f t="shared" si="9"/>
        <v>30.815808437159149</v>
      </c>
      <c r="J14" s="9">
        <v>4.5</v>
      </c>
      <c r="K14" s="9">
        <v>18.98</v>
      </c>
      <c r="L14" s="14">
        <f t="shared" si="0"/>
        <v>-4.7314833301824537</v>
      </c>
      <c r="M14" s="6"/>
      <c r="N14" s="2">
        <f t="shared" si="10"/>
        <v>-31.213490316004076</v>
      </c>
      <c r="O14">
        <f t="shared" si="4"/>
        <v>2.0282627368421053</v>
      </c>
      <c r="P14">
        <f t="shared" si="7"/>
        <v>30.186385711099227</v>
      </c>
      <c r="Q14">
        <f t="shared" si="5"/>
        <v>6.3550285707577316</v>
      </c>
      <c r="R14">
        <f t="shared" si="6"/>
        <v>4.0000000000000001E-3</v>
      </c>
    </row>
    <row r="15" spans="1:18" x14ac:dyDescent="0.3">
      <c r="A15">
        <v>0.6</v>
      </c>
      <c r="B15">
        <v>10</v>
      </c>
      <c r="C15">
        <v>2</v>
      </c>
      <c r="D15" s="1">
        <v>5.65</v>
      </c>
      <c r="E15" s="3">
        <v>5.0759999999999996</v>
      </c>
      <c r="F15" s="8">
        <f t="shared" si="8"/>
        <v>11.130811662726558</v>
      </c>
      <c r="G15" s="9">
        <v>0.94</v>
      </c>
      <c r="H15" s="10">
        <v>2E-3</v>
      </c>
      <c r="I15" s="11">
        <f t="shared" si="9"/>
        <v>36.654593193673513</v>
      </c>
      <c r="J15" s="9">
        <v>4.5</v>
      </c>
      <c r="K15" s="9">
        <v>23.32</v>
      </c>
      <c r="L15" s="14">
        <f t="shared" si="0"/>
        <v>-5.8631481983236133</v>
      </c>
      <c r="M15" s="6"/>
      <c r="N15" s="2">
        <f t="shared" si="10"/>
        <v>-47.120187563710495</v>
      </c>
      <c r="O15">
        <f t="shared" si="4"/>
        <v>2.0950853097345132</v>
      </c>
      <c r="P15">
        <f t="shared" si="7"/>
        <v>37.088857470117702</v>
      </c>
      <c r="Q15">
        <f t="shared" si="5"/>
        <v>6.5643995522332208</v>
      </c>
      <c r="R15">
        <f t="shared" si="6"/>
        <v>4.0000000000000001E-3</v>
      </c>
    </row>
    <row r="16" spans="1:18" x14ac:dyDescent="0.3">
      <c r="A16">
        <v>0.6</v>
      </c>
      <c r="B16">
        <v>10</v>
      </c>
      <c r="C16">
        <v>2</v>
      </c>
      <c r="D16" s="9">
        <v>6.6</v>
      </c>
      <c r="E16" s="3">
        <v>5.0759999999999996</v>
      </c>
      <c r="F16" s="8">
        <f t="shared" si="8"/>
        <v>13.002364066193854</v>
      </c>
      <c r="G16" s="9">
        <v>0.94</v>
      </c>
      <c r="H16" s="10">
        <v>2E-3</v>
      </c>
      <c r="I16" s="11">
        <f t="shared" si="9"/>
        <v>42.817754881105344</v>
      </c>
      <c r="J16" s="9">
        <v>4.5</v>
      </c>
      <c r="K16" s="9">
        <v>28.98</v>
      </c>
      <c r="L16" s="14">
        <f t="shared" si="0"/>
        <v>-7.2733612837566932</v>
      </c>
      <c r="M16" s="6"/>
      <c r="N16" s="2">
        <f t="shared" si="10"/>
        <v>-72.769045871559626</v>
      </c>
      <c r="O16">
        <f t="shared" si="4"/>
        <v>2.2288254545454547</v>
      </c>
      <c r="P16">
        <f t="shared" si="7"/>
        <v>46.090698519897551</v>
      </c>
      <c r="Q16">
        <f t="shared" si="5"/>
        <v>6.9834391696814473</v>
      </c>
      <c r="R16">
        <f t="shared" si="6"/>
        <v>4.0000000000000001E-3</v>
      </c>
    </row>
    <row r="17" spans="1:18" x14ac:dyDescent="0.3">
      <c r="A17">
        <v>0.6</v>
      </c>
      <c r="B17">
        <v>10</v>
      </c>
      <c r="C17">
        <v>4</v>
      </c>
      <c r="D17" s="1">
        <v>0.95</v>
      </c>
      <c r="E17" s="3">
        <v>5.0759999999999996</v>
      </c>
      <c r="F17" s="8">
        <f>(D17*10^-3)/(E17*10^-4)</f>
        <v>1.8715524034672972</v>
      </c>
      <c r="G17" s="9">
        <v>0.94</v>
      </c>
      <c r="H17" s="10">
        <v>1E-3</v>
      </c>
      <c r="I17" s="11">
        <f>(F17)/((9.81*G17*10^-2))^(1/2)</f>
        <v>6.1631616874318302</v>
      </c>
      <c r="J17" s="9">
        <v>3</v>
      </c>
      <c r="K17" s="9">
        <v>0</v>
      </c>
      <c r="L17" s="14">
        <f t="shared" si="0"/>
        <v>56.551530256083318</v>
      </c>
      <c r="M17" s="6"/>
      <c r="N17" s="2">
        <f>-(1.7*K17^2)/19.62</f>
        <v>0</v>
      </c>
      <c r="O17">
        <f t="shared" si="4"/>
        <v>0</v>
      </c>
      <c r="P17">
        <f t="shared" si="7"/>
        <v>0</v>
      </c>
      <c r="Q17">
        <f t="shared" si="5"/>
        <v>0</v>
      </c>
      <c r="R17">
        <f t="shared" si="6"/>
        <v>4.0000000000000001E-3</v>
      </c>
    </row>
    <row r="18" spans="1:18" x14ac:dyDescent="0.3">
      <c r="A18">
        <v>0.6</v>
      </c>
      <c r="B18">
        <v>10</v>
      </c>
      <c r="C18">
        <v>4</v>
      </c>
      <c r="D18" s="1">
        <v>1.9</v>
      </c>
      <c r="E18" s="3">
        <v>5.0759999999999996</v>
      </c>
      <c r="F18" s="8">
        <f t="shared" ref="F18:F23" si="11">(D18*10^-3)/(E18*10^-4)</f>
        <v>3.7431048069345945</v>
      </c>
      <c r="G18" s="9">
        <v>0.94</v>
      </c>
      <c r="H18" s="10">
        <v>1E-3</v>
      </c>
      <c r="I18" s="11">
        <f t="shared" ref="I18:I23" si="12">(F18)/((9.81*G18*10^-2))^(1/2)</f>
        <v>12.32632337486366</v>
      </c>
      <c r="J18" s="9">
        <v>4.5</v>
      </c>
      <c r="K18" s="9">
        <v>2.83</v>
      </c>
      <c r="L18" s="14">
        <f t="shared" si="0"/>
        <v>13.166125251580718</v>
      </c>
      <c r="M18" s="6"/>
      <c r="N18" s="2">
        <f t="shared" ref="N18:N23" si="13">-(1.7*K18^2)/19.62</f>
        <v>-0.69394138634046887</v>
      </c>
      <c r="O18">
        <f t="shared" si="4"/>
        <v>0.75605684210526314</v>
      </c>
      <c r="P18">
        <f t="shared" si="7"/>
        <v>4.500920524889926</v>
      </c>
      <c r="Q18">
        <f t="shared" si="5"/>
        <v>2.3689055394157505</v>
      </c>
      <c r="R18">
        <f t="shared" si="6"/>
        <v>4.0000000000000001E-3</v>
      </c>
    </row>
    <row r="19" spans="1:18" x14ac:dyDescent="0.3">
      <c r="A19">
        <v>0.6</v>
      </c>
      <c r="B19">
        <v>10</v>
      </c>
      <c r="C19">
        <v>4</v>
      </c>
      <c r="D19" s="1">
        <v>2.85</v>
      </c>
      <c r="E19" s="3">
        <v>5.0759999999999996</v>
      </c>
      <c r="F19" s="8">
        <f t="shared" si="11"/>
        <v>5.6146572104018917</v>
      </c>
      <c r="G19" s="9">
        <v>0.94</v>
      </c>
      <c r="H19" s="10">
        <v>1E-3</v>
      </c>
      <c r="I19" s="11">
        <f t="shared" si="12"/>
        <v>18.48948506229549</v>
      </c>
      <c r="J19" s="9">
        <v>4.5</v>
      </c>
      <c r="K19" s="9">
        <v>7.36</v>
      </c>
      <c r="L19" s="14">
        <f t="shared" si="0"/>
        <v>3.3623251219146817</v>
      </c>
      <c r="M19" s="6"/>
      <c r="N19" s="2">
        <f t="shared" si="13"/>
        <v>-4.6935942915392452</v>
      </c>
      <c r="O19">
        <f t="shared" si="4"/>
        <v>1.3108547368421053</v>
      </c>
      <c r="P19">
        <f t="shared" si="7"/>
        <v>11.705574227275569</v>
      </c>
      <c r="Q19">
        <f t="shared" si="5"/>
        <v>4.107219027114235</v>
      </c>
      <c r="R19">
        <f t="shared" si="6"/>
        <v>4.0000000000000001E-3</v>
      </c>
    </row>
    <row r="20" spans="1:18" x14ac:dyDescent="0.3">
      <c r="A20">
        <v>0.6</v>
      </c>
      <c r="B20">
        <v>10</v>
      </c>
      <c r="C20">
        <v>4</v>
      </c>
      <c r="D20" s="1">
        <v>3.8</v>
      </c>
      <c r="E20" s="3">
        <v>5.0759999999999996</v>
      </c>
      <c r="F20" s="8">
        <f t="shared" si="11"/>
        <v>7.4862096138691889</v>
      </c>
      <c r="G20" s="9">
        <v>0.94</v>
      </c>
      <c r="H20" s="10">
        <v>1E-3</v>
      </c>
      <c r="I20" s="11">
        <f t="shared" si="12"/>
        <v>24.652646749727321</v>
      </c>
      <c r="J20" s="9">
        <v>4.5</v>
      </c>
      <c r="K20" s="9">
        <v>13.14</v>
      </c>
      <c r="L20" s="14">
        <f t="shared" si="0"/>
        <v>-1.7029286542470909</v>
      </c>
      <c r="M20" s="6"/>
      <c r="N20" s="2">
        <f t="shared" si="13"/>
        <v>-14.960311926605504</v>
      </c>
      <c r="O20">
        <f t="shared" si="4"/>
        <v>1.7552273684210526</v>
      </c>
      <c r="P20">
        <f t="shared" si="7"/>
        <v>20.898267030761005</v>
      </c>
      <c r="Q20">
        <f t="shared" si="5"/>
        <v>5.4995439554634222</v>
      </c>
      <c r="R20">
        <f t="shared" si="6"/>
        <v>4.0000000000000001E-3</v>
      </c>
    </row>
    <row r="21" spans="1:18" x14ac:dyDescent="0.3">
      <c r="A21">
        <v>0.6</v>
      </c>
      <c r="B21">
        <v>10</v>
      </c>
      <c r="C21">
        <v>4</v>
      </c>
      <c r="D21" s="1">
        <v>4.75</v>
      </c>
      <c r="E21" s="3">
        <v>5.0759999999999996</v>
      </c>
      <c r="F21" s="8">
        <f t="shared" si="11"/>
        <v>9.3577620173364853</v>
      </c>
      <c r="G21" s="9">
        <v>0.94</v>
      </c>
      <c r="H21" s="10">
        <v>1E-3</v>
      </c>
      <c r="I21" s="11">
        <f t="shared" si="12"/>
        <v>30.815808437159149</v>
      </c>
      <c r="J21" s="9">
        <v>4.5</v>
      </c>
      <c r="K21" s="9">
        <v>20.399999999999999</v>
      </c>
      <c r="L21" s="14">
        <f t="shared" si="0"/>
        <v>-5.8170812067193269</v>
      </c>
      <c r="M21" s="6"/>
      <c r="N21" s="2">
        <f t="shared" si="13"/>
        <v>-36.058715596330273</v>
      </c>
      <c r="O21">
        <f t="shared" si="4"/>
        <v>2.1800084210526314</v>
      </c>
      <c r="P21">
        <f t="shared" si="7"/>
        <v>32.44479812994858</v>
      </c>
      <c r="Q21">
        <f t="shared" si="5"/>
        <v>6.83048381683128</v>
      </c>
      <c r="R21">
        <f t="shared" si="6"/>
        <v>4.0000000000000001E-3</v>
      </c>
    </row>
    <row r="22" spans="1:18" x14ac:dyDescent="0.3">
      <c r="A22">
        <v>0.6</v>
      </c>
      <c r="B22">
        <v>10</v>
      </c>
      <c r="C22">
        <v>4</v>
      </c>
      <c r="D22" s="1">
        <v>5.65</v>
      </c>
      <c r="E22" s="3">
        <v>5.0759999999999996</v>
      </c>
      <c r="F22" s="8">
        <f t="shared" si="11"/>
        <v>11.130811662726558</v>
      </c>
      <c r="G22" s="9">
        <v>0.94</v>
      </c>
      <c r="H22" s="10">
        <v>1E-3</v>
      </c>
      <c r="I22" s="11">
        <f t="shared" si="12"/>
        <v>36.654593193673513</v>
      </c>
      <c r="J22" s="9">
        <v>4.5</v>
      </c>
      <c r="K22" s="9">
        <v>23.6</v>
      </c>
      <c r="L22" s="14">
        <f t="shared" si="0"/>
        <v>-6.0434131462199003</v>
      </c>
      <c r="M22" s="6"/>
      <c r="N22" s="2">
        <f t="shared" si="13"/>
        <v>-48.258511722731903</v>
      </c>
      <c r="O22">
        <f t="shared" si="4"/>
        <v>2.1202407079646015</v>
      </c>
      <c r="P22">
        <f t="shared" si="7"/>
        <v>37.534178228764056</v>
      </c>
      <c r="Q22">
        <f t="shared" si="5"/>
        <v>6.6432173856219565</v>
      </c>
      <c r="R22">
        <f t="shared" si="6"/>
        <v>4.0000000000000001E-3</v>
      </c>
    </row>
    <row r="23" spans="1:18" x14ac:dyDescent="0.3">
      <c r="A23">
        <v>0.6</v>
      </c>
      <c r="B23">
        <v>10</v>
      </c>
      <c r="C23">
        <v>4</v>
      </c>
      <c r="D23" s="9">
        <v>6.65</v>
      </c>
      <c r="E23" s="3">
        <v>5.0759999999999996</v>
      </c>
      <c r="F23" s="8">
        <f t="shared" si="11"/>
        <v>13.100866824271082</v>
      </c>
      <c r="G23" s="9">
        <v>0.94</v>
      </c>
      <c r="H23" s="10">
        <v>1E-3</v>
      </c>
      <c r="I23" s="11">
        <f t="shared" si="12"/>
        <v>43.142131812022811</v>
      </c>
      <c r="J23" s="9">
        <v>4.5</v>
      </c>
      <c r="K23" s="9">
        <v>30.43</v>
      </c>
      <c r="L23" s="14">
        <f t="shared" si="0"/>
        <v>-8.0176488362527092</v>
      </c>
      <c r="M23" s="6"/>
      <c r="N23" s="2">
        <f t="shared" si="13"/>
        <v>-80.233146279306823</v>
      </c>
      <c r="O23">
        <f t="shared" si="4"/>
        <v>2.3227470676691726</v>
      </c>
      <c r="P23">
        <f t="shared" si="7"/>
        <v>48.396823877173311</v>
      </c>
      <c r="Q23">
        <f t="shared" si="5"/>
        <v>7.2777178762666628</v>
      </c>
      <c r="R23">
        <f t="shared" si="6"/>
        <v>4.0000000000000001E-3</v>
      </c>
    </row>
    <row r="24" spans="1:18" x14ac:dyDescent="0.3">
      <c r="A24">
        <v>0.6</v>
      </c>
      <c r="B24">
        <v>10</v>
      </c>
      <c r="C24">
        <v>6</v>
      </c>
      <c r="D24" s="1">
        <v>0.95</v>
      </c>
      <c r="E24" s="3">
        <v>5.0759999999999996</v>
      </c>
      <c r="F24" s="8">
        <f>(D24*10^-3)/(E24*10^-4)</f>
        <v>1.8715524034672972</v>
      </c>
      <c r="G24" s="9">
        <v>0.94</v>
      </c>
      <c r="H24" s="10">
        <v>6.6666666666666664E-4</v>
      </c>
      <c r="I24" s="11">
        <f>(F24)/((9.81*G24*10^-2))^(1/2)</f>
        <v>6.1631616874318302</v>
      </c>
      <c r="J24" s="9">
        <v>3</v>
      </c>
      <c r="K24" s="9">
        <v>0</v>
      </c>
      <c r="L24" s="14">
        <f t="shared" si="0"/>
        <v>56.551530256083318</v>
      </c>
      <c r="M24" s="6"/>
      <c r="N24" s="2">
        <f>-(1.7*K24^2)/19.62</f>
        <v>0</v>
      </c>
      <c r="O24">
        <f t="shared" si="4"/>
        <v>0</v>
      </c>
      <c r="P24">
        <f t="shared" si="7"/>
        <v>0</v>
      </c>
      <c r="Q24">
        <f t="shared" si="5"/>
        <v>0</v>
      </c>
      <c r="R24">
        <f t="shared" si="6"/>
        <v>4.0000000000000001E-3</v>
      </c>
    </row>
    <row r="25" spans="1:18" x14ac:dyDescent="0.3">
      <c r="A25">
        <v>0.6</v>
      </c>
      <c r="B25">
        <v>10</v>
      </c>
      <c r="C25">
        <v>6</v>
      </c>
      <c r="D25" s="1">
        <v>1.9</v>
      </c>
      <c r="E25" s="3">
        <v>5.0759999999999996</v>
      </c>
      <c r="F25" s="8">
        <f t="shared" ref="F25:F30" si="14">(D25*10^-3)/(E25*10^-4)</f>
        <v>3.7431048069345945</v>
      </c>
      <c r="G25" s="9">
        <v>0.94</v>
      </c>
      <c r="H25" s="10">
        <v>6.6666666666666664E-4</v>
      </c>
      <c r="I25" s="11">
        <f t="shared" ref="I25:I30" si="15">(F25)/((9.81*G25*10^-2))^(1/2)</f>
        <v>12.32632337486366</v>
      </c>
      <c r="J25" s="9">
        <v>4.5</v>
      </c>
      <c r="K25" s="9">
        <v>2.2000000000000002</v>
      </c>
      <c r="L25" s="14">
        <f t="shared" si="0"/>
        <v>13.550622716574846</v>
      </c>
      <c r="M25" s="6"/>
      <c r="N25" s="2">
        <f t="shared" ref="N25:N30" si="16">-(1.7*K25^2)/19.62</f>
        <v>-0.41936799184505613</v>
      </c>
      <c r="O25">
        <f t="shared" si="4"/>
        <v>0.58774736842105268</v>
      </c>
      <c r="P25">
        <f t="shared" si="7"/>
        <v>3.4989488179356329</v>
      </c>
      <c r="Q25">
        <f t="shared" si="5"/>
        <v>1.8415520094398068</v>
      </c>
      <c r="R25">
        <f t="shared" si="6"/>
        <v>4.0000000000000001E-3</v>
      </c>
    </row>
    <row r="26" spans="1:18" x14ac:dyDescent="0.3">
      <c r="A26">
        <v>0.6</v>
      </c>
      <c r="B26">
        <v>10</v>
      </c>
      <c r="C26">
        <v>6</v>
      </c>
      <c r="D26" s="1">
        <v>2.85</v>
      </c>
      <c r="E26" s="3">
        <v>5.0759999999999996</v>
      </c>
      <c r="F26" s="8">
        <f t="shared" si="14"/>
        <v>5.6146572104018917</v>
      </c>
      <c r="G26" s="9">
        <v>0.94</v>
      </c>
      <c r="H26" s="10">
        <v>6.6666666666666664E-4</v>
      </c>
      <c r="I26" s="11">
        <f t="shared" si="15"/>
        <v>18.48948506229549</v>
      </c>
      <c r="J26" s="9">
        <v>4.5</v>
      </c>
      <c r="K26" s="9">
        <v>7.24</v>
      </c>
      <c r="L26" s="14">
        <f t="shared" si="0"/>
        <v>3.4568043921373963</v>
      </c>
      <c r="M26" s="6"/>
      <c r="N26" s="2">
        <f t="shared" si="16"/>
        <v>-4.5417900101936794</v>
      </c>
      <c r="O26">
        <f t="shared" si="4"/>
        <v>1.2894821052631578</v>
      </c>
      <c r="P26">
        <f t="shared" si="7"/>
        <v>11.514722473569989</v>
      </c>
      <c r="Q26">
        <f t="shared" si="5"/>
        <v>4.0402534994982418</v>
      </c>
      <c r="R26">
        <f t="shared" si="6"/>
        <v>4.0000000000000001E-3</v>
      </c>
    </row>
    <row r="27" spans="1:18" x14ac:dyDescent="0.3">
      <c r="A27">
        <v>0.6</v>
      </c>
      <c r="B27">
        <v>10</v>
      </c>
      <c r="C27">
        <v>6</v>
      </c>
      <c r="D27" s="1">
        <v>3.8</v>
      </c>
      <c r="E27" s="3">
        <v>5.0759999999999996</v>
      </c>
      <c r="F27" s="8">
        <f t="shared" si="14"/>
        <v>7.4862096138691889</v>
      </c>
      <c r="G27" s="9">
        <v>0.94</v>
      </c>
      <c r="H27" s="10">
        <v>6.6666666666666664E-4</v>
      </c>
      <c r="I27" s="11">
        <f t="shared" si="15"/>
        <v>24.652646749727321</v>
      </c>
      <c r="J27" s="9">
        <v>4.5</v>
      </c>
      <c r="K27" s="9">
        <v>12.98</v>
      </c>
      <c r="L27" s="14">
        <f t="shared" si="0"/>
        <v>-1.5761581813934618</v>
      </c>
      <c r="M27" s="6"/>
      <c r="N27" s="2">
        <f t="shared" si="16"/>
        <v>-14.5981997961264</v>
      </c>
      <c r="O27">
        <f t="shared" si="4"/>
        <v>1.7338547368421051</v>
      </c>
      <c r="P27">
        <f t="shared" si="7"/>
        <v>20.643798025820228</v>
      </c>
      <c r="Q27">
        <f t="shared" si="5"/>
        <v>5.4325784278474289</v>
      </c>
      <c r="R27">
        <f t="shared" si="6"/>
        <v>4.0000000000000001E-3</v>
      </c>
    </row>
    <row r="28" spans="1:18" x14ac:dyDescent="0.3">
      <c r="A28">
        <v>0.6</v>
      </c>
      <c r="B28">
        <v>10</v>
      </c>
      <c r="C28">
        <v>6</v>
      </c>
      <c r="D28" s="1">
        <v>4.75</v>
      </c>
      <c r="E28" s="3">
        <v>5.0759999999999996</v>
      </c>
      <c r="F28" s="8">
        <f t="shared" si="14"/>
        <v>9.3577620173364853</v>
      </c>
      <c r="G28" s="9">
        <v>0.94</v>
      </c>
      <c r="H28" s="10">
        <v>6.6666666666666664E-4</v>
      </c>
      <c r="I28" s="11">
        <f t="shared" si="15"/>
        <v>30.815808437159149</v>
      </c>
      <c r="J28" s="9">
        <v>4.5</v>
      </c>
      <c r="K28" s="9">
        <v>18.48</v>
      </c>
      <c r="L28" s="14">
        <f t="shared" si="0"/>
        <v>-4.3678675634828412</v>
      </c>
      <c r="M28" s="6"/>
      <c r="N28" s="2">
        <f t="shared" si="16"/>
        <v>-29.590605504587153</v>
      </c>
      <c r="O28">
        <f t="shared" si="4"/>
        <v>1.9748311578947368</v>
      </c>
      <c r="P28">
        <f t="shared" si="7"/>
        <v>29.391170070659307</v>
      </c>
      <c r="Q28">
        <f t="shared" si="5"/>
        <v>6.1876147517177484</v>
      </c>
      <c r="R28">
        <f t="shared" si="6"/>
        <v>4.0000000000000001E-3</v>
      </c>
    </row>
    <row r="29" spans="1:18" x14ac:dyDescent="0.3">
      <c r="A29">
        <v>0.6</v>
      </c>
      <c r="B29">
        <v>10</v>
      </c>
      <c r="C29">
        <v>6</v>
      </c>
      <c r="D29" s="1">
        <v>5.65</v>
      </c>
      <c r="E29" s="3">
        <v>5.0759999999999996</v>
      </c>
      <c r="F29" s="8">
        <f t="shared" si="14"/>
        <v>11.130811662726558</v>
      </c>
      <c r="G29" s="9">
        <v>0.94</v>
      </c>
      <c r="H29" s="10">
        <v>6.6666666666666664E-4</v>
      </c>
      <c r="I29" s="11">
        <f t="shared" si="15"/>
        <v>36.654593193673513</v>
      </c>
      <c r="J29" s="9">
        <v>4.5</v>
      </c>
      <c r="K29" s="9">
        <v>24.19</v>
      </c>
      <c r="L29" s="14">
        <f t="shared" si="0"/>
        <v>-6.4303002867462125</v>
      </c>
      <c r="M29" s="6"/>
      <c r="N29" s="2">
        <f t="shared" si="16"/>
        <v>-50.701598878695208</v>
      </c>
      <c r="O29">
        <f t="shared" si="4"/>
        <v>2.1732467256637165</v>
      </c>
      <c r="P29">
        <f t="shared" si="7"/>
        <v>38.472532684483156</v>
      </c>
      <c r="Q29">
        <f t="shared" si="5"/>
        <v>6.809297820262505</v>
      </c>
      <c r="R29">
        <f t="shared" si="6"/>
        <v>4.0000000000000001E-3</v>
      </c>
    </row>
    <row r="30" spans="1:18" x14ac:dyDescent="0.3">
      <c r="A30">
        <v>0.6</v>
      </c>
      <c r="B30">
        <v>10</v>
      </c>
      <c r="C30">
        <v>6</v>
      </c>
      <c r="D30" s="9">
        <v>6.65</v>
      </c>
      <c r="E30" s="3">
        <v>5.0759999999999996</v>
      </c>
      <c r="F30" s="8">
        <f t="shared" si="14"/>
        <v>13.100866824271082</v>
      </c>
      <c r="G30" s="9">
        <v>0.94</v>
      </c>
      <c r="H30" s="10">
        <v>6.6666666666666664E-4</v>
      </c>
      <c r="I30" s="11">
        <f t="shared" si="15"/>
        <v>43.142131812022811</v>
      </c>
      <c r="J30" s="9">
        <v>4.5</v>
      </c>
      <c r="K30" s="9">
        <v>26.84</v>
      </c>
      <c r="L30" s="14">
        <f t="shared" si="0"/>
        <v>-5.9812141330481072</v>
      </c>
      <c r="M30" s="6"/>
      <c r="N30" s="2">
        <f t="shared" si="16"/>
        <v>-62.418731906218134</v>
      </c>
      <c r="O30">
        <f t="shared" si="4"/>
        <v>2.0487193984962402</v>
      </c>
      <c r="P30">
        <f t="shared" si="7"/>
        <v>42.68717557881471</v>
      </c>
      <c r="Q30">
        <f t="shared" si="5"/>
        <v>6.4191241471901819</v>
      </c>
      <c r="R30">
        <f t="shared" si="6"/>
        <v>4.0000000000000001E-3</v>
      </c>
    </row>
    <row r="31" spans="1:18" x14ac:dyDescent="0.3">
      <c r="A31">
        <v>0.6</v>
      </c>
      <c r="B31">
        <v>15</v>
      </c>
      <c r="C31">
        <v>1</v>
      </c>
      <c r="D31" s="1">
        <v>1.4</v>
      </c>
      <c r="E31" s="3">
        <v>7.6139999999999999</v>
      </c>
      <c r="F31" s="8">
        <f>(D31*10^-3)/(E31*10^-4)</f>
        <v>1.8387181507748882</v>
      </c>
      <c r="G31" s="9">
        <v>1.41</v>
      </c>
      <c r="H31" s="10">
        <v>5.7099999999999998E-3</v>
      </c>
      <c r="I31" s="11">
        <f>(F31)/((9.81*G31*10^-2))^(1/2)</f>
        <v>4.9439162271508623</v>
      </c>
      <c r="J31" s="9">
        <v>3</v>
      </c>
      <c r="K31" s="9">
        <v>0</v>
      </c>
      <c r="L31" s="14">
        <f t="shared" si="0"/>
        <v>58.589260778703682</v>
      </c>
      <c r="M31" s="6"/>
      <c r="N31" s="2">
        <f>-(1.7*K31^2)/19.62</f>
        <v>0</v>
      </c>
      <c r="O31">
        <f t="shared" si="4"/>
        <v>0</v>
      </c>
      <c r="P31">
        <f t="shared" si="7"/>
        <v>0</v>
      </c>
      <c r="Q31">
        <f t="shared" si="5"/>
        <v>0</v>
      </c>
      <c r="R31">
        <f t="shared" si="6"/>
        <v>5.7099999999999998E-3</v>
      </c>
    </row>
    <row r="32" spans="1:18" x14ac:dyDescent="0.3">
      <c r="A32">
        <v>0.6</v>
      </c>
      <c r="B32">
        <v>15</v>
      </c>
      <c r="C32">
        <v>1</v>
      </c>
      <c r="D32" s="1">
        <v>2.8</v>
      </c>
      <c r="E32" s="3">
        <v>7.6139999999999999</v>
      </c>
      <c r="F32" s="8">
        <f t="shared" ref="F32:F37" si="17">(D32*10^-3)/(E32*10^-4)</f>
        <v>3.6774363015497764</v>
      </c>
      <c r="G32" s="9">
        <v>1.41</v>
      </c>
      <c r="H32" s="10">
        <v>5.7099999999999998E-3</v>
      </c>
      <c r="I32" s="11">
        <f t="shared" ref="I32:I37" si="18">(F32)/((9.81*G32*10^-2))^(1/2)</f>
        <v>9.8878324543017246</v>
      </c>
      <c r="J32" s="9">
        <v>3</v>
      </c>
      <c r="K32" s="9">
        <v>3.38</v>
      </c>
      <c r="L32" s="14">
        <f t="shared" si="0"/>
        <v>13.211190982489596</v>
      </c>
      <c r="M32" s="6"/>
      <c r="N32" s="2">
        <f t="shared" ref="N32:N37" si="19">-(1.7*K32^2)/19.62</f>
        <v>-0.9898817533129457</v>
      </c>
      <c r="O32">
        <f t="shared" si="4"/>
        <v>0.91911857142857145</v>
      </c>
      <c r="P32">
        <f t="shared" si="7"/>
        <v>2.3891812130550378</v>
      </c>
      <c r="Q32">
        <f t="shared" si="5"/>
        <v>0.85327900466251361</v>
      </c>
      <c r="R32">
        <f t="shared" si="6"/>
        <v>5.7099999999999998E-3</v>
      </c>
    </row>
    <row r="33" spans="1:18" x14ac:dyDescent="0.3">
      <c r="A33">
        <v>0.6</v>
      </c>
      <c r="B33">
        <v>15</v>
      </c>
      <c r="C33">
        <v>1</v>
      </c>
      <c r="D33" s="1">
        <v>4.2</v>
      </c>
      <c r="E33" s="3">
        <v>7.6139999999999999</v>
      </c>
      <c r="F33" s="8">
        <f t="shared" si="17"/>
        <v>5.5161544523246651</v>
      </c>
      <c r="G33" s="9">
        <v>1.41</v>
      </c>
      <c r="H33" s="10">
        <v>5.7099999999999998E-3</v>
      </c>
      <c r="I33" s="11">
        <f t="shared" si="18"/>
        <v>14.83174868145259</v>
      </c>
      <c r="J33" s="9">
        <v>4.5</v>
      </c>
      <c r="K33" s="9">
        <v>8.7100000000000009</v>
      </c>
      <c r="L33" s="14">
        <f t="shared" si="0"/>
        <v>2.2714158337255097</v>
      </c>
      <c r="M33" s="6"/>
      <c r="N33" s="2">
        <f t="shared" si="19"/>
        <v>-6.5733419979612657</v>
      </c>
      <c r="O33">
        <f t="shared" si="4"/>
        <v>1.5789985714285717</v>
      </c>
      <c r="P33">
        <f t="shared" si="7"/>
        <v>13.852656456463345</v>
      </c>
      <c r="Q33">
        <f t="shared" si="5"/>
        <v>3.2982515372531771</v>
      </c>
      <c r="R33">
        <f t="shared" si="6"/>
        <v>5.7099999999999998E-3</v>
      </c>
    </row>
    <row r="34" spans="1:18" x14ac:dyDescent="0.3">
      <c r="A34">
        <v>0.6</v>
      </c>
      <c r="B34">
        <v>15</v>
      </c>
      <c r="C34">
        <v>1</v>
      </c>
      <c r="D34" s="1">
        <v>5.6</v>
      </c>
      <c r="E34" s="3">
        <v>7.6139999999999999</v>
      </c>
      <c r="F34" s="8">
        <f t="shared" si="17"/>
        <v>7.3548726030995528</v>
      </c>
      <c r="G34" s="9">
        <v>1.41</v>
      </c>
      <c r="H34" s="10">
        <v>5.7099999999999998E-3</v>
      </c>
      <c r="I34" s="11">
        <f t="shared" si="18"/>
        <v>19.775664908603449</v>
      </c>
      <c r="J34" s="9">
        <v>4.5</v>
      </c>
      <c r="K34" s="9">
        <v>13.89</v>
      </c>
      <c r="L34" s="14">
        <f t="shared" si="0"/>
        <v>-2.4013880905758289</v>
      </c>
      <c r="M34" s="6"/>
      <c r="N34" s="2">
        <f t="shared" si="19"/>
        <v>-16.71684862385321</v>
      </c>
      <c r="O34">
        <f t="shared" si="4"/>
        <v>1.8885439285714287</v>
      </c>
      <c r="P34">
        <f t="shared" si="7"/>
        <v>22.091090491420879</v>
      </c>
      <c r="Q34">
        <f t="shared" si="5"/>
        <v>3.9448375877537285</v>
      </c>
      <c r="R34">
        <f t="shared" si="6"/>
        <v>5.7099999999999998E-3</v>
      </c>
    </row>
    <row r="35" spans="1:18" x14ac:dyDescent="0.3">
      <c r="A35">
        <v>0.6</v>
      </c>
      <c r="B35">
        <v>15</v>
      </c>
      <c r="C35">
        <v>1</v>
      </c>
      <c r="D35" s="1">
        <v>7</v>
      </c>
      <c r="E35" s="3">
        <v>7.6139999999999999</v>
      </c>
      <c r="F35" s="8">
        <f t="shared" si="17"/>
        <v>9.1935907538744406</v>
      </c>
      <c r="G35" s="9">
        <v>1.41</v>
      </c>
      <c r="H35" s="10">
        <v>5.7099999999999998E-3</v>
      </c>
      <c r="I35" s="11">
        <f t="shared" si="18"/>
        <v>24.719581135754311</v>
      </c>
      <c r="J35" s="9">
        <v>4.5</v>
      </c>
      <c r="K35" s="9">
        <v>19.13</v>
      </c>
      <c r="L35" s="14">
        <f t="shared" si="0"/>
        <v>-5.0169500647259522</v>
      </c>
      <c r="M35" s="6"/>
      <c r="N35" s="2">
        <f t="shared" si="19"/>
        <v>-31.708803771661564</v>
      </c>
      <c r="O35">
        <f t="shared" si="4"/>
        <v>2.0807974285714286</v>
      </c>
      <c r="P35">
        <f t="shared" si="7"/>
        <v>30.424950403231197</v>
      </c>
      <c r="Q35">
        <f t="shared" si="5"/>
        <v>4.3464214861758856</v>
      </c>
      <c r="R35">
        <f t="shared" si="6"/>
        <v>5.7099999999999998E-3</v>
      </c>
    </row>
    <row r="36" spans="1:18" x14ac:dyDescent="0.3">
      <c r="A36">
        <v>0.6</v>
      </c>
      <c r="B36">
        <v>15</v>
      </c>
      <c r="C36">
        <v>1</v>
      </c>
      <c r="D36" s="1">
        <v>8.4</v>
      </c>
      <c r="E36" s="3">
        <v>7.6139999999999999</v>
      </c>
      <c r="F36" s="8">
        <f t="shared" si="17"/>
        <v>11.03230890464933</v>
      </c>
      <c r="G36" s="9">
        <v>1.41</v>
      </c>
      <c r="H36" s="10">
        <v>5.7099999999999998E-3</v>
      </c>
      <c r="I36" s="11">
        <f t="shared" si="18"/>
        <v>29.663497362905179</v>
      </c>
      <c r="J36" s="9">
        <v>4.5</v>
      </c>
      <c r="K36" s="9">
        <v>22.72</v>
      </c>
      <c r="L36" s="14">
        <f t="shared" si="0"/>
        <v>-5.5824787571804091</v>
      </c>
      <c r="M36" s="6"/>
      <c r="N36" s="2">
        <f t="shared" si="19"/>
        <v>-44.72667074413863</v>
      </c>
      <c r="O36">
        <f t="shared" si="4"/>
        <v>2.0594057142857141</v>
      </c>
      <c r="P36">
        <f t="shared" si="7"/>
        <v>36.134598701589802</v>
      </c>
      <c r="Q36">
        <f t="shared" si="5"/>
        <v>4.3017379406654523</v>
      </c>
      <c r="R36">
        <f t="shared" si="6"/>
        <v>5.7099999999999998E-3</v>
      </c>
    </row>
    <row r="37" spans="1:18" x14ac:dyDescent="0.3">
      <c r="A37">
        <v>0.6</v>
      </c>
      <c r="B37">
        <v>15</v>
      </c>
      <c r="C37">
        <v>1</v>
      </c>
      <c r="D37" s="9">
        <v>9.8000000000000007</v>
      </c>
      <c r="E37" s="3">
        <v>7.6139999999999999</v>
      </c>
      <c r="F37" s="8">
        <f t="shared" si="17"/>
        <v>12.87102705542422</v>
      </c>
      <c r="G37" s="9">
        <v>1.41</v>
      </c>
      <c r="H37" s="10">
        <v>5.7099999999999998E-3</v>
      </c>
      <c r="I37" s="11">
        <f t="shared" si="18"/>
        <v>34.607413590056048</v>
      </c>
      <c r="J37" s="9">
        <v>4.5</v>
      </c>
      <c r="K37" s="9">
        <v>27.55</v>
      </c>
      <c r="L37" s="14">
        <f t="shared" si="0"/>
        <v>-6.5930141619540894</v>
      </c>
      <c r="M37" s="6"/>
      <c r="N37" s="2">
        <f t="shared" si="19"/>
        <v>-65.764742609582058</v>
      </c>
      <c r="O37">
        <f t="shared" si="4"/>
        <v>2.1404663265306123</v>
      </c>
      <c r="P37">
        <f t="shared" si="7"/>
        <v>43.81638178823939</v>
      </c>
      <c r="Q37">
        <f t="shared" si="5"/>
        <v>4.4710593661468758</v>
      </c>
      <c r="R37">
        <f t="shared" si="6"/>
        <v>5.7099999999999998E-3</v>
      </c>
    </row>
    <row r="38" spans="1:18" x14ac:dyDescent="0.3">
      <c r="A38">
        <v>0.6</v>
      </c>
      <c r="B38">
        <v>15</v>
      </c>
      <c r="C38">
        <v>2</v>
      </c>
      <c r="D38" s="1">
        <v>1.4</v>
      </c>
      <c r="E38" s="3">
        <v>7.6139999999999999</v>
      </c>
      <c r="F38" s="8">
        <f>(D38*10^-3)/(E38*10^-4)</f>
        <v>1.8387181507748882</v>
      </c>
      <c r="G38" s="9">
        <v>1.41</v>
      </c>
      <c r="H38" s="10">
        <v>2.8549999999999999E-3</v>
      </c>
      <c r="I38" s="11">
        <f>(F38)/((9.81*G38*10^-2))^(1/2)</f>
        <v>4.9439162271508623</v>
      </c>
      <c r="J38" s="9">
        <v>3</v>
      </c>
      <c r="K38" s="9">
        <v>0</v>
      </c>
      <c r="L38" s="14">
        <f t="shared" si="0"/>
        <v>58.589260778703682</v>
      </c>
      <c r="M38" s="6"/>
      <c r="N38" s="2">
        <f>-(1.7*K38^2)/19.62</f>
        <v>0</v>
      </c>
      <c r="O38">
        <f t="shared" si="4"/>
        <v>0</v>
      </c>
      <c r="P38">
        <f t="shared" si="7"/>
        <v>0</v>
      </c>
      <c r="Q38">
        <f t="shared" si="5"/>
        <v>0</v>
      </c>
      <c r="R38">
        <f t="shared" si="6"/>
        <v>5.7099999999999998E-3</v>
      </c>
    </row>
    <row r="39" spans="1:18" x14ac:dyDescent="0.3">
      <c r="A39">
        <v>0.6</v>
      </c>
      <c r="B39">
        <v>15</v>
      </c>
      <c r="C39">
        <v>2</v>
      </c>
      <c r="D39" s="1">
        <v>2.8</v>
      </c>
      <c r="E39" s="3">
        <v>7.6139999999999999</v>
      </c>
      <c r="F39" s="8">
        <f t="shared" ref="F39:F44" si="20">(D39*10^-3)/(E39*10^-4)</f>
        <v>3.6774363015497764</v>
      </c>
      <c r="G39" s="9">
        <v>1.41</v>
      </c>
      <c r="H39" s="10">
        <v>2.8549999999999999E-3</v>
      </c>
      <c r="I39" s="11">
        <f t="shared" ref="I39:I44" si="21">(F39)/((9.81*G39*10^-2))^(1/2)</f>
        <v>9.8878324543017246</v>
      </c>
      <c r="J39" s="9">
        <v>4.5</v>
      </c>
      <c r="K39" s="9">
        <v>2.4900000000000002</v>
      </c>
      <c r="L39" s="14">
        <f t="shared" si="0"/>
        <v>13.867920764510972</v>
      </c>
      <c r="M39" s="6"/>
      <c r="N39" s="2">
        <f t="shared" ref="N39:N44" si="22">-(1.7*K39^2)/19.62</f>
        <v>-0.53721559633027527</v>
      </c>
      <c r="O39">
        <f t="shared" si="4"/>
        <v>0.67710214285714299</v>
      </c>
      <c r="P39">
        <f t="shared" si="7"/>
        <v>3.9601738893907843</v>
      </c>
      <c r="Q39">
        <f t="shared" si="5"/>
        <v>1.4143478176395659</v>
      </c>
      <c r="R39">
        <f t="shared" si="6"/>
        <v>5.7099999999999998E-3</v>
      </c>
    </row>
    <row r="40" spans="1:18" x14ac:dyDescent="0.3">
      <c r="A40">
        <v>0.6</v>
      </c>
      <c r="B40">
        <v>15</v>
      </c>
      <c r="C40">
        <v>2</v>
      </c>
      <c r="D40" s="1">
        <v>4.2</v>
      </c>
      <c r="E40" s="3">
        <v>7.6139999999999999</v>
      </c>
      <c r="F40" s="8">
        <f t="shared" si="20"/>
        <v>5.5161544523246651</v>
      </c>
      <c r="G40" s="9">
        <v>1.41</v>
      </c>
      <c r="H40" s="10">
        <v>2.8549999999999999E-3</v>
      </c>
      <c r="I40" s="11">
        <f t="shared" si="21"/>
        <v>14.83174868145259</v>
      </c>
      <c r="J40" s="9">
        <v>4.5</v>
      </c>
      <c r="K40" s="9">
        <v>8.59</v>
      </c>
      <c r="L40" s="14">
        <f t="shared" si="0"/>
        <v>2.3874012631377557</v>
      </c>
      <c r="M40" s="6"/>
      <c r="N40" s="2">
        <f t="shared" si="22"/>
        <v>-6.3934643221202849</v>
      </c>
      <c r="O40">
        <f t="shared" si="4"/>
        <v>1.5572442857142856</v>
      </c>
      <c r="P40">
        <f t="shared" si="7"/>
        <v>13.661804702757763</v>
      </c>
      <c r="Q40">
        <f t="shared" si="5"/>
        <v>3.2528106435137532</v>
      </c>
      <c r="R40">
        <f t="shared" si="6"/>
        <v>5.7099999999999998E-3</v>
      </c>
    </row>
    <row r="41" spans="1:18" x14ac:dyDescent="0.3">
      <c r="A41">
        <v>0.6</v>
      </c>
      <c r="B41">
        <v>15</v>
      </c>
      <c r="C41">
        <v>2</v>
      </c>
      <c r="D41" s="1">
        <v>5.6</v>
      </c>
      <c r="E41" s="3">
        <v>7.6139999999999999</v>
      </c>
      <c r="F41" s="8">
        <f t="shared" si="20"/>
        <v>7.3548726030995528</v>
      </c>
      <c r="G41" s="9">
        <v>1.41</v>
      </c>
      <c r="H41" s="10">
        <v>2.8549999999999999E-3</v>
      </c>
      <c r="I41" s="11">
        <f t="shared" si="21"/>
        <v>19.775664908603449</v>
      </c>
      <c r="J41" s="9">
        <v>4.5</v>
      </c>
      <c r="K41" s="9">
        <v>14.96</v>
      </c>
      <c r="L41" s="14">
        <f t="shared" si="0"/>
        <v>-3.3715142321693894</v>
      </c>
      <c r="M41" s="6"/>
      <c r="N41" s="2">
        <f t="shared" si="22"/>
        <v>-19.391575942915395</v>
      </c>
      <c r="O41">
        <f t="shared" si="4"/>
        <v>2.0340257142857148</v>
      </c>
      <c r="P41">
        <f t="shared" si="7"/>
        <v>23.792851961962299</v>
      </c>
      <c r="Q41">
        <f t="shared" si="5"/>
        <v>4.2487235646361254</v>
      </c>
      <c r="R41">
        <f t="shared" si="6"/>
        <v>5.7099999999999998E-3</v>
      </c>
    </row>
    <row r="42" spans="1:18" x14ac:dyDescent="0.3">
      <c r="A42">
        <v>0.6</v>
      </c>
      <c r="B42">
        <v>15</v>
      </c>
      <c r="C42">
        <v>2</v>
      </c>
      <c r="D42" s="1">
        <v>7</v>
      </c>
      <c r="E42" s="3">
        <v>7.6139999999999999</v>
      </c>
      <c r="F42" s="8">
        <f t="shared" si="20"/>
        <v>9.1935907538744406</v>
      </c>
      <c r="G42" s="9">
        <v>1.41</v>
      </c>
      <c r="H42" s="10">
        <v>2.8549999999999999E-3</v>
      </c>
      <c r="I42" s="11">
        <f t="shared" si="21"/>
        <v>24.719581135754311</v>
      </c>
      <c r="J42" s="9">
        <v>4.5</v>
      </c>
      <c r="K42" s="9">
        <v>19.78</v>
      </c>
      <c r="L42" s="14">
        <f t="shared" si="0"/>
        <v>-5.5256400337397906</v>
      </c>
      <c r="M42" s="6"/>
      <c r="N42" s="2">
        <f t="shared" si="22"/>
        <v>-33.900218144750255</v>
      </c>
      <c r="O42">
        <f t="shared" si="4"/>
        <v>2.1514988571428577</v>
      </c>
      <c r="P42">
        <f t="shared" si="7"/>
        <v>31.458730735803091</v>
      </c>
      <c r="Q42">
        <f t="shared" si="5"/>
        <v>4.4941043908290128</v>
      </c>
      <c r="R42">
        <f t="shared" si="6"/>
        <v>5.7099999999999998E-3</v>
      </c>
    </row>
    <row r="43" spans="1:18" x14ac:dyDescent="0.3">
      <c r="A43">
        <v>0.6</v>
      </c>
      <c r="B43">
        <v>15</v>
      </c>
      <c r="C43">
        <v>2</v>
      </c>
      <c r="D43" s="1">
        <v>8.4</v>
      </c>
      <c r="E43" s="3">
        <v>7.6139999999999999</v>
      </c>
      <c r="F43" s="8">
        <f t="shared" si="20"/>
        <v>11.03230890464933</v>
      </c>
      <c r="G43" s="9">
        <v>1.41</v>
      </c>
      <c r="H43" s="10">
        <v>2.8549999999999999E-3</v>
      </c>
      <c r="I43" s="11">
        <f t="shared" si="21"/>
        <v>29.663497362905179</v>
      </c>
      <c r="J43" s="9">
        <v>4.5</v>
      </c>
      <c r="K43" s="9">
        <v>23.64</v>
      </c>
      <c r="L43" s="14">
        <f t="shared" si="0"/>
        <v>-6.178205846167347</v>
      </c>
      <c r="M43" s="6"/>
      <c r="N43" s="2">
        <f t="shared" si="22"/>
        <v>-48.422238532110086</v>
      </c>
      <c r="O43">
        <f t="shared" si="4"/>
        <v>2.1427971428571428</v>
      </c>
      <c r="P43">
        <f t="shared" si="7"/>
        <v>37.597795479999249</v>
      </c>
      <c r="Q43">
        <f t="shared" si="5"/>
        <v>4.4759280333332434</v>
      </c>
      <c r="R43">
        <f t="shared" si="6"/>
        <v>5.7099999999999998E-3</v>
      </c>
    </row>
    <row r="44" spans="1:18" x14ac:dyDescent="0.3">
      <c r="A44">
        <v>0.6</v>
      </c>
      <c r="B44">
        <v>15</v>
      </c>
      <c r="C44">
        <v>2</v>
      </c>
      <c r="D44" s="9">
        <v>9.8000000000000007</v>
      </c>
      <c r="E44" s="3">
        <v>7.6139999999999999</v>
      </c>
      <c r="F44" s="8">
        <f t="shared" si="20"/>
        <v>12.87102705542422</v>
      </c>
      <c r="G44" s="9">
        <v>1.41</v>
      </c>
      <c r="H44" s="10">
        <v>2.8549999999999999E-3</v>
      </c>
      <c r="I44" s="11">
        <f t="shared" si="21"/>
        <v>34.607413590056048</v>
      </c>
      <c r="J44" s="9">
        <v>4.5</v>
      </c>
      <c r="K44" s="9">
        <v>31</v>
      </c>
      <c r="L44" s="14">
        <f t="shared" si="0"/>
        <v>-8.6658671858157081</v>
      </c>
      <c r="M44" s="6"/>
      <c r="N44" s="2">
        <f t="shared" si="22"/>
        <v>-83.267074413863398</v>
      </c>
      <c r="O44">
        <f t="shared" si="4"/>
        <v>2.4085102040816326</v>
      </c>
      <c r="P44">
        <f t="shared" si="7"/>
        <v>49.303369707274811</v>
      </c>
      <c r="Q44">
        <f t="shared" si="5"/>
        <v>5.0309560925790624</v>
      </c>
      <c r="R44">
        <f t="shared" si="6"/>
        <v>5.7099999999999998E-3</v>
      </c>
    </row>
    <row r="45" spans="1:18" x14ac:dyDescent="0.3">
      <c r="A45">
        <v>0.6</v>
      </c>
      <c r="B45">
        <v>15</v>
      </c>
      <c r="C45">
        <v>4</v>
      </c>
      <c r="D45" s="1">
        <v>1.4</v>
      </c>
      <c r="E45" s="3">
        <v>7.6139999999999999</v>
      </c>
      <c r="F45" s="8">
        <f>(D45*10^-3)/(E45*10^-4)</f>
        <v>1.8387181507748882</v>
      </c>
      <c r="G45" s="9">
        <v>1.41</v>
      </c>
      <c r="H45" s="10">
        <v>1.4274999999999999E-3</v>
      </c>
      <c r="I45" s="11">
        <f>(F45)/((9.81*G45*10^-2))^(1/2)</f>
        <v>4.9439162271508623</v>
      </c>
      <c r="J45" s="9">
        <v>3</v>
      </c>
      <c r="K45" s="9">
        <v>0</v>
      </c>
      <c r="L45" s="14">
        <f t="shared" si="0"/>
        <v>58.589260778703682</v>
      </c>
      <c r="M45" s="6"/>
      <c r="N45" s="2">
        <f>-(1.7*K45^2)/19.62</f>
        <v>0</v>
      </c>
      <c r="O45">
        <f t="shared" si="4"/>
        <v>0</v>
      </c>
      <c r="P45">
        <f t="shared" si="7"/>
        <v>0</v>
      </c>
      <c r="Q45">
        <f t="shared" si="5"/>
        <v>0</v>
      </c>
      <c r="R45">
        <f t="shared" si="6"/>
        <v>5.7099999999999998E-3</v>
      </c>
    </row>
    <row r="46" spans="1:18" x14ac:dyDescent="0.3">
      <c r="A46">
        <v>0.6</v>
      </c>
      <c r="B46">
        <v>15</v>
      </c>
      <c r="C46">
        <v>4</v>
      </c>
      <c r="D46" s="1">
        <v>2.8</v>
      </c>
      <c r="E46" s="3">
        <v>7.6139999999999999</v>
      </c>
      <c r="F46" s="8">
        <f t="shared" ref="F46:F51" si="23">(D46*10^-3)/(E46*10^-4)</f>
        <v>3.6774363015497764</v>
      </c>
      <c r="G46" s="9">
        <v>1.41</v>
      </c>
      <c r="H46" s="10">
        <v>1.4274999999999999E-3</v>
      </c>
      <c r="I46" s="11">
        <f t="shared" ref="I46:I51" si="24">(F46)/((9.81*G46*10^-2))^(1/2)</f>
        <v>9.8878324543017246</v>
      </c>
      <c r="J46" s="9">
        <v>4.5</v>
      </c>
      <c r="K46" s="9">
        <v>3.35</v>
      </c>
      <c r="L46" s="14">
        <f t="shared" si="0"/>
        <v>13.236571175623626</v>
      </c>
      <c r="M46" s="6"/>
      <c r="N46" s="2">
        <f t="shared" ref="N46:N51" si="25">-(1.7*K46^2)/19.62</f>
        <v>-0.97238786952089706</v>
      </c>
      <c r="O46">
        <f t="shared" si="4"/>
        <v>0.91096071428571435</v>
      </c>
      <c r="P46">
        <f t="shared" si="7"/>
        <v>5.3279447909474396</v>
      </c>
      <c r="Q46">
        <f t="shared" si="5"/>
        <v>1.9028374253383713</v>
      </c>
      <c r="R46">
        <f t="shared" si="6"/>
        <v>5.7099999999999998E-3</v>
      </c>
    </row>
    <row r="47" spans="1:18" x14ac:dyDescent="0.3">
      <c r="A47">
        <v>0.6</v>
      </c>
      <c r="B47">
        <v>15</v>
      </c>
      <c r="C47">
        <v>4</v>
      </c>
      <c r="D47" s="1">
        <v>4.2</v>
      </c>
      <c r="E47" s="3">
        <v>7.6139999999999999</v>
      </c>
      <c r="F47" s="8">
        <f t="shared" si="23"/>
        <v>5.5161544523246651</v>
      </c>
      <c r="G47" s="9">
        <v>1.41</v>
      </c>
      <c r="H47" s="10">
        <v>1.4274999999999999E-3</v>
      </c>
      <c r="I47" s="11">
        <f t="shared" si="24"/>
        <v>14.83174868145259</v>
      </c>
      <c r="J47" s="9">
        <v>4.5</v>
      </c>
      <c r="K47" s="9">
        <v>8.82</v>
      </c>
      <c r="L47" s="14">
        <f t="shared" si="0"/>
        <v>2.1636823541804087</v>
      </c>
      <c r="M47" s="6"/>
      <c r="N47" s="2">
        <f t="shared" si="25"/>
        <v>-6.7404220183486236</v>
      </c>
      <c r="O47">
        <f t="shared" si="4"/>
        <v>1.59894</v>
      </c>
      <c r="P47">
        <f t="shared" si="7"/>
        <v>14.027603897360127</v>
      </c>
      <c r="Q47">
        <f t="shared" si="5"/>
        <v>3.3399056898476491</v>
      </c>
      <c r="R47">
        <f t="shared" si="6"/>
        <v>5.7099999999999998E-3</v>
      </c>
    </row>
    <row r="48" spans="1:18" x14ac:dyDescent="0.3">
      <c r="A48">
        <v>0.6</v>
      </c>
      <c r="B48">
        <v>15</v>
      </c>
      <c r="C48">
        <v>4</v>
      </c>
      <c r="D48" s="1">
        <v>5.6</v>
      </c>
      <c r="E48" s="3">
        <v>7.6139999999999999</v>
      </c>
      <c r="F48" s="8">
        <f t="shared" si="23"/>
        <v>7.3548726030995528</v>
      </c>
      <c r="G48" s="9">
        <v>1.41</v>
      </c>
      <c r="H48" s="10">
        <v>1.4274999999999999E-3</v>
      </c>
      <c r="I48" s="11">
        <f t="shared" si="24"/>
        <v>19.775664908603449</v>
      </c>
      <c r="J48" s="9">
        <v>4.5</v>
      </c>
      <c r="K48" s="9">
        <v>15.42</v>
      </c>
      <c r="L48" s="14">
        <f t="shared" si="0"/>
        <v>-3.8106959099918885</v>
      </c>
      <c r="M48" s="6"/>
      <c r="N48" s="2">
        <f t="shared" si="25"/>
        <v>-20.602440366972477</v>
      </c>
      <c r="O48">
        <f t="shared" si="4"/>
        <v>2.0965692857142857</v>
      </c>
      <c r="P48">
        <f t="shared" si="7"/>
        <v>24.524450351167022</v>
      </c>
      <c r="Q48">
        <f t="shared" si="5"/>
        <v>4.3793661341369683</v>
      </c>
      <c r="R48">
        <f t="shared" si="6"/>
        <v>5.7099999999999998E-3</v>
      </c>
    </row>
    <row r="49" spans="1:18" x14ac:dyDescent="0.3">
      <c r="A49">
        <v>0.6</v>
      </c>
      <c r="B49">
        <v>15</v>
      </c>
      <c r="C49">
        <v>4</v>
      </c>
      <c r="D49" s="1">
        <v>7</v>
      </c>
      <c r="E49" s="3">
        <v>7.6139999999999999</v>
      </c>
      <c r="F49" s="8">
        <f t="shared" si="23"/>
        <v>9.1935907538744406</v>
      </c>
      <c r="G49" s="9">
        <v>1.41</v>
      </c>
      <c r="H49" s="10">
        <v>1.4274999999999999E-3</v>
      </c>
      <c r="I49" s="11">
        <f t="shared" si="24"/>
        <v>24.719581135754311</v>
      </c>
      <c r="J49" s="9">
        <v>4.5</v>
      </c>
      <c r="K49" s="9">
        <v>20.94</v>
      </c>
      <c r="L49" s="14">
        <f t="shared" si="0"/>
        <v>-6.4756854017235952</v>
      </c>
      <c r="M49" s="6"/>
      <c r="N49" s="2">
        <f t="shared" si="25"/>
        <v>-37.992972477064221</v>
      </c>
      <c r="O49">
        <f t="shared" si="4"/>
        <v>2.2776737142857146</v>
      </c>
      <c r="P49">
        <f t="shared" si="7"/>
        <v>33.303631021623701</v>
      </c>
      <c r="Q49">
        <f t="shared" si="5"/>
        <v>4.7576615745176714</v>
      </c>
      <c r="R49">
        <f t="shared" si="6"/>
        <v>5.7099999999999998E-3</v>
      </c>
    </row>
    <row r="50" spans="1:18" x14ac:dyDescent="0.3">
      <c r="A50">
        <v>0.6</v>
      </c>
      <c r="B50">
        <v>15</v>
      </c>
      <c r="C50">
        <v>4</v>
      </c>
      <c r="D50" s="1">
        <v>8.4</v>
      </c>
      <c r="E50" s="3">
        <v>7.6139999999999999</v>
      </c>
      <c r="F50" s="8">
        <f t="shared" si="23"/>
        <v>11.03230890464933</v>
      </c>
      <c r="G50" s="9">
        <v>1.41</v>
      </c>
      <c r="H50" s="10">
        <v>1.4274999999999999E-3</v>
      </c>
      <c r="I50" s="11">
        <f t="shared" si="24"/>
        <v>29.663497362905179</v>
      </c>
      <c r="J50" s="9">
        <v>4.5</v>
      </c>
      <c r="K50" s="9">
        <v>27.44</v>
      </c>
      <c r="L50" s="14">
        <f t="shared" si="0"/>
        <v>-8.8893373238449005</v>
      </c>
      <c r="M50" s="6"/>
      <c r="N50" s="2">
        <f t="shared" si="25"/>
        <v>-65.240627930682976</v>
      </c>
      <c r="O50">
        <f t="shared" si="4"/>
        <v>2.4872400000000003</v>
      </c>
      <c r="P50">
        <f t="shared" si="7"/>
        <v>43.641434347342617</v>
      </c>
      <c r="Q50">
        <f t="shared" si="5"/>
        <v>5.195408850874121</v>
      </c>
      <c r="R50">
        <f t="shared" si="6"/>
        <v>5.7099999999999998E-3</v>
      </c>
    </row>
    <row r="51" spans="1:18" x14ac:dyDescent="0.3">
      <c r="A51">
        <v>0.6</v>
      </c>
      <c r="B51">
        <v>15</v>
      </c>
      <c r="C51">
        <v>4</v>
      </c>
      <c r="D51" s="9">
        <v>9.8000000000000007</v>
      </c>
      <c r="E51" s="3">
        <v>7.6139999999999999</v>
      </c>
      <c r="F51" s="8">
        <f t="shared" si="23"/>
        <v>12.87102705542422</v>
      </c>
      <c r="G51" s="9">
        <v>1.41</v>
      </c>
      <c r="H51" s="10">
        <v>1.4274999999999999E-3</v>
      </c>
      <c r="I51" s="11">
        <f t="shared" si="24"/>
        <v>34.607413590056048</v>
      </c>
      <c r="J51" s="9">
        <v>4.5</v>
      </c>
      <c r="K51" s="9">
        <v>32.74</v>
      </c>
      <c r="L51" s="14">
        <f t="shared" si="0"/>
        <v>-9.8039760932488953</v>
      </c>
      <c r="M51" s="6"/>
      <c r="N51" s="2">
        <f t="shared" si="25"/>
        <v>-92.876805300713571</v>
      </c>
      <c r="O51">
        <f t="shared" si="4"/>
        <v>2.5436975510204083</v>
      </c>
      <c r="P51">
        <f t="shared" si="7"/>
        <v>52.070720136005733</v>
      </c>
      <c r="Q51">
        <f t="shared" si="5"/>
        <v>5.3133387893883395</v>
      </c>
      <c r="R51">
        <f t="shared" si="6"/>
        <v>5.7099999999999998E-3</v>
      </c>
    </row>
    <row r="52" spans="1:18" x14ac:dyDescent="0.3">
      <c r="A52">
        <v>0.6</v>
      </c>
      <c r="B52">
        <v>15</v>
      </c>
      <c r="C52">
        <v>6</v>
      </c>
      <c r="D52" s="1">
        <v>1.4</v>
      </c>
      <c r="E52" s="3">
        <v>7.6139999999999999</v>
      </c>
      <c r="F52" s="8">
        <f>(D52*10^-3)/(E52*10^-4)</f>
        <v>1.8387181507748882</v>
      </c>
      <c r="G52" s="9">
        <v>1.41</v>
      </c>
      <c r="H52" s="10">
        <v>9.5166666666666663E-4</v>
      </c>
      <c r="I52" s="11">
        <f>(F52)/((9.81*G52*10^-2))^(1/2)</f>
        <v>4.9439162271508623</v>
      </c>
      <c r="J52" s="9">
        <v>3</v>
      </c>
      <c r="K52" s="9">
        <v>0</v>
      </c>
      <c r="L52" s="14">
        <f t="shared" si="0"/>
        <v>58.589260778703682</v>
      </c>
      <c r="M52" s="6"/>
      <c r="N52" s="2">
        <f>-(1.7*K52^2)/19.62</f>
        <v>0</v>
      </c>
      <c r="O52">
        <f t="shared" si="4"/>
        <v>0</v>
      </c>
      <c r="P52">
        <f t="shared" si="7"/>
        <v>0</v>
      </c>
      <c r="Q52">
        <f t="shared" si="5"/>
        <v>0</v>
      </c>
      <c r="R52">
        <f t="shared" si="6"/>
        <v>5.7099999999999998E-3</v>
      </c>
    </row>
    <row r="53" spans="1:18" x14ac:dyDescent="0.3">
      <c r="A53">
        <v>0.6</v>
      </c>
      <c r="B53">
        <v>15</v>
      </c>
      <c r="C53">
        <v>6</v>
      </c>
      <c r="D53" s="1">
        <v>2.8</v>
      </c>
      <c r="E53" s="3">
        <v>7.6139999999999999</v>
      </c>
      <c r="F53" s="8">
        <f t="shared" ref="F53:F58" si="26">(D53*10^-3)/(E53*10^-4)</f>
        <v>3.6774363015497764</v>
      </c>
      <c r="G53" s="9">
        <v>1.41</v>
      </c>
      <c r="H53" s="10">
        <v>9.5166666666666663E-4</v>
      </c>
      <c r="I53" s="11">
        <f t="shared" ref="I53:I58" si="27">(F53)/((9.81*G53*10^-2))^(1/2)</f>
        <v>9.8878324543017246</v>
      </c>
      <c r="J53" s="9">
        <v>4.5</v>
      </c>
      <c r="K53" s="9">
        <v>1.5</v>
      </c>
      <c r="L53" s="14">
        <f t="shared" si="0"/>
        <v>14.364475003732045</v>
      </c>
      <c r="M53" s="6"/>
      <c r="N53" s="2">
        <f t="shared" ref="N53:N58" si="28">-(1.7*K53^2)/19.62</f>
        <v>-0.19495412844036694</v>
      </c>
      <c r="O53">
        <f t="shared" si="4"/>
        <v>0.40789285714285717</v>
      </c>
      <c r="P53">
        <f t="shared" si="7"/>
        <v>2.3856469213197493</v>
      </c>
      <c r="Q53">
        <f t="shared" si="5"/>
        <v>0.85201675761419626</v>
      </c>
      <c r="R53">
        <f t="shared" si="6"/>
        <v>5.7099999999999998E-3</v>
      </c>
    </row>
    <row r="54" spans="1:18" x14ac:dyDescent="0.3">
      <c r="A54">
        <v>0.6</v>
      </c>
      <c r="B54">
        <v>15</v>
      </c>
      <c r="C54">
        <v>6</v>
      </c>
      <c r="D54" s="1">
        <v>4.2</v>
      </c>
      <c r="E54" s="3">
        <v>7.6139999999999999</v>
      </c>
      <c r="F54" s="8">
        <f t="shared" si="26"/>
        <v>5.5161544523246651</v>
      </c>
      <c r="G54" s="9">
        <v>1.41</v>
      </c>
      <c r="H54" s="10">
        <v>9.5166666666666663E-4</v>
      </c>
      <c r="I54" s="11">
        <f t="shared" si="27"/>
        <v>14.83174868145259</v>
      </c>
      <c r="J54" s="9">
        <v>4.5</v>
      </c>
      <c r="K54" s="9">
        <v>8.44</v>
      </c>
      <c r="L54" s="14">
        <f t="shared" si="0"/>
        <v>2.5301203283755114</v>
      </c>
      <c r="M54" s="6"/>
      <c r="N54" s="2">
        <f t="shared" si="28"/>
        <v>-6.1721264016309876</v>
      </c>
      <c r="O54">
        <f t="shared" si="4"/>
        <v>1.5300514285714284</v>
      </c>
      <c r="P54">
        <f t="shared" si="7"/>
        <v>13.423240010625786</v>
      </c>
      <c r="Q54">
        <f t="shared" si="5"/>
        <v>3.196009526339473</v>
      </c>
      <c r="R54">
        <f t="shared" si="6"/>
        <v>5.7099999999999998E-3</v>
      </c>
    </row>
    <row r="55" spans="1:18" x14ac:dyDescent="0.3">
      <c r="A55">
        <v>0.6</v>
      </c>
      <c r="B55">
        <v>15</v>
      </c>
      <c r="C55">
        <v>6</v>
      </c>
      <c r="D55" s="1">
        <v>5.6</v>
      </c>
      <c r="E55" s="3">
        <v>7.6139999999999999</v>
      </c>
      <c r="F55" s="8">
        <f t="shared" si="26"/>
        <v>7.3548726030995528</v>
      </c>
      <c r="G55" s="9">
        <v>1.41</v>
      </c>
      <c r="H55" s="10">
        <v>9.5166666666666663E-4</v>
      </c>
      <c r="I55" s="11">
        <f t="shared" si="27"/>
        <v>19.775664908603449</v>
      </c>
      <c r="J55" s="9">
        <v>4.5</v>
      </c>
      <c r="K55" s="9">
        <v>16.41</v>
      </c>
      <c r="L55" s="14">
        <f t="shared" si="0"/>
        <v>-4.8010042705436859</v>
      </c>
      <c r="M55" s="6"/>
      <c r="N55" s="2">
        <f t="shared" si="28"/>
        <v>-23.332811926605501</v>
      </c>
      <c r="O55">
        <f t="shared" si="4"/>
        <v>2.2311739285714287</v>
      </c>
      <c r="P55">
        <f t="shared" si="7"/>
        <v>26.098977319238053</v>
      </c>
      <c r="Q55">
        <f t="shared" si="5"/>
        <v>4.6605316641496524</v>
      </c>
      <c r="R55">
        <f t="shared" si="6"/>
        <v>5.7099999999999998E-3</v>
      </c>
    </row>
    <row r="56" spans="1:18" x14ac:dyDescent="0.3">
      <c r="A56">
        <v>0.6</v>
      </c>
      <c r="B56">
        <v>15</v>
      </c>
      <c r="C56">
        <v>6</v>
      </c>
      <c r="D56" s="1">
        <v>7</v>
      </c>
      <c r="E56" s="3">
        <v>7.6139999999999999</v>
      </c>
      <c r="F56" s="8">
        <f t="shared" si="26"/>
        <v>9.1935907538744406</v>
      </c>
      <c r="G56" s="9">
        <v>1.41</v>
      </c>
      <c r="H56" s="10">
        <v>9.5166666666666663E-4</v>
      </c>
      <c r="I56" s="11">
        <f t="shared" si="27"/>
        <v>24.719581135754311</v>
      </c>
      <c r="J56" s="9">
        <v>4.5</v>
      </c>
      <c r="K56" s="9">
        <v>21.48</v>
      </c>
      <c r="L56" s="14">
        <f t="shared" si="0"/>
        <v>-6.936411708277423</v>
      </c>
      <c r="M56" s="6"/>
      <c r="N56" s="2">
        <f t="shared" si="28"/>
        <v>-39.977761467889906</v>
      </c>
      <c r="O56">
        <f t="shared" si="4"/>
        <v>2.3364102857142859</v>
      </c>
      <c r="P56">
        <f t="shared" si="7"/>
        <v>34.162463913298808</v>
      </c>
      <c r="Q56">
        <f t="shared" si="5"/>
        <v>4.880351987614115</v>
      </c>
      <c r="R56">
        <f t="shared" si="6"/>
        <v>5.7099999999999998E-3</v>
      </c>
    </row>
    <row r="57" spans="1:18" x14ac:dyDescent="0.3">
      <c r="A57">
        <v>0.6</v>
      </c>
      <c r="B57">
        <v>15</v>
      </c>
      <c r="C57">
        <v>6</v>
      </c>
      <c r="D57" s="1">
        <v>8.4</v>
      </c>
      <c r="E57" s="3">
        <v>7.6139999999999999</v>
      </c>
      <c r="F57" s="8">
        <f t="shared" si="26"/>
        <v>11.03230890464933</v>
      </c>
      <c r="G57" s="9">
        <v>1.41</v>
      </c>
      <c r="H57" s="10">
        <v>9.5166666666666663E-4</v>
      </c>
      <c r="I57" s="11">
        <f t="shared" si="27"/>
        <v>29.663497362905179</v>
      </c>
      <c r="J57" s="9">
        <v>4.5</v>
      </c>
      <c r="K57" s="9">
        <v>23.82</v>
      </c>
      <c r="L57" s="14">
        <f t="shared" si="0"/>
        <v>-6.2975266947202053</v>
      </c>
      <c r="M57" s="6"/>
      <c r="N57" s="2">
        <f t="shared" si="28"/>
        <v>-49.162440366972476</v>
      </c>
      <c r="O57">
        <f t="shared" si="4"/>
        <v>2.1591128571428571</v>
      </c>
      <c r="P57">
        <f t="shared" si="7"/>
        <v>37.884073110557615</v>
      </c>
      <c r="Q57">
        <f t="shared" si="5"/>
        <v>4.5100087036378111</v>
      </c>
      <c r="R57">
        <f t="shared" si="6"/>
        <v>5.7099999999999998E-3</v>
      </c>
    </row>
    <row r="58" spans="1:18" x14ac:dyDescent="0.3">
      <c r="A58">
        <v>0.6</v>
      </c>
      <c r="B58">
        <v>15</v>
      </c>
      <c r="C58">
        <v>6</v>
      </c>
      <c r="D58" s="9">
        <v>9.8000000000000007</v>
      </c>
      <c r="E58" s="3">
        <v>7.6139999999999999</v>
      </c>
      <c r="F58" s="8">
        <f t="shared" si="26"/>
        <v>12.87102705542422</v>
      </c>
      <c r="G58" s="9">
        <v>1.41</v>
      </c>
      <c r="H58" s="10">
        <v>9.5166666666666663E-4</v>
      </c>
      <c r="I58" s="11">
        <f t="shared" si="27"/>
        <v>34.607413590056048</v>
      </c>
      <c r="J58" s="9">
        <v>4.5</v>
      </c>
      <c r="K58" s="9">
        <v>26.46</v>
      </c>
      <c r="L58" s="14">
        <f t="shared" si="0"/>
        <v>-5.988894194714617</v>
      </c>
      <c r="M58" s="6"/>
      <c r="N58" s="2">
        <f t="shared" si="28"/>
        <v>-60.663798165137607</v>
      </c>
      <c r="O58">
        <f t="shared" si="4"/>
        <v>2.0557799999999999</v>
      </c>
      <c r="P58">
        <f t="shared" si="7"/>
        <v>42.082811692080377</v>
      </c>
      <c r="Q58">
        <f t="shared" si="5"/>
        <v>4.2941644583755485</v>
      </c>
      <c r="R58">
        <f t="shared" si="6"/>
        <v>5.7099999999999998E-3</v>
      </c>
    </row>
    <row r="59" spans="1:18" x14ac:dyDescent="0.3">
      <c r="A59">
        <v>0.6</v>
      </c>
      <c r="B59">
        <v>20</v>
      </c>
      <c r="C59">
        <v>1</v>
      </c>
      <c r="D59" s="1">
        <v>1.8</v>
      </c>
      <c r="E59" s="3">
        <v>10.151999999999999</v>
      </c>
      <c r="F59" s="8">
        <f>(D59*10^-3)/(E59*10^-4)</f>
        <v>1.7730496453900713</v>
      </c>
      <c r="G59" s="9">
        <v>1.88</v>
      </c>
      <c r="H59" s="10">
        <v>6.9699999999999996E-3</v>
      </c>
      <c r="I59" s="11">
        <f>(F59)/((9.81*G59*10^-2))^(1/2)</f>
        <v>4.1286442952199529</v>
      </c>
      <c r="J59" s="9">
        <v>3</v>
      </c>
      <c r="K59" s="9">
        <v>0</v>
      </c>
      <c r="L59" s="14">
        <f t="shared" si="0"/>
        <v>63.00957537791998</v>
      </c>
      <c r="M59" s="6"/>
      <c r="N59" s="2">
        <f>-(1.7*K59^2)/19.62</f>
        <v>0</v>
      </c>
      <c r="O59">
        <f t="shared" si="4"/>
        <v>0</v>
      </c>
      <c r="P59">
        <f t="shared" si="7"/>
        <v>0</v>
      </c>
      <c r="Q59">
        <f t="shared" si="5"/>
        <v>0</v>
      </c>
      <c r="R59">
        <f t="shared" si="6"/>
        <v>6.9699999999999996E-3</v>
      </c>
    </row>
    <row r="60" spans="1:18" x14ac:dyDescent="0.3">
      <c r="A60">
        <v>0.6</v>
      </c>
      <c r="B60">
        <v>20</v>
      </c>
      <c r="C60">
        <v>1</v>
      </c>
      <c r="D60" s="1">
        <v>3.6</v>
      </c>
      <c r="E60" s="3">
        <v>10.151999999999999</v>
      </c>
      <c r="F60" s="8">
        <f t="shared" ref="F60:F65" si="29">(D60*10^-3)/(E60*10^-4)</f>
        <v>3.5460992907801425</v>
      </c>
      <c r="G60" s="9">
        <v>1.88</v>
      </c>
      <c r="H60" s="10">
        <v>6.9699999999999996E-3</v>
      </c>
      <c r="I60" s="11">
        <f t="shared" ref="I60:I65" si="30">(F60)/((9.81*G60*10^-2))^(1/2)</f>
        <v>8.2572885904399058</v>
      </c>
      <c r="J60" s="9">
        <v>4.5</v>
      </c>
      <c r="K60" s="9">
        <v>2.1</v>
      </c>
      <c r="L60" s="14">
        <f t="shared" si="0"/>
        <v>15.156202416479996</v>
      </c>
      <c r="M60" s="6"/>
      <c r="N60" s="2">
        <f t="shared" ref="N60:N65" si="31">-(1.7*K60^2)/19.62</f>
        <v>-0.38211009174311922</v>
      </c>
      <c r="O60">
        <f t="shared" si="4"/>
        <v>0.59219999999999995</v>
      </c>
      <c r="P60">
        <f t="shared" si="7"/>
        <v>3.3399056898476487</v>
      </c>
      <c r="Q60">
        <f t="shared" si="5"/>
        <v>0.9277515805132357</v>
      </c>
      <c r="R60">
        <f t="shared" si="6"/>
        <v>6.9699999999999996E-3</v>
      </c>
    </row>
    <row r="61" spans="1:18" x14ac:dyDescent="0.3">
      <c r="A61">
        <v>0.6</v>
      </c>
      <c r="B61">
        <v>20</v>
      </c>
      <c r="C61">
        <v>1</v>
      </c>
      <c r="D61" s="1">
        <v>5.4</v>
      </c>
      <c r="E61" s="3">
        <v>10.151999999999999</v>
      </c>
      <c r="F61" s="8">
        <f t="shared" si="29"/>
        <v>5.3191489361702136</v>
      </c>
      <c r="G61" s="9">
        <v>1.88</v>
      </c>
      <c r="H61" s="10">
        <v>6.9699999999999996E-3</v>
      </c>
      <c r="I61" s="11">
        <f t="shared" si="30"/>
        <v>12.385932885659859</v>
      </c>
      <c r="J61" s="9">
        <v>4.5</v>
      </c>
      <c r="K61" s="9">
        <v>7.02</v>
      </c>
      <c r="L61" s="14">
        <f t="shared" si="0"/>
        <v>4.0400609529600002</v>
      </c>
      <c r="M61" s="6"/>
      <c r="N61" s="2">
        <f t="shared" si="31"/>
        <v>-4.2699633027522923</v>
      </c>
      <c r="O61">
        <f t="shared" si="4"/>
        <v>1.3197599999999998</v>
      </c>
      <c r="P61">
        <f t="shared" si="7"/>
        <v>11.164827591776426</v>
      </c>
      <c r="Q61">
        <f t="shared" si="5"/>
        <v>2.0675606651437826</v>
      </c>
      <c r="R61">
        <f t="shared" si="6"/>
        <v>6.9699999999999996E-3</v>
      </c>
    </row>
    <row r="62" spans="1:18" x14ac:dyDescent="0.3">
      <c r="A62">
        <v>0.6</v>
      </c>
      <c r="B62">
        <v>20</v>
      </c>
      <c r="C62">
        <v>1</v>
      </c>
      <c r="D62" s="1">
        <v>7.2</v>
      </c>
      <c r="E62" s="3">
        <v>10.151999999999999</v>
      </c>
      <c r="F62" s="8">
        <f t="shared" si="29"/>
        <v>7.092198581560285</v>
      </c>
      <c r="G62" s="9">
        <v>1.88</v>
      </c>
      <c r="H62" s="10">
        <v>6.9699999999999996E-3</v>
      </c>
      <c r="I62" s="11">
        <f t="shared" si="30"/>
        <v>16.514577180879812</v>
      </c>
      <c r="J62" s="9">
        <v>4.5</v>
      </c>
      <c r="K62" s="9">
        <v>11.72</v>
      </c>
      <c r="L62" s="14">
        <f t="shared" si="0"/>
        <v>-0.70429953455999961</v>
      </c>
      <c r="M62" s="6"/>
      <c r="N62" s="2">
        <f t="shared" si="31"/>
        <v>-11.901594291539245</v>
      </c>
      <c r="O62">
        <f t="shared" si="4"/>
        <v>1.6525199999999998</v>
      </c>
      <c r="P62">
        <f t="shared" si="7"/>
        <v>18.639854611911641</v>
      </c>
      <c r="Q62">
        <f t="shared" si="5"/>
        <v>2.5888686960988392</v>
      </c>
      <c r="R62">
        <f t="shared" si="6"/>
        <v>6.9699999999999996E-3</v>
      </c>
    </row>
    <row r="63" spans="1:18" x14ac:dyDescent="0.3">
      <c r="A63">
        <v>0.6</v>
      </c>
      <c r="B63">
        <v>20</v>
      </c>
      <c r="C63">
        <v>1</v>
      </c>
      <c r="D63" s="1">
        <v>9</v>
      </c>
      <c r="E63" s="3">
        <v>10.151999999999999</v>
      </c>
      <c r="F63" s="8">
        <f t="shared" si="29"/>
        <v>8.8652482269503565</v>
      </c>
      <c r="G63" s="9">
        <v>1.88</v>
      </c>
      <c r="H63" s="10">
        <v>6.9699999999999996E-3</v>
      </c>
      <c r="I63" s="11">
        <f t="shared" si="30"/>
        <v>20.643221476099765</v>
      </c>
      <c r="J63" s="9">
        <v>4.5</v>
      </c>
      <c r="K63" s="9">
        <v>15.68</v>
      </c>
      <c r="L63" s="14">
        <f t="shared" si="0"/>
        <v>-2.7977505122303983</v>
      </c>
      <c r="M63" s="6"/>
      <c r="N63" s="2">
        <f t="shared" si="31"/>
        <v>-21.303062181447501</v>
      </c>
      <c r="O63">
        <f t="shared" si="4"/>
        <v>1.7687039999999996</v>
      </c>
      <c r="P63">
        <f t="shared" si="7"/>
        <v>24.937962484195776</v>
      </c>
      <c r="Q63">
        <f t="shared" si="5"/>
        <v>2.7708847204661975</v>
      </c>
      <c r="R63">
        <f t="shared" si="6"/>
        <v>6.9699999999999996E-3</v>
      </c>
    </row>
    <row r="64" spans="1:18" x14ac:dyDescent="0.3">
      <c r="A64">
        <v>0.6</v>
      </c>
      <c r="B64">
        <v>20</v>
      </c>
      <c r="C64">
        <v>1</v>
      </c>
      <c r="D64" s="1">
        <v>10.8</v>
      </c>
      <c r="E64" s="3">
        <v>10.151999999999999</v>
      </c>
      <c r="F64" s="8">
        <f t="shared" si="29"/>
        <v>10.638297872340427</v>
      </c>
      <c r="G64" s="9">
        <v>1.88</v>
      </c>
      <c r="H64" s="10">
        <v>6.9699999999999996E-3</v>
      </c>
      <c r="I64" s="11">
        <f t="shared" si="30"/>
        <v>24.771865771319717</v>
      </c>
      <c r="J64" s="9">
        <v>4.5</v>
      </c>
      <c r="K64" s="9">
        <v>19.38</v>
      </c>
      <c r="L64" s="14">
        <f t="shared" si="0"/>
        <v>-3.8914624065599983</v>
      </c>
      <c r="M64" s="6"/>
      <c r="N64" s="2">
        <f t="shared" si="31"/>
        <v>-32.542990825688065</v>
      </c>
      <c r="O64">
        <f t="shared" si="4"/>
        <v>1.8217199999999996</v>
      </c>
      <c r="P64">
        <f t="shared" si="7"/>
        <v>30.822558223451161</v>
      </c>
      <c r="Q64">
        <f t="shared" si="5"/>
        <v>2.8539405762454777</v>
      </c>
      <c r="R64">
        <f t="shared" si="6"/>
        <v>6.9699999999999996E-3</v>
      </c>
    </row>
    <row r="65" spans="1:18" x14ac:dyDescent="0.3">
      <c r="A65">
        <v>0.6</v>
      </c>
      <c r="B65">
        <v>20</v>
      </c>
      <c r="C65">
        <v>1</v>
      </c>
      <c r="D65" s="1">
        <v>13.1</v>
      </c>
      <c r="E65" s="3">
        <v>10.151999999999999</v>
      </c>
      <c r="F65" s="8">
        <f t="shared" si="29"/>
        <v>12.903861308116628</v>
      </c>
      <c r="G65" s="9">
        <v>1.88</v>
      </c>
      <c r="H65" s="10">
        <v>6.9699999999999996E-3</v>
      </c>
      <c r="I65" s="11">
        <f t="shared" si="30"/>
        <v>30.047355704100763</v>
      </c>
      <c r="J65" s="9">
        <v>4.5</v>
      </c>
      <c r="K65" s="9">
        <v>23.77</v>
      </c>
      <c r="L65" s="14">
        <f t="shared" si="0"/>
        <v>-4.5789446502782249</v>
      </c>
      <c r="M65" s="6"/>
      <c r="N65" s="2">
        <f t="shared" si="31"/>
        <v>-48.956265545361866</v>
      </c>
      <c r="O65">
        <f t="shared" si="4"/>
        <v>1.8420842748091601</v>
      </c>
      <c r="P65">
        <f t="shared" si="7"/>
        <v>37.804551546513622</v>
      </c>
      <c r="Q65">
        <f t="shared" si="5"/>
        <v>2.8858436295048566</v>
      </c>
      <c r="R65">
        <f t="shared" si="6"/>
        <v>6.9699999999999996E-3</v>
      </c>
    </row>
    <row r="66" spans="1:18" x14ac:dyDescent="0.3">
      <c r="A66">
        <v>0.6</v>
      </c>
      <c r="B66">
        <v>20</v>
      </c>
      <c r="C66">
        <v>2</v>
      </c>
      <c r="D66" s="1">
        <v>1.8</v>
      </c>
      <c r="E66" s="3">
        <v>10.151999999999999</v>
      </c>
      <c r="F66" s="8">
        <f>(D66*10^-3)/(E66*10^-4)</f>
        <v>1.7730496453900713</v>
      </c>
      <c r="G66" s="9">
        <v>1.88</v>
      </c>
      <c r="H66" s="10">
        <v>3.4849999999999998E-3</v>
      </c>
      <c r="I66" s="11">
        <f>(F66)/((9.81*G66*10^-2))^(1/2)</f>
        <v>4.1286442952199529</v>
      </c>
      <c r="J66" s="9">
        <v>3</v>
      </c>
      <c r="K66" s="9">
        <v>0</v>
      </c>
      <c r="L66" s="14">
        <f t="shared" si="0"/>
        <v>63.00957537791998</v>
      </c>
      <c r="M66" s="6"/>
      <c r="N66" s="2">
        <f>-(1.7*K66^2)/19.62</f>
        <v>0</v>
      </c>
      <c r="O66">
        <f t="shared" si="4"/>
        <v>0</v>
      </c>
      <c r="P66">
        <f t="shared" si="7"/>
        <v>0</v>
      </c>
      <c r="Q66">
        <f t="shared" si="5"/>
        <v>0</v>
      </c>
      <c r="R66">
        <f t="shared" si="6"/>
        <v>6.9699999999999996E-3</v>
      </c>
    </row>
    <row r="67" spans="1:18" x14ac:dyDescent="0.3">
      <c r="A67">
        <v>0.6</v>
      </c>
      <c r="B67">
        <v>20</v>
      </c>
      <c r="C67">
        <v>2</v>
      </c>
      <c r="D67" s="1">
        <v>3.6</v>
      </c>
      <c r="E67" s="3">
        <v>10.151999999999999</v>
      </c>
      <c r="F67" s="8">
        <f t="shared" ref="F67:F72" si="32">(D67*10^-3)/(E67*10^-4)</f>
        <v>3.5460992907801425</v>
      </c>
      <c r="G67" s="9">
        <v>1.88</v>
      </c>
      <c r="H67" s="10">
        <v>3.4849999999999998E-3</v>
      </c>
      <c r="I67" s="11">
        <f t="shared" ref="I67:I72" si="33">(F67)/((9.81*G67*10^-2))^(1/2)</f>
        <v>8.2572885904399058</v>
      </c>
      <c r="J67" s="9">
        <v>4.5</v>
      </c>
      <c r="K67" s="9">
        <v>0</v>
      </c>
      <c r="L67" s="14">
        <f t="shared" ref="L67:L130" si="34">(10.33+N67-0.234)/((F67^2)/19.62)</f>
        <v>15.752393844479995</v>
      </c>
      <c r="M67" s="6"/>
      <c r="N67" s="2">
        <f t="shared" ref="N67:N72" si="35">-(1.7*K67^2)/19.62</f>
        <v>0</v>
      </c>
      <c r="O67">
        <f t="shared" si="4"/>
        <v>0</v>
      </c>
      <c r="P67">
        <f t="shared" si="7"/>
        <v>0</v>
      </c>
      <c r="Q67">
        <f t="shared" si="5"/>
        <v>0</v>
      </c>
      <c r="R67">
        <f t="shared" si="6"/>
        <v>6.9699999999999996E-3</v>
      </c>
    </row>
    <row r="68" spans="1:18" x14ac:dyDescent="0.3">
      <c r="A68">
        <v>0.6</v>
      </c>
      <c r="B68">
        <v>20</v>
      </c>
      <c r="C68">
        <v>2</v>
      </c>
      <c r="D68" s="1">
        <v>5.4</v>
      </c>
      <c r="E68" s="3">
        <v>10.151999999999999</v>
      </c>
      <c r="F68" s="8">
        <f t="shared" si="32"/>
        <v>5.3191489361702136</v>
      </c>
      <c r="G68" s="9">
        <v>1.88</v>
      </c>
      <c r="H68" s="10">
        <v>3.4849999999999998E-3</v>
      </c>
      <c r="I68" s="11">
        <f t="shared" si="33"/>
        <v>12.385932885659859</v>
      </c>
      <c r="J68" s="9">
        <v>4.5</v>
      </c>
      <c r="K68" s="9">
        <v>7.65</v>
      </c>
      <c r="L68" s="14">
        <f t="shared" si="34"/>
        <v>3.4847512228799995</v>
      </c>
      <c r="M68" s="6"/>
      <c r="N68" s="2">
        <f t="shared" si="35"/>
        <v>-5.0707568807339447</v>
      </c>
      <c r="O68">
        <f t="shared" ref="O68:O131" si="36">K68/F68</f>
        <v>1.4381999999999999</v>
      </c>
      <c r="P68">
        <f t="shared" si="7"/>
        <v>12.166799298730721</v>
      </c>
      <c r="Q68">
        <f t="shared" ref="Q68:Q131" si="37">P68/D68</f>
        <v>2.2531109812464298</v>
      </c>
      <c r="R68">
        <f t="shared" ref="R68:R131" si="38">H68*C68</f>
        <v>6.9699999999999996E-3</v>
      </c>
    </row>
    <row r="69" spans="1:18" x14ac:dyDescent="0.3">
      <c r="A69">
        <v>0.6</v>
      </c>
      <c r="B69">
        <v>20</v>
      </c>
      <c r="C69">
        <v>2</v>
      </c>
      <c r="D69" s="1">
        <v>7.2</v>
      </c>
      <c r="E69" s="3">
        <v>10.151999999999999</v>
      </c>
      <c r="F69" s="8">
        <f t="shared" si="32"/>
        <v>7.092198581560285</v>
      </c>
      <c r="G69" s="9">
        <v>1.88</v>
      </c>
      <c r="H69" s="10">
        <v>3.4849999999999998E-3</v>
      </c>
      <c r="I69" s="11">
        <f t="shared" si="33"/>
        <v>16.514577180879812</v>
      </c>
      <c r="J69" s="9">
        <v>4.5</v>
      </c>
      <c r="K69" s="9">
        <v>11.27</v>
      </c>
      <c r="L69" s="14">
        <f t="shared" si="34"/>
        <v>-0.35464542920999897</v>
      </c>
      <c r="M69" s="6"/>
      <c r="N69" s="2">
        <f t="shared" si="35"/>
        <v>-11.005195208970436</v>
      </c>
      <c r="O69">
        <f t="shared" si="36"/>
        <v>1.5890699999999995</v>
      </c>
      <c r="P69">
        <f t="shared" ref="P69:P132" si="39">K69*PI()*(J69^2)/40</f>
        <v>17.924160535515714</v>
      </c>
      <c r="Q69">
        <f t="shared" si="37"/>
        <v>2.4894667410438491</v>
      </c>
      <c r="R69">
        <f t="shared" si="38"/>
        <v>6.9699999999999996E-3</v>
      </c>
    </row>
    <row r="70" spans="1:18" x14ac:dyDescent="0.3">
      <c r="A70">
        <v>0.6</v>
      </c>
      <c r="B70">
        <v>20</v>
      </c>
      <c r="C70">
        <v>2</v>
      </c>
      <c r="D70" s="1">
        <v>9</v>
      </c>
      <c r="E70" s="3">
        <v>10.151999999999999</v>
      </c>
      <c r="F70" s="8">
        <f t="shared" si="32"/>
        <v>8.8652482269503565</v>
      </c>
      <c r="G70" s="9">
        <v>1.88</v>
      </c>
      <c r="H70" s="10">
        <v>3.4849999999999998E-3</v>
      </c>
      <c r="I70" s="11">
        <f t="shared" si="33"/>
        <v>20.643221476099765</v>
      </c>
      <c r="J70" s="9">
        <v>4.5</v>
      </c>
      <c r="K70" s="9">
        <v>16.53</v>
      </c>
      <c r="L70" s="14">
        <f t="shared" si="34"/>
        <v>-3.3899619230783977</v>
      </c>
      <c r="M70" s="6"/>
      <c r="N70" s="2">
        <f t="shared" si="35"/>
        <v>-23.675307339449539</v>
      </c>
      <c r="O70">
        <f t="shared" si="36"/>
        <v>1.8645839999999998</v>
      </c>
      <c r="P70">
        <f t="shared" si="39"/>
        <v>26.28982907294364</v>
      </c>
      <c r="Q70">
        <f t="shared" si="37"/>
        <v>2.92109211921596</v>
      </c>
      <c r="R70">
        <f t="shared" si="38"/>
        <v>6.9699999999999996E-3</v>
      </c>
    </row>
    <row r="71" spans="1:18" x14ac:dyDescent="0.3">
      <c r="A71">
        <v>0.6</v>
      </c>
      <c r="B71">
        <v>20</v>
      </c>
      <c r="C71">
        <v>2</v>
      </c>
      <c r="D71" s="1">
        <v>10.8</v>
      </c>
      <c r="E71" s="3">
        <v>10.151999999999999</v>
      </c>
      <c r="F71" s="8">
        <f t="shared" si="32"/>
        <v>10.638297872340427</v>
      </c>
      <c r="G71" s="9">
        <v>1.88</v>
      </c>
      <c r="H71" s="10">
        <v>3.4849999999999998E-3</v>
      </c>
      <c r="I71" s="11">
        <f t="shared" si="33"/>
        <v>24.771865771319717</v>
      </c>
      <c r="J71" s="9">
        <v>4.5</v>
      </c>
      <c r="K71" s="9">
        <v>21.78</v>
      </c>
      <c r="L71" s="14">
        <f t="shared" si="34"/>
        <v>-5.3753166273599993</v>
      </c>
      <c r="M71" s="6"/>
      <c r="N71" s="2">
        <f t="shared" si="35"/>
        <v>-41.102256880733947</v>
      </c>
      <c r="O71">
        <f t="shared" si="36"/>
        <v>2.0473199999999996</v>
      </c>
      <c r="P71">
        <f t="shared" si="39"/>
        <v>34.639593297562762</v>
      </c>
      <c r="Q71">
        <f t="shared" si="37"/>
        <v>3.2073697497743296</v>
      </c>
      <c r="R71">
        <f t="shared" si="38"/>
        <v>6.9699999999999996E-3</v>
      </c>
    </row>
    <row r="72" spans="1:18" x14ac:dyDescent="0.3">
      <c r="A72">
        <v>0.6</v>
      </c>
      <c r="B72">
        <v>20</v>
      </c>
      <c r="C72">
        <v>2</v>
      </c>
      <c r="D72" s="1">
        <v>13.1</v>
      </c>
      <c r="E72" s="3">
        <v>10.151999999999999</v>
      </c>
      <c r="F72" s="8">
        <f t="shared" si="32"/>
        <v>12.903861308116628</v>
      </c>
      <c r="G72" s="9">
        <v>1.88</v>
      </c>
      <c r="H72" s="10">
        <v>3.4849999999999998E-3</v>
      </c>
      <c r="I72" s="11">
        <f t="shared" si="33"/>
        <v>30.047355704100763</v>
      </c>
      <c r="J72" s="9">
        <v>4.5</v>
      </c>
      <c r="K72" s="9">
        <v>28.62</v>
      </c>
      <c r="L72" s="14">
        <f t="shared" si="34"/>
        <v>-7.1731221325360899</v>
      </c>
      <c r="M72" s="6"/>
      <c r="N72" s="2">
        <f t="shared" si="35"/>
        <v>-70.972348623853208</v>
      </c>
      <c r="O72">
        <f t="shared" si="36"/>
        <v>2.2179407633587784</v>
      </c>
      <c r="P72">
        <f t="shared" si="39"/>
        <v>45.518143258780817</v>
      </c>
      <c r="Q72">
        <f t="shared" si="37"/>
        <v>3.4746674243344136</v>
      </c>
      <c r="R72">
        <f t="shared" si="38"/>
        <v>6.9699999999999996E-3</v>
      </c>
    </row>
    <row r="73" spans="1:18" x14ac:dyDescent="0.3">
      <c r="A73">
        <v>0.6</v>
      </c>
      <c r="B73">
        <v>20</v>
      </c>
      <c r="C73">
        <v>4</v>
      </c>
      <c r="D73" s="1">
        <v>1.8</v>
      </c>
      <c r="E73" s="3">
        <v>10.151999999999999</v>
      </c>
      <c r="F73" s="8">
        <f>(D73*10^-3)/(E73*10^-4)</f>
        <v>1.7730496453900713</v>
      </c>
      <c r="G73" s="9">
        <v>1.88</v>
      </c>
      <c r="H73" s="10">
        <v>1.7424999999999999E-3</v>
      </c>
      <c r="I73" s="11">
        <f>(F73)/((9.81*G73*10^-2))^(1/2)</f>
        <v>4.1286442952199529</v>
      </c>
      <c r="J73" s="9">
        <v>3</v>
      </c>
      <c r="K73" s="9">
        <v>0</v>
      </c>
      <c r="L73" s="14">
        <f t="shared" si="34"/>
        <v>63.00957537791998</v>
      </c>
      <c r="M73" s="6"/>
      <c r="N73" s="2">
        <f>-(1.7*K73^2)/19.62</f>
        <v>0</v>
      </c>
      <c r="O73">
        <f t="shared" si="36"/>
        <v>0</v>
      </c>
      <c r="P73">
        <f t="shared" si="39"/>
        <v>0</v>
      </c>
      <c r="Q73">
        <f t="shared" si="37"/>
        <v>0</v>
      </c>
      <c r="R73">
        <f t="shared" si="38"/>
        <v>6.9699999999999996E-3</v>
      </c>
    </row>
    <row r="74" spans="1:18" x14ac:dyDescent="0.3">
      <c r="A74">
        <v>0.6</v>
      </c>
      <c r="B74">
        <v>20</v>
      </c>
      <c r="C74">
        <v>4</v>
      </c>
      <c r="D74" s="1">
        <v>3.6</v>
      </c>
      <c r="E74" s="3">
        <v>10.151999999999999</v>
      </c>
      <c r="F74" s="8">
        <f t="shared" ref="F74:F79" si="40">(D74*10^-3)/(E74*10^-4)</f>
        <v>3.5460992907801425</v>
      </c>
      <c r="G74" s="9">
        <v>1.88</v>
      </c>
      <c r="H74" s="10">
        <v>1.7424999999999999E-3</v>
      </c>
      <c r="I74" s="11">
        <f t="shared" ref="I74:I79" si="41">(F74)/((9.81*G74*10^-2))^(1/2)</f>
        <v>8.2572885904399058</v>
      </c>
      <c r="J74" s="9">
        <v>4.5</v>
      </c>
      <c r="K74" s="9">
        <v>0</v>
      </c>
      <c r="L74" s="14">
        <f t="shared" si="34"/>
        <v>15.752393844479995</v>
      </c>
      <c r="M74" s="6"/>
      <c r="N74" s="2">
        <f t="shared" ref="N74:N79" si="42">-(1.7*K74^2)/19.62</f>
        <v>0</v>
      </c>
      <c r="O74">
        <f t="shared" si="36"/>
        <v>0</v>
      </c>
      <c r="P74">
        <f t="shared" si="39"/>
        <v>0</v>
      </c>
      <c r="Q74">
        <f t="shared" si="37"/>
        <v>0</v>
      </c>
      <c r="R74">
        <f t="shared" si="38"/>
        <v>6.9699999999999996E-3</v>
      </c>
    </row>
    <row r="75" spans="1:18" x14ac:dyDescent="0.3">
      <c r="A75">
        <v>0.6</v>
      </c>
      <c r="B75">
        <v>20</v>
      </c>
      <c r="C75">
        <v>4</v>
      </c>
      <c r="D75" s="1">
        <v>5.4</v>
      </c>
      <c r="E75" s="3">
        <v>10.151999999999999</v>
      </c>
      <c r="F75" s="8">
        <f t="shared" si="40"/>
        <v>5.3191489361702136</v>
      </c>
      <c r="G75" s="9">
        <v>1.88</v>
      </c>
      <c r="H75" s="10">
        <v>1.7424999999999999E-3</v>
      </c>
      <c r="I75" s="11">
        <f t="shared" si="41"/>
        <v>12.385932885659859</v>
      </c>
      <c r="J75" s="9">
        <v>4.5</v>
      </c>
      <c r="K75" s="9">
        <v>7.71</v>
      </c>
      <c r="L75" s="14">
        <f t="shared" si="34"/>
        <v>3.4293770711999993</v>
      </c>
      <c r="M75" s="6"/>
      <c r="N75" s="2">
        <f t="shared" si="42"/>
        <v>-5.1506100917431192</v>
      </c>
      <c r="O75">
        <f t="shared" si="36"/>
        <v>1.4494799999999999</v>
      </c>
      <c r="P75">
        <f t="shared" si="39"/>
        <v>12.262225175583511</v>
      </c>
      <c r="Q75">
        <f t="shared" si="37"/>
        <v>2.2707824399228724</v>
      </c>
      <c r="R75">
        <f t="shared" si="38"/>
        <v>6.9699999999999996E-3</v>
      </c>
    </row>
    <row r="76" spans="1:18" x14ac:dyDescent="0.3">
      <c r="A76">
        <v>0.6</v>
      </c>
      <c r="B76">
        <v>20</v>
      </c>
      <c r="C76">
        <v>4</v>
      </c>
      <c r="D76" s="1">
        <v>7.2</v>
      </c>
      <c r="E76" s="3">
        <v>10.151999999999999</v>
      </c>
      <c r="F76" s="8">
        <f t="shared" si="40"/>
        <v>7.092198581560285</v>
      </c>
      <c r="G76" s="9">
        <v>1.88</v>
      </c>
      <c r="H76" s="10">
        <v>1.7424999999999999E-3</v>
      </c>
      <c r="I76" s="11">
        <f t="shared" si="41"/>
        <v>16.514577180879812</v>
      </c>
      <c r="J76" s="9">
        <v>4.5</v>
      </c>
      <c r="K76" s="9">
        <v>11.48</v>
      </c>
      <c r="L76" s="14">
        <f t="shared" si="34"/>
        <v>-0.51611394095999952</v>
      </c>
      <c r="M76" s="6"/>
      <c r="N76" s="2">
        <f t="shared" si="42"/>
        <v>-11.419147808358817</v>
      </c>
      <c r="O76">
        <f t="shared" si="36"/>
        <v>1.6186799999999997</v>
      </c>
      <c r="P76">
        <f t="shared" si="39"/>
        <v>18.258151104500481</v>
      </c>
      <c r="Q76">
        <f t="shared" si="37"/>
        <v>2.5358543200695114</v>
      </c>
      <c r="R76">
        <f t="shared" si="38"/>
        <v>6.9699999999999996E-3</v>
      </c>
    </row>
    <row r="77" spans="1:18" x14ac:dyDescent="0.3">
      <c r="A77">
        <v>0.6</v>
      </c>
      <c r="B77">
        <v>20</v>
      </c>
      <c r="C77">
        <v>4</v>
      </c>
      <c r="D77" s="1">
        <v>9</v>
      </c>
      <c r="E77" s="3">
        <v>10.151999999999999</v>
      </c>
      <c r="F77" s="8">
        <f t="shared" si="40"/>
        <v>8.8652482269503565</v>
      </c>
      <c r="G77" s="9">
        <v>1.88</v>
      </c>
      <c r="H77" s="10">
        <v>1.7424999999999999E-3</v>
      </c>
      <c r="I77" s="11">
        <f t="shared" si="41"/>
        <v>20.643221476099765</v>
      </c>
      <c r="J77" s="9">
        <v>4.5</v>
      </c>
      <c r="K77" s="9">
        <v>17.010000000000002</v>
      </c>
      <c r="L77" s="14">
        <f t="shared" si="34"/>
        <v>-3.7381961194559987</v>
      </c>
      <c r="M77" s="6"/>
      <c r="N77" s="2">
        <f t="shared" si="42"/>
        <v>-25.070243119266056</v>
      </c>
      <c r="O77">
        <f t="shared" si="36"/>
        <v>1.9187279999999998</v>
      </c>
      <c r="P77">
        <f t="shared" si="39"/>
        <v>27.05323608776596</v>
      </c>
      <c r="Q77">
        <f t="shared" si="37"/>
        <v>3.0059151208628845</v>
      </c>
      <c r="R77">
        <f t="shared" si="38"/>
        <v>6.9699999999999996E-3</v>
      </c>
    </row>
    <row r="78" spans="1:18" x14ac:dyDescent="0.3">
      <c r="A78">
        <v>0.6</v>
      </c>
      <c r="B78">
        <v>20</v>
      </c>
      <c r="C78">
        <v>4</v>
      </c>
      <c r="D78" s="1">
        <v>10.8</v>
      </c>
      <c r="E78" s="3">
        <v>10.151999999999999</v>
      </c>
      <c r="F78" s="8">
        <f t="shared" si="40"/>
        <v>10.638297872340427</v>
      </c>
      <c r="G78" s="9">
        <v>1.88</v>
      </c>
      <c r="H78" s="10">
        <v>1.7424999999999999E-3</v>
      </c>
      <c r="I78" s="11">
        <f t="shared" si="41"/>
        <v>24.771865771319717</v>
      </c>
      <c r="J78" s="9">
        <v>4.5</v>
      </c>
      <c r="K78" s="9">
        <v>23.64</v>
      </c>
      <c r="L78" s="14">
        <f t="shared" si="34"/>
        <v>-6.6443256287999981</v>
      </c>
      <c r="M78" s="6"/>
      <c r="N78" s="2">
        <f t="shared" si="42"/>
        <v>-48.422238532110086</v>
      </c>
      <c r="O78">
        <f t="shared" si="36"/>
        <v>2.2221599999999997</v>
      </c>
      <c r="P78">
        <f t="shared" si="39"/>
        <v>37.597795479999249</v>
      </c>
      <c r="Q78">
        <f t="shared" si="37"/>
        <v>3.4812773592591895</v>
      </c>
      <c r="R78">
        <f t="shared" si="38"/>
        <v>6.9699999999999996E-3</v>
      </c>
    </row>
    <row r="79" spans="1:18" x14ac:dyDescent="0.3">
      <c r="A79">
        <v>0.6</v>
      </c>
      <c r="B79">
        <v>20</v>
      </c>
      <c r="C79">
        <v>4</v>
      </c>
      <c r="D79" s="1">
        <v>13.1</v>
      </c>
      <c r="E79" s="3">
        <v>10.151999999999999</v>
      </c>
      <c r="F79" s="8">
        <f t="shared" si="40"/>
        <v>12.903861308116628</v>
      </c>
      <c r="G79" s="9">
        <v>1.88</v>
      </c>
      <c r="H79" s="10">
        <v>1.7424999999999999E-3</v>
      </c>
      <c r="I79" s="11">
        <f t="shared" si="41"/>
        <v>30.047355704100763</v>
      </c>
      <c r="J79" s="9">
        <v>4.5</v>
      </c>
      <c r="K79" s="9">
        <v>29.12</v>
      </c>
      <c r="L79" s="14">
        <f t="shared" si="34"/>
        <v>-7.4678738417148081</v>
      </c>
      <c r="M79" s="6"/>
      <c r="N79" s="2">
        <f t="shared" si="42"/>
        <v>-73.473826707441376</v>
      </c>
      <c r="O79">
        <f t="shared" si="36"/>
        <v>2.256688854961832</v>
      </c>
      <c r="P79">
        <f t="shared" si="39"/>
        <v>46.313358899220738</v>
      </c>
      <c r="Q79">
        <f t="shared" si="37"/>
        <v>3.5353709083374611</v>
      </c>
      <c r="R79">
        <f t="shared" si="38"/>
        <v>6.9699999999999996E-3</v>
      </c>
    </row>
    <row r="80" spans="1:18" x14ac:dyDescent="0.3">
      <c r="A80">
        <v>0.6</v>
      </c>
      <c r="B80">
        <v>20</v>
      </c>
      <c r="C80">
        <v>6</v>
      </c>
      <c r="D80" s="1">
        <v>1.8</v>
      </c>
      <c r="E80" s="3">
        <v>10.151999999999999</v>
      </c>
      <c r="F80" s="8">
        <f>(D80*10^-3)/(E80*10^-4)</f>
        <v>1.7730496453900713</v>
      </c>
      <c r="G80" s="9">
        <v>1.88</v>
      </c>
      <c r="H80" s="10">
        <v>1.1616666666666665E-3</v>
      </c>
      <c r="I80" s="11">
        <f>(F80)/((9.81*G80*10^-2))^(1/2)</f>
        <v>4.1286442952199529</v>
      </c>
      <c r="J80" s="9">
        <v>3</v>
      </c>
      <c r="K80" s="9">
        <v>0</v>
      </c>
      <c r="L80" s="14">
        <f t="shared" si="34"/>
        <v>63.00957537791998</v>
      </c>
      <c r="M80" s="6"/>
      <c r="N80" s="2">
        <f>-(1.7*K80^2)/19.62</f>
        <v>0</v>
      </c>
      <c r="O80">
        <f t="shared" si="36"/>
        <v>0</v>
      </c>
      <c r="P80">
        <f t="shared" si="39"/>
        <v>0</v>
      </c>
      <c r="Q80">
        <f t="shared" si="37"/>
        <v>0</v>
      </c>
      <c r="R80">
        <f t="shared" si="38"/>
        <v>6.9699999999999988E-3</v>
      </c>
    </row>
    <row r="81" spans="1:18" x14ac:dyDescent="0.3">
      <c r="A81">
        <v>0.6</v>
      </c>
      <c r="B81">
        <v>20</v>
      </c>
      <c r="C81">
        <v>6</v>
      </c>
      <c r="D81" s="1">
        <v>3.6</v>
      </c>
      <c r="E81" s="3">
        <v>10.151999999999999</v>
      </c>
      <c r="F81" s="8">
        <f t="shared" ref="F81:F86" si="43">(D81*10^-3)/(E81*10^-4)</f>
        <v>3.5460992907801425</v>
      </c>
      <c r="G81" s="9">
        <v>1.88</v>
      </c>
      <c r="H81" s="10">
        <v>1.1616666666666665E-3</v>
      </c>
      <c r="I81" s="11">
        <f t="shared" ref="I81:I86" si="44">(F81)/((9.81*G81*10^-2))^(1/2)</f>
        <v>8.2572885904399058</v>
      </c>
      <c r="J81" s="9">
        <v>4.5</v>
      </c>
      <c r="K81" s="9">
        <v>0</v>
      </c>
      <c r="L81" s="14">
        <f t="shared" si="34"/>
        <v>15.752393844479995</v>
      </c>
      <c r="M81" s="6"/>
      <c r="N81" s="2">
        <f t="shared" ref="N81:N86" si="45">-(1.7*K81^2)/19.62</f>
        <v>0</v>
      </c>
      <c r="O81">
        <f t="shared" si="36"/>
        <v>0</v>
      </c>
      <c r="P81">
        <f t="shared" si="39"/>
        <v>0</v>
      </c>
      <c r="Q81">
        <f t="shared" si="37"/>
        <v>0</v>
      </c>
      <c r="R81">
        <f t="shared" si="38"/>
        <v>6.9699999999999988E-3</v>
      </c>
    </row>
    <row r="82" spans="1:18" x14ac:dyDescent="0.3">
      <c r="A82">
        <v>0.6</v>
      </c>
      <c r="B82">
        <v>20</v>
      </c>
      <c r="C82">
        <v>6</v>
      </c>
      <c r="D82" s="1">
        <v>5.4</v>
      </c>
      <c r="E82" s="3">
        <v>10.151999999999999</v>
      </c>
      <c r="F82" s="8">
        <f t="shared" si="43"/>
        <v>5.3191489361702136</v>
      </c>
      <c r="G82" s="9">
        <v>1.88</v>
      </c>
      <c r="H82" s="10">
        <v>1.1616666666666665E-3</v>
      </c>
      <c r="I82" s="11">
        <f t="shared" si="44"/>
        <v>12.385932885659859</v>
      </c>
      <c r="J82" s="9">
        <v>4.5</v>
      </c>
      <c r="K82" s="9">
        <v>2.7</v>
      </c>
      <c r="L82" s="14">
        <f t="shared" si="34"/>
        <v>6.5630457388799979</v>
      </c>
      <c r="M82" s="6"/>
      <c r="N82" s="2">
        <f t="shared" si="45"/>
        <v>-0.63165137614678901</v>
      </c>
      <c r="O82">
        <f t="shared" si="36"/>
        <v>0.50759999999999994</v>
      </c>
      <c r="P82">
        <f t="shared" si="39"/>
        <v>4.2941644583755485</v>
      </c>
      <c r="Q82">
        <f t="shared" si="37"/>
        <v>0.79521564043991633</v>
      </c>
      <c r="R82">
        <f t="shared" si="38"/>
        <v>6.9699999999999988E-3</v>
      </c>
    </row>
    <row r="83" spans="1:18" x14ac:dyDescent="0.3">
      <c r="A83">
        <v>0.6</v>
      </c>
      <c r="B83">
        <v>20</v>
      </c>
      <c r="C83">
        <v>6</v>
      </c>
      <c r="D83" s="1">
        <v>7.2</v>
      </c>
      <c r="E83" s="3">
        <v>10.151999999999999</v>
      </c>
      <c r="F83" s="8">
        <f t="shared" si="43"/>
        <v>7.092198581560285</v>
      </c>
      <c r="G83" s="9">
        <v>1.88</v>
      </c>
      <c r="H83" s="10">
        <v>1.1616666666666665E-3</v>
      </c>
      <c r="I83" s="11">
        <f t="shared" si="44"/>
        <v>16.514577180879812</v>
      </c>
      <c r="J83" s="9">
        <v>4.5</v>
      </c>
      <c r="K83" s="9">
        <v>8.1199999999999992</v>
      </c>
      <c r="L83" s="14">
        <f t="shared" si="34"/>
        <v>1.7096673902400004</v>
      </c>
      <c r="M83" s="6"/>
      <c r="N83" s="2">
        <f t="shared" si="45"/>
        <v>-5.7129704383282345</v>
      </c>
      <c r="O83">
        <f t="shared" si="36"/>
        <v>1.1449199999999997</v>
      </c>
      <c r="P83">
        <f t="shared" si="39"/>
        <v>12.91430200074424</v>
      </c>
      <c r="Q83">
        <f t="shared" si="37"/>
        <v>1.7936530556589221</v>
      </c>
      <c r="R83">
        <f t="shared" si="38"/>
        <v>6.9699999999999988E-3</v>
      </c>
    </row>
    <row r="84" spans="1:18" x14ac:dyDescent="0.3">
      <c r="A84">
        <v>0.6</v>
      </c>
      <c r="B84">
        <v>20</v>
      </c>
      <c r="C84">
        <v>6</v>
      </c>
      <c r="D84" s="1">
        <v>9</v>
      </c>
      <c r="E84" s="3">
        <v>10.151999999999999</v>
      </c>
      <c r="F84" s="8">
        <f t="shared" si="43"/>
        <v>8.8652482269503565</v>
      </c>
      <c r="G84" s="9">
        <v>1.88</v>
      </c>
      <c r="H84" s="10">
        <v>1.1616666666666665E-3</v>
      </c>
      <c r="I84" s="11">
        <f t="shared" si="44"/>
        <v>20.643221476099765</v>
      </c>
      <c r="J84" s="9">
        <v>4.5</v>
      </c>
      <c r="K84" s="9">
        <v>14.72</v>
      </c>
      <c r="L84" s="14">
        <f t="shared" si="34"/>
        <v>-2.1664851830783984</v>
      </c>
      <c r="M84" s="6"/>
      <c r="N84" s="2">
        <f t="shared" si="45"/>
        <v>-18.774377166156981</v>
      </c>
      <c r="O84">
        <f t="shared" si="36"/>
        <v>1.6604159999999997</v>
      </c>
      <c r="P84">
        <f t="shared" si="39"/>
        <v>23.411148454551139</v>
      </c>
      <c r="Q84">
        <f t="shared" si="37"/>
        <v>2.6012387171723486</v>
      </c>
      <c r="R84">
        <f t="shared" si="38"/>
        <v>6.9699999999999988E-3</v>
      </c>
    </row>
    <row r="85" spans="1:18" x14ac:dyDescent="0.3">
      <c r="A85">
        <v>0.6</v>
      </c>
      <c r="B85">
        <v>20</v>
      </c>
      <c r="C85">
        <v>6</v>
      </c>
      <c r="D85" s="1">
        <v>10.8</v>
      </c>
      <c r="E85" s="3">
        <v>10.151999999999999</v>
      </c>
      <c r="F85" s="8">
        <f t="shared" si="43"/>
        <v>10.638297872340427</v>
      </c>
      <c r="G85" s="9">
        <v>1.88</v>
      </c>
      <c r="H85" s="10">
        <v>1.1616666666666665E-3</v>
      </c>
      <c r="I85" s="11">
        <f t="shared" si="44"/>
        <v>24.771865771319717</v>
      </c>
      <c r="J85" s="9">
        <v>4.5</v>
      </c>
      <c r="K85" s="9">
        <v>18.18</v>
      </c>
      <c r="L85" s="14">
        <f t="shared" si="34"/>
        <v>-3.2144268801599991</v>
      </c>
      <c r="M85" s="6"/>
      <c r="N85" s="2">
        <f t="shared" si="45"/>
        <v>-28.637669724770642</v>
      </c>
      <c r="O85">
        <f t="shared" si="36"/>
        <v>1.7089199999999998</v>
      </c>
      <c r="P85">
        <f t="shared" si="39"/>
        <v>28.91404068639536</v>
      </c>
      <c r="Q85">
        <f t="shared" si="37"/>
        <v>2.6772259894810517</v>
      </c>
      <c r="R85">
        <f t="shared" si="38"/>
        <v>6.9699999999999988E-3</v>
      </c>
    </row>
    <row r="86" spans="1:18" x14ac:dyDescent="0.3">
      <c r="A86">
        <v>0.6</v>
      </c>
      <c r="B86">
        <v>20</v>
      </c>
      <c r="C86">
        <v>6</v>
      </c>
      <c r="D86" s="1">
        <v>13.1</v>
      </c>
      <c r="E86" s="3">
        <v>10.151999999999999</v>
      </c>
      <c r="F86" s="8">
        <f t="shared" si="43"/>
        <v>12.903861308116628</v>
      </c>
      <c r="G86" s="9">
        <v>1.88</v>
      </c>
      <c r="H86" s="10">
        <v>1.1616666666666665E-3</v>
      </c>
      <c r="I86" s="11">
        <f t="shared" si="44"/>
        <v>30.047355704100763</v>
      </c>
      <c r="J86" s="9">
        <v>4.5</v>
      </c>
      <c r="K86" s="9">
        <v>22.16</v>
      </c>
      <c r="L86" s="14">
        <f t="shared" si="34"/>
        <v>-3.823970869046792</v>
      </c>
      <c r="M86" s="6"/>
      <c r="N86" s="2">
        <f t="shared" si="45"/>
        <v>-42.549007135575941</v>
      </c>
      <c r="O86">
        <f t="shared" si="36"/>
        <v>1.7173154198473282</v>
      </c>
      <c r="P86">
        <f t="shared" si="39"/>
        <v>35.243957184297095</v>
      </c>
      <c r="Q86">
        <f t="shared" si="37"/>
        <v>2.6903784110150455</v>
      </c>
      <c r="R86">
        <f t="shared" si="38"/>
        <v>6.9699999999999988E-3</v>
      </c>
    </row>
    <row r="87" spans="1:18" x14ac:dyDescent="0.3">
      <c r="A87">
        <v>0.6</v>
      </c>
      <c r="B87">
        <v>30</v>
      </c>
      <c r="C87">
        <v>1</v>
      </c>
      <c r="D87" s="1">
        <v>2.5</v>
      </c>
      <c r="E87" s="3">
        <v>15.228</v>
      </c>
      <c r="F87" s="8">
        <f>(D87*10^-3)/(E87*10^-4)</f>
        <v>1.6417126346204358</v>
      </c>
      <c r="G87" s="9">
        <v>2.82</v>
      </c>
      <c r="H87" s="10">
        <v>9.2599999999999991E-3</v>
      </c>
      <c r="I87" s="11">
        <f>(F87)/((9.81*G87*10^-2))^(1/2)</f>
        <v>3.1213184730683809</v>
      </c>
      <c r="J87" s="9">
        <v>3</v>
      </c>
      <c r="K87" s="9">
        <v>0</v>
      </c>
      <c r="L87" s="14">
        <f t="shared" si="34"/>
        <v>73.494368720805909</v>
      </c>
      <c r="M87" s="6"/>
      <c r="N87" s="2">
        <f>-(1.7*K87^2)/19.62</f>
        <v>0</v>
      </c>
      <c r="O87">
        <f t="shared" si="36"/>
        <v>0</v>
      </c>
      <c r="P87">
        <f t="shared" si="39"/>
        <v>0</v>
      </c>
      <c r="Q87">
        <f t="shared" si="37"/>
        <v>0</v>
      </c>
      <c r="R87">
        <f t="shared" si="38"/>
        <v>9.2599999999999991E-3</v>
      </c>
    </row>
    <row r="88" spans="1:18" x14ac:dyDescent="0.3">
      <c r="A88">
        <v>0.6</v>
      </c>
      <c r="B88">
        <v>30</v>
      </c>
      <c r="C88">
        <v>1</v>
      </c>
      <c r="D88" s="1">
        <v>5</v>
      </c>
      <c r="E88" s="3">
        <v>15.228</v>
      </c>
      <c r="F88" s="8">
        <f t="shared" ref="F88:F93" si="46">(D88*10^-3)/(E88*10^-4)</f>
        <v>3.2834252692408716</v>
      </c>
      <c r="G88" s="9">
        <v>2.82</v>
      </c>
      <c r="H88" s="10">
        <v>9.2599999999999991E-3</v>
      </c>
      <c r="I88" s="11">
        <f t="shared" ref="I88:I93" si="47">(F88)/((9.81*G88*10^-2))^(1/2)</f>
        <v>6.2426369461367619</v>
      </c>
      <c r="J88" s="9">
        <v>4.5</v>
      </c>
      <c r="K88" s="9">
        <v>0</v>
      </c>
      <c r="L88" s="14">
        <f t="shared" si="34"/>
        <v>18.373592180201477</v>
      </c>
      <c r="M88" s="6"/>
      <c r="N88" s="2">
        <f t="shared" ref="N88:N93" si="48">-(1.7*K88^2)/19.62</f>
        <v>0</v>
      </c>
      <c r="O88">
        <f t="shared" si="36"/>
        <v>0</v>
      </c>
      <c r="P88">
        <f t="shared" si="39"/>
        <v>0</v>
      </c>
      <c r="Q88">
        <f t="shared" si="37"/>
        <v>0</v>
      </c>
      <c r="R88">
        <f t="shared" si="38"/>
        <v>9.2599999999999991E-3</v>
      </c>
    </row>
    <row r="89" spans="1:18" x14ac:dyDescent="0.3">
      <c r="A89">
        <v>0.6</v>
      </c>
      <c r="B89">
        <v>30</v>
      </c>
      <c r="C89">
        <v>1</v>
      </c>
      <c r="D89" s="1">
        <v>7.5</v>
      </c>
      <c r="E89" s="3">
        <v>15.228</v>
      </c>
      <c r="F89" s="8">
        <f t="shared" si="46"/>
        <v>4.925137903861307</v>
      </c>
      <c r="G89" s="9">
        <v>2.82</v>
      </c>
      <c r="H89" s="10">
        <v>9.2599999999999991E-3</v>
      </c>
      <c r="I89" s="11">
        <f t="shared" si="47"/>
        <v>9.3639554192051406</v>
      </c>
      <c r="J89" s="9">
        <v>4.5</v>
      </c>
      <c r="K89" s="9">
        <v>2.36</v>
      </c>
      <c r="L89" s="14">
        <f t="shared" si="34"/>
        <v>7.7757071894323238</v>
      </c>
      <c r="M89" s="6"/>
      <c r="N89" s="2">
        <f t="shared" si="48"/>
        <v>-0.48258511722731895</v>
      </c>
      <c r="O89">
        <f t="shared" si="36"/>
        <v>0.47917440000000006</v>
      </c>
      <c r="P89">
        <f t="shared" si="39"/>
        <v>3.7534178228764055</v>
      </c>
      <c r="Q89">
        <f t="shared" si="37"/>
        <v>0.50045570971685405</v>
      </c>
      <c r="R89">
        <f t="shared" si="38"/>
        <v>9.2599999999999991E-3</v>
      </c>
    </row>
    <row r="90" spans="1:18" x14ac:dyDescent="0.3">
      <c r="A90">
        <v>0.6</v>
      </c>
      <c r="B90">
        <v>30</v>
      </c>
      <c r="C90">
        <v>1</v>
      </c>
      <c r="D90" s="1">
        <v>10</v>
      </c>
      <c r="E90" s="3">
        <v>15.228</v>
      </c>
      <c r="F90" s="8">
        <f t="shared" si="46"/>
        <v>6.5668505384817433</v>
      </c>
      <c r="G90" s="9">
        <v>2.82</v>
      </c>
      <c r="H90" s="10">
        <v>9.2599999999999991E-3</v>
      </c>
      <c r="I90" s="11">
        <f t="shared" si="47"/>
        <v>12.485273892273524</v>
      </c>
      <c r="J90" s="9">
        <v>4.5</v>
      </c>
      <c r="K90" s="9">
        <v>13.75</v>
      </c>
      <c r="L90" s="14">
        <f t="shared" si="34"/>
        <v>-2.8597552531996331</v>
      </c>
      <c r="M90" s="6"/>
      <c r="N90" s="2">
        <f t="shared" si="48"/>
        <v>-16.381562181447503</v>
      </c>
      <c r="O90">
        <f t="shared" si="36"/>
        <v>2.0938500000000002</v>
      </c>
      <c r="P90">
        <f t="shared" si="39"/>
        <v>21.868430112097702</v>
      </c>
      <c r="Q90">
        <f t="shared" si="37"/>
        <v>2.1868430112097701</v>
      </c>
      <c r="R90">
        <f t="shared" si="38"/>
        <v>9.2599999999999991E-3</v>
      </c>
    </row>
    <row r="91" spans="1:18" x14ac:dyDescent="0.3">
      <c r="A91">
        <v>0.6</v>
      </c>
      <c r="B91">
        <v>30</v>
      </c>
      <c r="C91">
        <v>1</v>
      </c>
      <c r="D91" s="1">
        <v>12.5</v>
      </c>
      <c r="E91" s="3">
        <v>15.228</v>
      </c>
      <c r="F91" s="8">
        <f t="shared" si="46"/>
        <v>8.2085631731021795</v>
      </c>
      <c r="G91" s="9">
        <v>2.82</v>
      </c>
      <c r="H91" s="10">
        <v>9.2599999999999991E-3</v>
      </c>
      <c r="I91" s="11">
        <f t="shared" si="47"/>
        <v>15.606592365341905</v>
      </c>
      <c r="J91" s="9">
        <v>4.5</v>
      </c>
      <c r="K91" s="9">
        <v>20.43</v>
      </c>
      <c r="L91" s="14">
        <f t="shared" si="34"/>
        <v>-7.590782776895173</v>
      </c>
      <c r="M91" s="6"/>
      <c r="N91" s="2">
        <f t="shared" si="48"/>
        <v>-36.16484862385321</v>
      </c>
      <c r="O91">
        <f t="shared" si="36"/>
        <v>2.4888643200000002</v>
      </c>
      <c r="P91">
        <f t="shared" si="39"/>
        <v>32.492511068374981</v>
      </c>
      <c r="Q91">
        <f t="shared" si="37"/>
        <v>2.5994008854699984</v>
      </c>
      <c r="R91">
        <f t="shared" si="38"/>
        <v>9.2599999999999991E-3</v>
      </c>
    </row>
    <row r="92" spans="1:18" x14ac:dyDescent="0.3">
      <c r="A92">
        <v>0.6</v>
      </c>
      <c r="B92">
        <v>30</v>
      </c>
      <c r="C92">
        <v>1</v>
      </c>
      <c r="D92" s="1">
        <v>15</v>
      </c>
      <c r="E92" s="3">
        <v>15.228</v>
      </c>
      <c r="F92" s="8">
        <f t="shared" si="46"/>
        <v>9.850275807722614</v>
      </c>
      <c r="G92" s="9">
        <v>2.82</v>
      </c>
      <c r="H92" s="10">
        <v>9.2599999999999991E-3</v>
      </c>
      <c r="I92" s="11">
        <f t="shared" si="47"/>
        <v>18.727910838410281</v>
      </c>
      <c r="J92" s="9">
        <v>4.5</v>
      </c>
      <c r="K92" s="9">
        <v>23.48</v>
      </c>
      <c r="L92" s="14">
        <f t="shared" si="34"/>
        <v>-7.6178491433072688</v>
      </c>
      <c r="M92" s="6"/>
      <c r="N92" s="2">
        <f t="shared" si="48"/>
        <v>-47.768994903160042</v>
      </c>
      <c r="O92">
        <f t="shared" si="36"/>
        <v>2.3836896000000007</v>
      </c>
      <c r="P92">
        <f t="shared" si="39"/>
        <v>37.343326475058475</v>
      </c>
      <c r="Q92">
        <f t="shared" si="37"/>
        <v>2.4895550983372319</v>
      </c>
      <c r="R92">
        <f t="shared" si="38"/>
        <v>9.2599999999999991E-3</v>
      </c>
    </row>
    <row r="93" spans="1:18" x14ac:dyDescent="0.3">
      <c r="A93">
        <v>0.6</v>
      </c>
      <c r="B93">
        <v>30</v>
      </c>
      <c r="C93">
        <v>1</v>
      </c>
      <c r="D93" s="1">
        <v>17.600000000000001</v>
      </c>
      <c r="E93" s="3">
        <v>15.228</v>
      </c>
      <c r="F93" s="8">
        <f t="shared" si="46"/>
        <v>11.557656947727869</v>
      </c>
      <c r="G93" s="9">
        <v>2.82</v>
      </c>
      <c r="H93" s="10">
        <v>9.2599999999999991E-3</v>
      </c>
      <c r="I93" s="11">
        <f t="shared" si="47"/>
        <v>21.974082050401403</v>
      </c>
      <c r="J93" s="9">
        <v>4.5</v>
      </c>
      <c r="K93" s="9">
        <v>29.15</v>
      </c>
      <c r="L93" s="14">
        <f t="shared" si="34"/>
        <v>-9.3311125189193014</v>
      </c>
      <c r="M93" s="6"/>
      <c r="N93" s="2">
        <f t="shared" si="48"/>
        <v>-73.625293068297637</v>
      </c>
      <c r="O93">
        <f t="shared" si="36"/>
        <v>2.5221374999999999</v>
      </c>
      <c r="P93">
        <f t="shared" si="39"/>
        <v>46.361071837647124</v>
      </c>
      <c r="Q93">
        <f t="shared" si="37"/>
        <v>2.6341518089572227</v>
      </c>
      <c r="R93">
        <f t="shared" si="38"/>
        <v>9.2599999999999991E-3</v>
      </c>
    </row>
    <row r="94" spans="1:18" x14ac:dyDescent="0.3">
      <c r="A94">
        <v>0.6</v>
      </c>
      <c r="B94">
        <v>30</v>
      </c>
      <c r="C94">
        <v>2</v>
      </c>
      <c r="D94" s="1">
        <v>2.5</v>
      </c>
      <c r="E94" s="3">
        <v>15.228</v>
      </c>
      <c r="F94" s="8">
        <f>(D94*10^-3)/(E94*10^-4)</f>
        <v>1.6417126346204358</v>
      </c>
      <c r="G94" s="9">
        <v>2.82</v>
      </c>
      <c r="H94" s="10">
        <v>4.6299999999999996E-3</v>
      </c>
      <c r="I94" s="11">
        <f>(F94)/((9.81*G94*10^-2))^(1/2)</f>
        <v>3.1213184730683809</v>
      </c>
      <c r="J94" s="9">
        <v>3</v>
      </c>
      <c r="K94" s="9">
        <v>0</v>
      </c>
      <c r="L94" s="14">
        <f t="shared" si="34"/>
        <v>73.494368720805909</v>
      </c>
      <c r="M94" s="6"/>
      <c r="N94" s="2">
        <f>-(1.7*K94^2)/19.62</f>
        <v>0</v>
      </c>
      <c r="O94">
        <f t="shared" si="36"/>
        <v>0</v>
      </c>
      <c r="P94">
        <f t="shared" si="39"/>
        <v>0</v>
      </c>
      <c r="Q94">
        <f t="shared" si="37"/>
        <v>0</v>
      </c>
      <c r="R94">
        <f t="shared" si="38"/>
        <v>9.2599999999999991E-3</v>
      </c>
    </row>
    <row r="95" spans="1:18" x14ac:dyDescent="0.3">
      <c r="A95">
        <v>0.6</v>
      </c>
      <c r="B95">
        <v>30</v>
      </c>
      <c r="C95">
        <v>2</v>
      </c>
      <c r="D95" s="1">
        <v>5</v>
      </c>
      <c r="E95" s="3">
        <v>15.228</v>
      </c>
      <c r="F95" s="8">
        <f t="shared" ref="F95:F100" si="49">(D95*10^-3)/(E95*10^-4)</f>
        <v>3.2834252692408716</v>
      </c>
      <c r="G95" s="9">
        <v>2.82</v>
      </c>
      <c r="H95" s="10">
        <v>4.6299999999999996E-3</v>
      </c>
      <c r="I95" s="11">
        <f t="shared" ref="I95:I100" si="50">(F95)/((9.81*G95*10^-2))^(1/2)</f>
        <v>6.2426369461367619</v>
      </c>
      <c r="J95" s="9">
        <v>4.5</v>
      </c>
      <c r="K95" s="9">
        <v>0.6</v>
      </c>
      <c r="L95" s="14">
        <f t="shared" si="34"/>
        <v>18.316825022518277</v>
      </c>
      <c r="M95" s="6"/>
      <c r="N95" s="2">
        <f t="shared" ref="N95:N100" si="51">-(1.7*K95^2)/19.62</f>
        <v>-3.1192660550458714E-2</v>
      </c>
      <c r="O95">
        <f t="shared" si="36"/>
        <v>0.18273600000000001</v>
      </c>
      <c r="P95">
        <f t="shared" si="39"/>
        <v>0.9542587685278997</v>
      </c>
      <c r="Q95">
        <f t="shared" si="37"/>
        <v>0.19085175370557994</v>
      </c>
      <c r="R95">
        <f t="shared" si="38"/>
        <v>9.2599999999999991E-3</v>
      </c>
    </row>
    <row r="96" spans="1:18" x14ac:dyDescent="0.3">
      <c r="A96">
        <v>0.6</v>
      </c>
      <c r="B96">
        <v>30</v>
      </c>
      <c r="C96">
        <v>2</v>
      </c>
      <c r="D96" s="1">
        <v>7.5</v>
      </c>
      <c r="E96" s="3">
        <v>15.228</v>
      </c>
      <c r="F96" s="8">
        <f t="shared" si="49"/>
        <v>4.925137903861307</v>
      </c>
      <c r="G96" s="9">
        <v>2.82</v>
      </c>
      <c r="H96" s="10">
        <v>4.6299999999999996E-3</v>
      </c>
      <c r="I96" s="11">
        <f t="shared" si="50"/>
        <v>9.3639554192051406</v>
      </c>
      <c r="J96" s="9">
        <v>4.5</v>
      </c>
      <c r="K96" s="9">
        <v>3.34</v>
      </c>
      <c r="L96" s="14">
        <f t="shared" si="34"/>
        <v>7.3842240501504035</v>
      </c>
      <c r="M96" s="6"/>
      <c r="N96" s="2">
        <f t="shared" si="51"/>
        <v>-0.96659123343527009</v>
      </c>
      <c r="O96">
        <f t="shared" si="36"/>
        <v>0.67815360000000013</v>
      </c>
      <c r="P96">
        <f t="shared" si="39"/>
        <v>5.3120404781386412</v>
      </c>
      <c r="Q96">
        <f t="shared" si="37"/>
        <v>0.70827206375181884</v>
      </c>
      <c r="R96">
        <f t="shared" si="38"/>
        <v>9.2599999999999991E-3</v>
      </c>
    </row>
    <row r="97" spans="1:18" x14ac:dyDescent="0.3">
      <c r="A97">
        <v>0.6</v>
      </c>
      <c r="B97">
        <v>30</v>
      </c>
      <c r="C97">
        <v>2</v>
      </c>
      <c r="D97" s="1">
        <v>10</v>
      </c>
      <c r="E97" s="3">
        <v>15.228</v>
      </c>
      <c r="F97" s="8">
        <f t="shared" si="49"/>
        <v>6.5668505384817433</v>
      </c>
      <c r="G97" s="9">
        <v>2.82</v>
      </c>
      <c r="H97" s="10">
        <v>4.6299999999999996E-3</v>
      </c>
      <c r="I97" s="11">
        <f t="shared" si="50"/>
        <v>12.485273892273524</v>
      </c>
      <c r="J97" s="9">
        <v>4.5</v>
      </c>
      <c r="K97" s="9">
        <v>13.06</v>
      </c>
      <c r="L97" s="14">
        <f t="shared" si="34"/>
        <v>-2.1304983273206406</v>
      </c>
      <c r="M97" s="6"/>
      <c r="N97" s="2">
        <f t="shared" si="51"/>
        <v>-14.778701325178389</v>
      </c>
      <c r="O97">
        <f t="shared" si="36"/>
        <v>1.9887768000000003</v>
      </c>
      <c r="P97">
        <f t="shared" si="39"/>
        <v>20.771032528290615</v>
      </c>
      <c r="Q97">
        <f t="shared" si="37"/>
        <v>2.0771032528290614</v>
      </c>
      <c r="R97">
        <f t="shared" si="38"/>
        <v>9.2599999999999991E-3</v>
      </c>
    </row>
    <row r="98" spans="1:18" x14ac:dyDescent="0.3">
      <c r="A98">
        <v>0.6</v>
      </c>
      <c r="B98">
        <v>30</v>
      </c>
      <c r="C98">
        <v>2</v>
      </c>
      <c r="D98" s="1">
        <v>12.5</v>
      </c>
      <c r="E98" s="3">
        <v>15.228</v>
      </c>
      <c r="F98" s="8">
        <f t="shared" si="49"/>
        <v>8.2085631731021795</v>
      </c>
      <c r="G98" s="9">
        <v>2.82</v>
      </c>
      <c r="H98" s="10">
        <v>4.6299999999999996E-3</v>
      </c>
      <c r="I98" s="11">
        <f t="shared" si="50"/>
        <v>15.606592365341905</v>
      </c>
      <c r="J98" s="9">
        <v>4.5</v>
      </c>
      <c r="K98" s="9">
        <v>20.5</v>
      </c>
      <c r="L98" s="14">
        <f t="shared" si="34"/>
        <v>-7.6630688139965653</v>
      </c>
      <c r="M98" s="6"/>
      <c r="N98" s="2">
        <f t="shared" si="51"/>
        <v>-36.413098878695202</v>
      </c>
      <c r="O98">
        <f t="shared" si="36"/>
        <v>2.4973920000000001</v>
      </c>
      <c r="P98">
        <f t="shared" si="39"/>
        <v>32.603841258036567</v>
      </c>
      <c r="Q98">
        <f t="shared" si="37"/>
        <v>2.6083073006429256</v>
      </c>
      <c r="R98">
        <f t="shared" si="38"/>
        <v>9.2599999999999991E-3</v>
      </c>
    </row>
    <row r="99" spans="1:18" x14ac:dyDescent="0.3">
      <c r="A99">
        <v>0.6</v>
      </c>
      <c r="B99">
        <v>30</v>
      </c>
      <c r="C99">
        <v>2</v>
      </c>
      <c r="D99" s="1">
        <v>15</v>
      </c>
      <c r="E99" s="3">
        <v>15.228</v>
      </c>
      <c r="F99" s="8">
        <f t="shared" si="49"/>
        <v>9.850275807722614</v>
      </c>
      <c r="G99" s="9">
        <v>2.82</v>
      </c>
      <c r="H99" s="10">
        <v>4.6299999999999996E-3</v>
      </c>
      <c r="I99" s="11">
        <f t="shared" si="50"/>
        <v>18.727910838410281</v>
      </c>
      <c r="J99" s="9">
        <v>4.5</v>
      </c>
      <c r="K99" s="9">
        <v>23.93</v>
      </c>
      <c r="L99" s="14">
        <f t="shared" si="34"/>
        <v>-7.9916451079962281</v>
      </c>
      <c r="M99" s="6"/>
      <c r="N99" s="2">
        <f t="shared" si="51"/>
        <v>-49.617549949031599</v>
      </c>
      <c r="O99">
        <f t="shared" si="36"/>
        <v>2.4293736000000004</v>
      </c>
      <c r="P99">
        <f t="shared" si="39"/>
        <v>38.059020551454395</v>
      </c>
      <c r="Q99">
        <f t="shared" si="37"/>
        <v>2.5372680367636264</v>
      </c>
      <c r="R99">
        <f t="shared" si="38"/>
        <v>9.2599999999999991E-3</v>
      </c>
    </row>
    <row r="100" spans="1:18" x14ac:dyDescent="0.3">
      <c r="A100">
        <v>0.6</v>
      </c>
      <c r="B100">
        <v>30</v>
      </c>
      <c r="C100">
        <v>2</v>
      </c>
      <c r="D100" s="1">
        <v>17.600000000000001</v>
      </c>
      <c r="E100" s="3">
        <v>15.228</v>
      </c>
      <c r="F100" s="8">
        <f t="shared" si="49"/>
        <v>11.557656947727869</v>
      </c>
      <c r="G100" s="9">
        <v>2.82</v>
      </c>
      <c r="H100" s="10">
        <v>4.6299999999999996E-3</v>
      </c>
      <c r="I100" s="11">
        <f t="shared" si="50"/>
        <v>21.974082050401403</v>
      </c>
      <c r="J100" s="9">
        <v>4.5</v>
      </c>
      <c r="K100" s="9">
        <v>31.99</v>
      </c>
      <c r="L100" s="14">
        <f t="shared" si="34"/>
        <v>-11.540913166313972</v>
      </c>
      <c r="M100" s="6"/>
      <c r="N100" s="2">
        <f t="shared" si="51"/>
        <v>-88.67034505606523</v>
      </c>
      <c r="O100">
        <f t="shared" si="36"/>
        <v>2.7678620454545455</v>
      </c>
      <c r="P100">
        <f t="shared" si="39"/>
        <v>50.877896675345852</v>
      </c>
      <c r="Q100">
        <f t="shared" si="37"/>
        <v>2.8907895838264688</v>
      </c>
      <c r="R100">
        <f t="shared" si="38"/>
        <v>9.2599999999999991E-3</v>
      </c>
    </row>
    <row r="101" spans="1:18" x14ac:dyDescent="0.3">
      <c r="A101">
        <v>0.6</v>
      </c>
      <c r="B101">
        <v>30</v>
      </c>
      <c r="C101">
        <v>4</v>
      </c>
      <c r="D101" s="1">
        <v>2.5</v>
      </c>
      <c r="E101" s="3">
        <v>15.228</v>
      </c>
      <c r="F101" s="8">
        <f>(D101*10^-3)/(E101*10^-4)</f>
        <v>1.6417126346204358</v>
      </c>
      <c r="G101" s="9">
        <v>2.82</v>
      </c>
      <c r="H101" s="10">
        <v>2.3149999999999998E-3</v>
      </c>
      <c r="I101" s="11">
        <f>(F101)/((9.81*G101*10^-2))^(1/2)</f>
        <v>3.1213184730683809</v>
      </c>
      <c r="J101" s="9">
        <v>3</v>
      </c>
      <c r="K101" s="9">
        <v>0</v>
      </c>
      <c r="L101" s="14">
        <f t="shared" si="34"/>
        <v>73.494368720805909</v>
      </c>
      <c r="M101" s="6"/>
      <c r="N101" s="2">
        <f>-(1.7*K101^2)/19.62</f>
        <v>0</v>
      </c>
      <c r="O101">
        <f t="shared" si="36"/>
        <v>0</v>
      </c>
      <c r="P101">
        <f t="shared" si="39"/>
        <v>0</v>
      </c>
      <c r="Q101">
        <f t="shared" si="37"/>
        <v>0</v>
      </c>
      <c r="R101">
        <f t="shared" si="38"/>
        <v>9.2599999999999991E-3</v>
      </c>
    </row>
    <row r="102" spans="1:18" x14ac:dyDescent="0.3">
      <c r="A102">
        <v>0.6</v>
      </c>
      <c r="B102">
        <v>30</v>
      </c>
      <c r="C102">
        <v>4</v>
      </c>
      <c r="D102" s="1">
        <v>5</v>
      </c>
      <c r="E102" s="3">
        <v>15.228</v>
      </c>
      <c r="F102" s="8">
        <f t="shared" ref="F102:F107" si="52">(D102*10^-3)/(E102*10^-4)</f>
        <v>3.2834252692408716</v>
      </c>
      <c r="G102" s="9">
        <v>2.82</v>
      </c>
      <c r="H102" s="10">
        <v>2.3149999999999998E-3</v>
      </c>
      <c r="I102" s="11">
        <f t="shared" ref="I102:I107" si="53">(F102)/((9.81*G102*10^-2))^(1/2)</f>
        <v>6.2426369461367619</v>
      </c>
      <c r="J102" s="9">
        <v>4.5</v>
      </c>
      <c r="K102" s="9">
        <v>0</v>
      </c>
      <c r="L102" s="14">
        <f t="shared" si="34"/>
        <v>18.373592180201477</v>
      </c>
      <c r="M102" s="6"/>
      <c r="N102" s="2">
        <f t="shared" ref="N102:N107" si="54">-(1.7*K102^2)/19.62</f>
        <v>0</v>
      </c>
      <c r="O102">
        <f t="shared" si="36"/>
        <v>0</v>
      </c>
      <c r="P102">
        <f t="shared" si="39"/>
        <v>0</v>
      </c>
      <c r="Q102">
        <f t="shared" si="37"/>
        <v>0</v>
      </c>
      <c r="R102">
        <f t="shared" si="38"/>
        <v>9.2599999999999991E-3</v>
      </c>
    </row>
    <row r="103" spans="1:18" x14ac:dyDescent="0.3">
      <c r="A103">
        <v>0.6</v>
      </c>
      <c r="B103">
        <v>30</v>
      </c>
      <c r="C103">
        <v>4</v>
      </c>
      <c r="D103" s="1">
        <v>7.5</v>
      </c>
      <c r="E103" s="3">
        <v>15.228</v>
      </c>
      <c r="F103" s="8">
        <f t="shared" si="52"/>
        <v>4.925137903861307</v>
      </c>
      <c r="G103" s="9">
        <v>2.82</v>
      </c>
      <c r="H103" s="10">
        <v>2.3149999999999998E-3</v>
      </c>
      <c r="I103" s="11">
        <f t="shared" si="53"/>
        <v>9.3639554192051406</v>
      </c>
      <c r="J103" s="9">
        <v>4.5</v>
      </c>
      <c r="K103" s="9">
        <v>3.66</v>
      </c>
      <c r="L103" s="14">
        <f t="shared" si="34"/>
        <v>7.2272383301376033</v>
      </c>
      <c r="M103" s="6"/>
      <c r="N103" s="2">
        <f t="shared" si="54"/>
        <v>-1.1606788990825689</v>
      </c>
      <c r="O103">
        <f t="shared" si="36"/>
        <v>0.74312640000000019</v>
      </c>
      <c r="P103">
        <f t="shared" si="39"/>
        <v>5.820978488020188</v>
      </c>
      <c r="Q103">
        <f t="shared" si="37"/>
        <v>0.77613046506935846</v>
      </c>
      <c r="R103">
        <f t="shared" si="38"/>
        <v>9.2599999999999991E-3</v>
      </c>
    </row>
    <row r="104" spans="1:18" x14ac:dyDescent="0.3">
      <c r="A104">
        <v>0.6</v>
      </c>
      <c r="B104">
        <v>30</v>
      </c>
      <c r="C104">
        <v>4</v>
      </c>
      <c r="D104" s="1">
        <v>10</v>
      </c>
      <c r="E104" s="3">
        <v>15.228</v>
      </c>
      <c r="F104" s="8">
        <f t="shared" si="52"/>
        <v>6.5668505384817433</v>
      </c>
      <c r="G104" s="9">
        <v>2.82</v>
      </c>
      <c r="H104" s="10">
        <v>2.3149999999999998E-3</v>
      </c>
      <c r="I104" s="11">
        <f t="shared" si="53"/>
        <v>12.485273892273524</v>
      </c>
      <c r="J104" s="9">
        <v>4.5</v>
      </c>
      <c r="K104" s="9">
        <v>14.59</v>
      </c>
      <c r="L104" s="14">
        <f t="shared" si="34"/>
        <v>-3.7982109816324008</v>
      </c>
      <c r="M104" s="6"/>
      <c r="N104" s="2">
        <f t="shared" si="54"/>
        <v>-18.444228848114168</v>
      </c>
      <c r="O104">
        <f t="shared" si="36"/>
        <v>2.2217652000000001</v>
      </c>
      <c r="P104">
        <f t="shared" si="39"/>
        <v>23.204392388036759</v>
      </c>
      <c r="Q104">
        <f t="shared" si="37"/>
        <v>2.3204392388036759</v>
      </c>
      <c r="R104">
        <f t="shared" si="38"/>
        <v>9.2599999999999991E-3</v>
      </c>
    </row>
    <row r="105" spans="1:18" x14ac:dyDescent="0.3">
      <c r="A105">
        <v>0.6</v>
      </c>
      <c r="B105">
        <v>30</v>
      </c>
      <c r="C105">
        <v>4</v>
      </c>
      <c r="D105" s="1">
        <v>12.5</v>
      </c>
      <c r="E105" s="3">
        <v>15.228</v>
      </c>
      <c r="F105" s="8">
        <f t="shared" si="52"/>
        <v>8.2085631731021795</v>
      </c>
      <c r="G105" s="9">
        <v>2.82</v>
      </c>
      <c r="H105" s="10">
        <v>2.3149999999999998E-3</v>
      </c>
      <c r="I105" s="11">
        <f t="shared" si="53"/>
        <v>15.606592365341905</v>
      </c>
      <c r="J105" s="9">
        <v>4.5</v>
      </c>
      <c r="K105" s="9">
        <v>20.83</v>
      </c>
      <c r="L105" s="14">
        <f t="shared" si="34"/>
        <v>-8.0071761859634076</v>
      </c>
      <c r="M105" s="6"/>
      <c r="N105" s="2">
        <f t="shared" si="54"/>
        <v>-37.594858817533122</v>
      </c>
      <c r="O105">
        <f t="shared" si="36"/>
        <v>2.5375939199999999</v>
      </c>
      <c r="P105">
        <f t="shared" si="39"/>
        <v>33.128683580726914</v>
      </c>
      <c r="Q105">
        <f t="shared" si="37"/>
        <v>2.6502946864581531</v>
      </c>
      <c r="R105">
        <f t="shared" si="38"/>
        <v>9.2599999999999991E-3</v>
      </c>
    </row>
    <row r="106" spans="1:18" x14ac:dyDescent="0.3">
      <c r="A106">
        <v>0.6</v>
      </c>
      <c r="B106">
        <v>30</v>
      </c>
      <c r="C106">
        <v>4</v>
      </c>
      <c r="D106" s="1">
        <v>15</v>
      </c>
      <c r="E106" s="3">
        <v>15.228</v>
      </c>
      <c r="F106" s="8">
        <f t="shared" si="52"/>
        <v>9.850275807722614</v>
      </c>
      <c r="G106" s="9">
        <v>2.82</v>
      </c>
      <c r="H106" s="10">
        <v>2.3149999999999998E-3</v>
      </c>
      <c r="I106" s="11">
        <f t="shared" si="53"/>
        <v>18.727910838410281</v>
      </c>
      <c r="J106" s="9">
        <v>4.5</v>
      </c>
      <c r="K106" s="9">
        <v>21.55</v>
      </c>
      <c r="L106" s="14">
        <f t="shared" si="34"/>
        <v>-6.0951594941665954</v>
      </c>
      <c r="M106" s="6"/>
      <c r="N106" s="2">
        <f t="shared" si="54"/>
        <v>-40.23874872579001</v>
      </c>
      <c r="O106">
        <f t="shared" si="36"/>
        <v>2.1877560000000007</v>
      </c>
      <c r="P106">
        <f t="shared" si="39"/>
        <v>34.273794102960395</v>
      </c>
      <c r="Q106">
        <f t="shared" si="37"/>
        <v>2.2849196068640265</v>
      </c>
      <c r="R106">
        <f t="shared" si="38"/>
        <v>9.2599999999999991E-3</v>
      </c>
    </row>
    <row r="107" spans="1:18" x14ac:dyDescent="0.3">
      <c r="A107">
        <v>0.6</v>
      </c>
      <c r="B107">
        <v>30</v>
      </c>
      <c r="C107">
        <v>4</v>
      </c>
      <c r="D107" s="1">
        <v>17.600000000000001</v>
      </c>
      <c r="E107" s="3">
        <v>15.228</v>
      </c>
      <c r="F107" s="8">
        <f t="shared" si="52"/>
        <v>11.557656947727869</v>
      </c>
      <c r="G107" s="9">
        <v>2.82</v>
      </c>
      <c r="H107" s="10">
        <v>2.3149999999999998E-3</v>
      </c>
      <c r="I107" s="11">
        <f t="shared" si="53"/>
        <v>21.974082050401403</v>
      </c>
      <c r="J107" s="9">
        <v>4.5</v>
      </c>
      <c r="K107" s="9">
        <v>26.43</v>
      </c>
      <c r="L107" s="14">
        <f t="shared" si="34"/>
        <v>-7.4071492854285594</v>
      </c>
      <c r="M107" s="6"/>
      <c r="N107" s="2">
        <f t="shared" si="54"/>
        <v>-60.526316513761458</v>
      </c>
      <c r="O107">
        <f t="shared" si="36"/>
        <v>2.286795681818182</v>
      </c>
      <c r="P107">
        <f t="shared" si="39"/>
        <v>42.035098753653983</v>
      </c>
      <c r="Q107">
        <f t="shared" si="37"/>
        <v>2.3883578837303396</v>
      </c>
      <c r="R107">
        <f t="shared" si="38"/>
        <v>9.2599999999999991E-3</v>
      </c>
    </row>
    <row r="108" spans="1:18" x14ac:dyDescent="0.3">
      <c r="A108">
        <v>0.6</v>
      </c>
      <c r="B108">
        <v>30</v>
      </c>
      <c r="C108">
        <v>6</v>
      </c>
      <c r="D108" s="1">
        <v>2.5</v>
      </c>
      <c r="E108" s="3">
        <v>15.228</v>
      </c>
      <c r="F108" s="8">
        <f>(D108*10^-3)/(E108*10^-4)</f>
        <v>1.6417126346204358</v>
      </c>
      <c r="G108" s="9">
        <v>2.82</v>
      </c>
      <c r="H108" s="10">
        <v>1.5433333333333332E-3</v>
      </c>
      <c r="I108" s="11">
        <f>(F108)/((9.81*G108*10^-2))^(1/2)</f>
        <v>3.1213184730683809</v>
      </c>
      <c r="J108" s="9">
        <v>3</v>
      </c>
      <c r="K108" s="9">
        <v>0</v>
      </c>
      <c r="L108" s="14">
        <f t="shared" si="34"/>
        <v>73.494368720805909</v>
      </c>
      <c r="M108" s="6"/>
      <c r="N108" s="2">
        <f>-(1.7*K108^2)/19.62</f>
        <v>0</v>
      </c>
      <c r="O108">
        <f t="shared" si="36"/>
        <v>0</v>
      </c>
      <c r="P108">
        <f t="shared" si="39"/>
        <v>0</v>
      </c>
      <c r="Q108">
        <f t="shared" si="37"/>
        <v>0</v>
      </c>
      <c r="R108">
        <f t="shared" si="38"/>
        <v>9.2599999999999991E-3</v>
      </c>
    </row>
    <row r="109" spans="1:18" x14ac:dyDescent="0.3">
      <c r="A109">
        <v>0.6</v>
      </c>
      <c r="B109">
        <v>30</v>
      </c>
      <c r="C109">
        <v>6</v>
      </c>
      <c r="D109" s="1">
        <v>5</v>
      </c>
      <c r="E109" s="3">
        <v>15.228</v>
      </c>
      <c r="F109" s="8">
        <f t="shared" ref="F109:F114" si="55">(D109*10^-3)/(E109*10^-4)</f>
        <v>3.2834252692408716</v>
      </c>
      <c r="G109" s="9">
        <v>2.82</v>
      </c>
      <c r="H109" s="10">
        <v>1.5433333333333332E-3</v>
      </c>
      <c r="I109" s="11">
        <f t="shared" ref="I109:I114" si="56">(F109)/((9.81*G109*10^-2))^(1/2)</f>
        <v>6.2426369461367619</v>
      </c>
      <c r="J109" s="9">
        <v>4.5</v>
      </c>
      <c r="K109" s="9">
        <v>0.4</v>
      </c>
      <c r="L109" s="14">
        <f t="shared" si="34"/>
        <v>18.348362332342276</v>
      </c>
      <c r="M109" s="6"/>
      <c r="N109" s="2">
        <f t="shared" ref="N109:N114" si="57">-(1.7*K109^2)/19.62</f>
        <v>-1.3863404689092763E-2</v>
      </c>
      <c r="O109">
        <f t="shared" si="36"/>
        <v>0.12182400000000003</v>
      </c>
      <c r="P109">
        <f t="shared" si="39"/>
        <v>0.63617251235193317</v>
      </c>
      <c r="Q109">
        <f t="shared" si="37"/>
        <v>0.12723450247038665</v>
      </c>
      <c r="R109">
        <f t="shared" si="38"/>
        <v>9.2599999999999991E-3</v>
      </c>
    </row>
    <row r="110" spans="1:18" x14ac:dyDescent="0.3">
      <c r="A110">
        <v>0.6</v>
      </c>
      <c r="B110">
        <v>30</v>
      </c>
      <c r="C110">
        <v>6</v>
      </c>
      <c r="D110" s="1">
        <v>7.5</v>
      </c>
      <c r="E110" s="3">
        <v>15.228</v>
      </c>
      <c r="F110" s="8">
        <f t="shared" si="55"/>
        <v>4.925137903861307</v>
      </c>
      <c r="G110" s="9">
        <v>2.82</v>
      </c>
      <c r="H110" s="10">
        <v>1.5433333333333332E-3</v>
      </c>
      <c r="I110" s="11">
        <f t="shared" si="56"/>
        <v>9.3639554192051406</v>
      </c>
      <c r="J110" s="9">
        <v>4.5</v>
      </c>
      <c r="K110" s="9">
        <v>2.98</v>
      </c>
      <c r="L110" s="14">
        <f t="shared" si="34"/>
        <v>7.5436766886205477</v>
      </c>
      <c r="M110" s="6"/>
      <c r="N110" s="2">
        <f t="shared" si="57"/>
        <v>-0.76945361875637097</v>
      </c>
      <c r="O110">
        <f t="shared" si="36"/>
        <v>0.60505920000000013</v>
      </c>
      <c r="P110">
        <f t="shared" si="39"/>
        <v>4.739485217021902</v>
      </c>
      <c r="Q110">
        <f t="shared" si="37"/>
        <v>0.6319313622695869</v>
      </c>
      <c r="R110">
        <f t="shared" si="38"/>
        <v>9.2599999999999991E-3</v>
      </c>
    </row>
    <row r="111" spans="1:18" x14ac:dyDescent="0.3">
      <c r="A111">
        <v>0.6</v>
      </c>
      <c r="B111">
        <v>30</v>
      </c>
      <c r="C111">
        <v>6</v>
      </c>
      <c r="D111" s="1">
        <v>10</v>
      </c>
      <c r="E111" s="3">
        <v>15.228</v>
      </c>
      <c r="F111" s="8">
        <f t="shared" si="55"/>
        <v>6.5668505384817433</v>
      </c>
      <c r="G111" s="9">
        <v>2.82</v>
      </c>
      <c r="H111" s="10">
        <v>1.5433333333333332E-3</v>
      </c>
      <c r="I111" s="11">
        <f t="shared" si="56"/>
        <v>12.485273892273524</v>
      </c>
      <c r="J111" s="9">
        <v>4.5</v>
      </c>
      <c r="K111" s="9">
        <v>12.31</v>
      </c>
      <c r="L111" s="14">
        <f t="shared" si="34"/>
        <v>-1.3804031239754408</v>
      </c>
      <c r="M111" s="6"/>
      <c r="N111" s="2">
        <f t="shared" si="57"/>
        <v>-13.130039245667687</v>
      </c>
      <c r="O111">
        <f t="shared" si="36"/>
        <v>1.8745668000000004</v>
      </c>
      <c r="P111">
        <f t="shared" si="39"/>
        <v>19.578209067630741</v>
      </c>
      <c r="Q111">
        <f t="shared" si="37"/>
        <v>1.9578209067630741</v>
      </c>
      <c r="R111">
        <f t="shared" si="38"/>
        <v>9.2599999999999991E-3</v>
      </c>
    </row>
    <row r="112" spans="1:18" x14ac:dyDescent="0.3">
      <c r="A112">
        <v>0.6</v>
      </c>
      <c r="B112">
        <v>30</v>
      </c>
      <c r="C112">
        <v>6</v>
      </c>
      <c r="D112" s="1">
        <v>12.5</v>
      </c>
      <c r="E112" s="3">
        <v>15.228</v>
      </c>
      <c r="F112" s="8">
        <f t="shared" si="55"/>
        <v>8.2085631731021795</v>
      </c>
      <c r="G112" s="9">
        <v>2.82</v>
      </c>
      <c r="H112" s="10">
        <v>1.5433333333333332E-3</v>
      </c>
      <c r="I112" s="11">
        <f t="shared" si="56"/>
        <v>15.606592365341905</v>
      </c>
      <c r="J112" s="9">
        <v>4.5</v>
      </c>
      <c r="K112" s="9">
        <v>13</v>
      </c>
      <c r="L112" s="14">
        <f t="shared" si="34"/>
        <v>-1.3240695393725646</v>
      </c>
      <c r="M112" s="6"/>
      <c r="N112" s="2">
        <f t="shared" si="57"/>
        <v>-14.64322120285423</v>
      </c>
      <c r="O112">
        <f t="shared" si="36"/>
        <v>1.5837120000000002</v>
      </c>
      <c r="P112">
        <f t="shared" si="39"/>
        <v>20.675606651437828</v>
      </c>
      <c r="Q112">
        <f t="shared" si="37"/>
        <v>1.6540485321150262</v>
      </c>
      <c r="R112">
        <f t="shared" si="38"/>
        <v>9.2599999999999991E-3</v>
      </c>
    </row>
    <row r="113" spans="1:18" x14ac:dyDescent="0.3">
      <c r="A113">
        <v>0.6</v>
      </c>
      <c r="B113">
        <v>30</v>
      </c>
      <c r="C113">
        <v>6</v>
      </c>
      <c r="D113" s="1">
        <v>15</v>
      </c>
      <c r="E113" s="3">
        <v>15.228</v>
      </c>
      <c r="F113" s="8">
        <f t="shared" si="55"/>
        <v>9.850275807722614</v>
      </c>
      <c r="G113" s="9">
        <v>2.82</v>
      </c>
      <c r="H113" s="10">
        <v>1.5433333333333332E-3</v>
      </c>
      <c r="I113" s="11">
        <f t="shared" si="56"/>
        <v>18.727910838410281</v>
      </c>
      <c r="J113" s="9">
        <v>4.5</v>
      </c>
      <c r="K113" s="9">
        <v>16.45</v>
      </c>
      <c r="L113" s="14">
        <f t="shared" si="34"/>
        <v>-2.6996424697825923</v>
      </c>
      <c r="M113" s="6"/>
      <c r="N113" s="2">
        <f t="shared" si="57"/>
        <v>-23.446699796126396</v>
      </c>
      <c r="O113">
        <f t="shared" si="36"/>
        <v>1.6700040000000003</v>
      </c>
      <c r="P113">
        <f t="shared" si="39"/>
        <v>26.162594570473249</v>
      </c>
      <c r="Q113">
        <f t="shared" si="37"/>
        <v>1.7441729713648833</v>
      </c>
      <c r="R113">
        <f t="shared" si="38"/>
        <v>9.2599999999999991E-3</v>
      </c>
    </row>
    <row r="114" spans="1:18" x14ac:dyDescent="0.3">
      <c r="A114">
        <v>0.6</v>
      </c>
      <c r="B114">
        <v>30</v>
      </c>
      <c r="C114">
        <v>6</v>
      </c>
      <c r="D114" s="1">
        <v>17.600000000000001</v>
      </c>
      <c r="E114" s="3">
        <v>15.228</v>
      </c>
      <c r="F114" s="8">
        <f t="shared" si="55"/>
        <v>11.557656947727869</v>
      </c>
      <c r="G114" s="9">
        <v>2.82</v>
      </c>
      <c r="H114" s="10">
        <v>1.5433333333333332E-3</v>
      </c>
      <c r="I114" s="11">
        <f t="shared" si="56"/>
        <v>21.974082050401403</v>
      </c>
      <c r="J114" s="9">
        <v>4.5</v>
      </c>
      <c r="K114" s="9">
        <v>20.32</v>
      </c>
      <c r="L114" s="14">
        <f t="shared" si="34"/>
        <v>-3.7719171616061162</v>
      </c>
      <c r="M114" s="6"/>
      <c r="N114" s="2">
        <f t="shared" si="57"/>
        <v>-35.776456676860342</v>
      </c>
      <c r="O114">
        <f t="shared" si="36"/>
        <v>1.7581418181818183</v>
      </c>
      <c r="P114">
        <f t="shared" si="39"/>
        <v>32.317563627478208</v>
      </c>
      <c r="Q114">
        <f t="shared" si="37"/>
        <v>1.8362252061067161</v>
      </c>
      <c r="R114">
        <f t="shared" si="38"/>
        <v>9.2599999999999991E-3</v>
      </c>
    </row>
    <row r="115" spans="1:18" x14ac:dyDescent="0.3">
      <c r="A115">
        <v>0.6</v>
      </c>
      <c r="B115">
        <v>40</v>
      </c>
      <c r="C115">
        <v>1</v>
      </c>
      <c r="D115" s="1">
        <v>3.2</v>
      </c>
      <c r="E115" s="3">
        <v>20.303999999999998</v>
      </c>
      <c r="F115" s="8">
        <f>(D115*10^-3)/(E115*10^-4)</f>
        <v>1.5760441292356187</v>
      </c>
      <c r="G115" s="9">
        <v>3.76</v>
      </c>
      <c r="H115" s="10">
        <v>9.2599999999999991E-3</v>
      </c>
      <c r="I115" s="11">
        <f>(F115)/((9.81*G115*10^-2))^(1/2)</f>
        <v>2.5950154473397178</v>
      </c>
      <c r="J115" s="9">
        <v>3</v>
      </c>
      <c r="K115" s="9">
        <v>0</v>
      </c>
      <c r="L115" s="14">
        <f t="shared" si="34"/>
        <v>79.746493837680006</v>
      </c>
      <c r="M115" s="6"/>
      <c r="N115" s="2">
        <f>-(1.7*K115^2)/19.62</f>
        <v>0</v>
      </c>
      <c r="O115">
        <f t="shared" si="36"/>
        <v>0</v>
      </c>
      <c r="P115">
        <f t="shared" si="39"/>
        <v>0</v>
      </c>
      <c r="Q115">
        <f t="shared" si="37"/>
        <v>0</v>
      </c>
      <c r="R115">
        <f t="shared" si="38"/>
        <v>9.2599999999999991E-3</v>
      </c>
    </row>
    <row r="116" spans="1:18" x14ac:dyDescent="0.3">
      <c r="A116">
        <v>0.6</v>
      </c>
      <c r="B116">
        <v>40</v>
      </c>
      <c r="C116">
        <v>1</v>
      </c>
      <c r="D116" s="1">
        <v>6.4</v>
      </c>
      <c r="E116" s="3">
        <v>20.303999999999998</v>
      </c>
      <c r="F116" s="8">
        <f t="shared" ref="F116:F121" si="58">(D116*10^-3)/(E116*10^-4)</f>
        <v>3.1520882584712373</v>
      </c>
      <c r="G116" s="9">
        <v>3.76</v>
      </c>
      <c r="H116" s="10">
        <v>9.2599999999999991E-3</v>
      </c>
      <c r="I116" s="11">
        <f t="shared" ref="I116:I121" si="59">(F116)/((9.81*G116*10^-2))^(1/2)</f>
        <v>5.1900308946794356</v>
      </c>
      <c r="J116" s="9">
        <v>3</v>
      </c>
      <c r="K116" s="9">
        <v>0</v>
      </c>
      <c r="L116" s="14">
        <f t="shared" si="34"/>
        <v>19.936623459420002</v>
      </c>
      <c r="M116" s="6"/>
      <c r="N116" s="2">
        <f t="shared" ref="N116:N121" si="60">-(1.7*K116^2)/19.62</f>
        <v>0</v>
      </c>
      <c r="O116">
        <f t="shared" si="36"/>
        <v>0</v>
      </c>
      <c r="P116">
        <f t="shared" si="39"/>
        <v>0</v>
      </c>
      <c r="Q116">
        <f t="shared" si="37"/>
        <v>0</v>
      </c>
      <c r="R116">
        <f t="shared" si="38"/>
        <v>9.2599999999999991E-3</v>
      </c>
    </row>
    <row r="117" spans="1:18" x14ac:dyDescent="0.3">
      <c r="A117">
        <v>0.6</v>
      </c>
      <c r="B117">
        <v>40</v>
      </c>
      <c r="C117">
        <v>1</v>
      </c>
      <c r="D117" s="1">
        <v>9.6</v>
      </c>
      <c r="E117" s="3">
        <v>20.303999999999998</v>
      </c>
      <c r="F117" s="8">
        <f t="shared" si="58"/>
        <v>4.7281323877068555</v>
      </c>
      <c r="G117" s="9">
        <v>3.76</v>
      </c>
      <c r="H117" s="10">
        <v>9.2599999999999991E-3</v>
      </c>
      <c r="I117" s="11">
        <f t="shared" si="59"/>
        <v>7.7850463420191529</v>
      </c>
      <c r="J117" s="9">
        <v>4.5</v>
      </c>
      <c r="K117" s="9">
        <v>1.02</v>
      </c>
      <c r="L117" s="14">
        <f t="shared" si="34"/>
        <v>8.7816045015900031</v>
      </c>
      <c r="M117" s="6"/>
      <c r="N117" s="2">
        <f t="shared" si="60"/>
        <v>-9.0146788990825691E-2</v>
      </c>
      <c r="O117">
        <f t="shared" si="36"/>
        <v>0.21573000000000001</v>
      </c>
      <c r="P117">
        <f t="shared" si="39"/>
        <v>1.6222399064974293</v>
      </c>
      <c r="Q117">
        <f t="shared" si="37"/>
        <v>0.16898332359348223</v>
      </c>
      <c r="R117">
        <f t="shared" si="38"/>
        <v>9.2599999999999991E-3</v>
      </c>
    </row>
    <row r="118" spans="1:18" x14ac:dyDescent="0.3">
      <c r="A118">
        <v>0.6</v>
      </c>
      <c r="B118">
        <v>40</v>
      </c>
      <c r="C118">
        <v>1</v>
      </c>
      <c r="D118" s="1">
        <v>12.8</v>
      </c>
      <c r="E118" s="3">
        <v>20.303999999999998</v>
      </c>
      <c r="F118" s="8">
        <f t="shared" si="58"/>
        <v>6.3041765169424746</v>
      </c>
      <c r="G118" s="9">
        <v>3.76</v>
      </c>
      <c r="H118" s="10">
        <v>9.2599999999999991E-3</v>
      </c>
      <c r="I118" s="11">
        <f t="shared" si="59"/>
        <v>10.380061789358871</v>
      </c>
      <c r="J118" s="9">
        <v>4.5</v>
      </c>
      <c r="K118" s="9">
        <v>3.76</v>
      </c>
      <c r="L118" s="14">
        <f t="shared" si="34"/>
        <v>4.3794169985250004</v>
      </c>
      <c r="M118" s="6"/>
      <c r="N118" s="2">
        <f t="shared" si="60"/>
        <v>-1.2249704383282363</v>
      </c>
      <c r="O118">
        <f t="shared" si="36"/>
        <v>0.5964299999999999</v>
      </c>
      <c r="P118">
        <f t="shared" si="39"/>
        <v>5.9800216161081705</v>
      </c>
      <c r="Q118">
        <f t="shared" si="37"/>
        <v>0.46718918875845078</v>
      </c>
      <c r="R118">
        <f t="shared" si="38"/>
        <v>9.2599999999999991E-3</v>
      </c>
    </row>
    <row r="119" spans="1:18" x14ac:dyDescent="0.3">
      <c r="A119">
        <v>0.6</v>
      </c>
      <c r="B119">
        <v>40</v>
      </c>
      <c r="C119">
        <v>1</v>
      </c>
      <c r="D119" s="1">
        <v>16</v>
      </c>
      <c r="E119" s="3">
        <v>20.303999999999998</v>
      </c>
      <c r="F119" s="8">
        <f t="shared" si="58"/>
        <v>7.8802206461780937</v>
      </c>
      <c r="G119" s="9">
        <v>3.76</v>
      </c>
      <c r="H119" s="10">
        <v>9.2599999999999991E-3</v>
      </c>
      <c r="I119" s="11">
        <f t="shared" si="59"/>
        <v>12.97507723669859</v>
      </c>
      <c r="J119" s="9">
        <v>4.5</v>
      </c>
      <c r="K119" s="9">
        <v>6.82</v>
      </c>
      <c r="L119" s="14">
        <f t="shared" si="34"/>
        <v>1.9165299189083997</v>
      </c>
      <c r="M119" s="6"/>
      <c r="N119" s="2">
        <f t="shared" si="60"/>
        <v>-4.030126401630989</v>
      </c>
      <c r="O119">
        <f t="shared" si="36"/>
        <v>0.86545799999999995</v>
      </c>
      <c r="P119">
        <f t="shared" si="39"/>
        <v>10.846741335600459</v>
      </c>
      <c r="Q119">
        <f t="shared" si="37"/>
        <v>0.6779213334750287</v>
      </c>
      <c r="R119">
        <f t="shared" si="38"/>
        <v>9.2599999999999991E-3</v>
      </c>
    </row>
    <row r="120" spans="1:18" x14ac:dyDescent="0.3">
      <c r="A120">
        <v>0.6</v>
      </c>
      <c r="B120">
        <v>40</v>
      </c>
      <c r="C120">
        <v>1</v>
      </c>
      <c r="D120" s="1">
        <v>19.2</v>
      </c>
      <c r="E120" s="3">
        <v>20.303999999999998</v>
      </c>
      <c r="F120" s="8">
        <f t="shared" si="58"/>
        <v>9.456264775413711</v>
      </c>
      <c r="G120" s="9">
        <v>3.76</v>
      </c>
      <c r="H120" s="10">
        <v>9.2599999999999991E-3</v>
      </c>
      <c r="I120" s="11">
        <f t="shared" si="59"/>
        <v>15.570092684038306</v>
      </c>
      <c r="J120" s="9">
        <v>4.5</v>
      </c>
      <c r="K120" s="9">
        <v>11.92</v>
      </c>
      <c r="L120" s="14">
        <f t="shared" si="34"/>
        <v>-0.48605347133999982</v>
      </c>
      <c r="M120" s="6"/>
      <c r="N120" s="2">
        <f t="shared" si="60"/>
        <v>-12.311257900101936</v>
      </c>
      <c r="O120">
        <f t="shared" si="36"/>
        <v>1.26054</v>
      </c>
      <c r="P120">
        <f t="shared" si="39"/>
        <v>18.957940868087608</v>
      </c>
      <c r="Q120">
        <f t="shared" si="37"/>
        <v>0.98739275354622957</v>
      </c>
      <c r="R120">
        <f t="shared" si="38"/>
        <v>9.2599999999999991E-3</v>
      </c>
    </row>
    <row r="121" spans="1:18" x14ac:dyDescent="0.3">
      <c r="A121">
        <v>0.6</v>
      </c>
      <c r="B121">
        <v>40</v>
      </c>
      <c r="C121">
        <v>1</v>
      </c>
      <c r="D121" s="1">
        <v>22.3</v>
      </c>
      <c r="E121" s="3">
        <v>20.303999999999998</v>
      </c>
      <c r="F121" s="8">
        <f t="shared" si="58"/>
        <v>10.983057525610718</v>
      </c>
      <c r="G121" s="9">
        <v>3.76</v>
      </c>
      <c r="H121" s="10">
        <v>9.2599999999999991E-3</v>
      </c>
      <c r="I121" s="11">
        <f t="shared" si="59"/>
        <v>18.08401389864866</v>
      </c>
      <c r="J121" s="9">
        <v>4.5</v>
      </c>
      <c r="K121" s="9">
        <v>17.190000000000001</v>
      </c>
      <c r="L121" s="14">
        <f t="shared" si="34"/>
        <v>-2.5223080748516482</v>
      </c>
      <c r="M121" s="6"/>
      <c r="N121" s="2">
        <f t="shared" si="60"/>
        <v>-25.603637614678902</v>
      </c>
      <c r="O121">
        <f t="shared" si="36"/>
        <v>1.5651379372197309</v>
      </c>
      <c r="P121">
        <f t="shared" si="39"/>
        <v>27.339513718324326</v>
      </c>
      <c r="Q121">
        <f t="shared" si="37"/>
        <v>1.2259871622566962</v>
      </c>
      <c r="R121">
        <f t="shared" si="38"/>
        <v>9.2599999999999991E-3</v>
      </c>
    </row>
    <row r="122" spans="1:18" x14ac:dyDescent="0.3">
      <c r="A122">
        <v>0.6</v>
      </c>
      <c r="B122">
        <v>40</v>
      </c>
      <c r="C122">
        <v>2</v>
      </c>
      <c r="D122" s="1">
        <v>3.2</v>
      </c>
      <c r="E122" s="3">
        <v>20.303999999999998</v>
      </c>
      <c r="F122" s="8">
        <f>(D122*10^-3)/(E122*10^-4)</f>
        <v>1.5760441292356187</v>
      </c>
      <c r="G122" s="9">
        <v>3.76</v>
      </c>
      <c r="H122" s="10">
        <v>4.6299999999999996E-3</v>
      </c>
      <c r="I122" s="11">
        <f>(F122)/((9.81*G122*10^-2))^(1/2)</f>
        <v>2.5950154473397178</v>
      </c>
      <c r="J122" s="9">
        <v>3</v>
      </c>
      <c r="K122" s="9">
        <v>0</v>
      </c>
      <c r="L122" s="14">
        <f t="shared" si="34"/>
        <v>79.746493837680006</v>
      </c>
      <c r="M122" s="6"/>
      <c r="N122" s="2">
        <f>-(1.7*K122^2)/19.62</f>
        <v>0</v>
      </c>
      <c r="O122">
        <f t="shared" si="36"/>
        <v>0</v>
      </c>
      <c r="P122">
        <f t="shared" si="39"/>
        <v>0</v>
      </c>
      <c r="Q122">
        <f t="shared" si="37"/>
        <v>0</v>
      </c>
      <c r="R122">
        <f t="shared" si="38"/>
        <v>9.2599999999999991E-3</v>
      </c>
    </row>
    <row r="123" spans="1:18" x14ac:dyDescent="0.3">
      <c r="A123">
        <v>0.6</v>
      </c>
      <c r="B123">
        <v>40</v>
      </c>
      <c r="C123">
        <v>2</v>
      </c>
      <c r="D123" s="1">
        <v>6.4</v>
      </c>
      <c r="E123" s="3">
        <v>20.303999999999998</v>
      </c>
      <c r="F123" s="8">
        <f t="shared" ref="F123:F128" si="61">(D123*10^-3)/(E123*10^-4)</f>
        <v>3.1520882584712373</v>
      </c>
      <c r="G123" s="9">
        <v>3.76</v>
      </c>
      <c r="H123" s="10">
        <v>4.6299999999999996E-3</v>
      </c>
      <c r="I123" s="11">
        <f t="shared" ref="I123:I128" si="62">(F123)/((9.81*G123*10^-2))^(1/2)</f>
        <v>5.1900308946794356</v>
      </c>
      <c r="J123" s="9">
        <v>4.5</v>
      </c>
      <c r="K123" s="9">
        <v>0.6</v>
      </c>
      <c r="L123" s="14">
        <f t="shared" si="34"/>
        <v>19.875027151169999</v>
      </c>
      <c r="M123" s="6"/>
      <c r="N123" s="2">
        <f t="shared" ref="N123:N128" si="63">-(1.7*K123^2)/19.62</f>
        <v>-3.1192660550458714E-2</v>
      </c>
      <c r="O123">
        <f t="shared" si="36"/>
        <v>0.19034999999999999</v>
      </c>
      <c r="P123">
        <f t="shared" si="39"/>
        <v>0.9542587685278997</v>
      </c>
      <c r="Q123">
        <f t="shared" si="37"/>
        <v>0.14910293258248433</v>
      </c>
      <c r="R123">
        <f t="shared" si="38"/>
        <v>9.2599999999999991E-3</v>
      </c>
    </row>
    <row r="124" spans="1:18" x14ac:dyDescent="0.3">
      <c r="A124">
        <v>0.6</v>
      </c>
      <c r="B124">
        <v>40</v>
      </c>
      <c r="C124">
        <v>2</v>
      </c>
      <c r="D124" s="1">
        <v>9.6</v>
      </c>
      <c r="E124" s="3">
        <v>20.303999999999998</v>
      </c>
      <c r="F124" s="8">
        <f t="shared" si="61"/>
        <v>4.7281323877068555</v>
      </c>
      <c r="G124" s="9">
        <v>3.76</v>
      </c>
      <c r="H124" s="10">
        <v>4.6299999999999996E-3</v>
      </c>
      <c r="I124" s="11">
        <f t="shared" si="62"/>
        <v>7.7850463420191529</v>
      </c>
      <c r="J124" s="9">
        <v>4.5</v>
      </c>
      <c r="K124" s="9">
        <v>3.23</v>
      </c>
      <c r="L124" s="14">
        <f t="shared" si="34"/>
        <v>8.0673534827775022</v>
      </c>
      <c r="M124" s="6"/>
      <c r="N124" s="2">
        <f t="shared" si="63"/>
        <v>-0.90397196738022423</v>
      </c>
      <c r="O124">
        <f t="shared" si="36"/>
        <v>0.683145</v>
      </c>
      <c r="P124">
        <f t="shared" si="39"/>
        <v>5.1370930372418595</v>
      </c>
      <c r="Q124">
        <f t="shared" si="37"/>
        <v>0.53511385804602707</v>
      </c>
      <c r="R124">
        <f t="shared" si="38"/>
        <v>9.2599999999999991E-3</v>
      </c>
    </row>
    <row r="125" spans="1:18" x14ac:dyDescent="0.3">
      <c r="A125">
        <v>0.6</v>
      </c>
      <c r="B125">
        <v>40</v>
      </c>
      <c r="C125">
        <v>2</v>
      </c>
      <c r="D125" s="1">
        <v>12.8</v>
      </c>
      <c r="E125" s="3">
        <v>20.303999999999998</v>
      </c>
      <c r="F125" s="8">
        <f t="shared" si="61"/>
        <v>6.3041765169424746</v>
      </c>
      <c r="G125" s="9">
        <v>3.76</v>
      </c>
      <c r="H125" s="10">
        <v>4.6299999999999996E-3</v>
      </c>
      <c r="I125" s="11">
        <f t="shared" si="62"/>
        <v>10.380061789358871</v>
      </c>
      <c r="J125" s="9">
        <v>4.5</v>
      </c>
      <c r="K125" s="9">
        <v>8.25</v>
      </c>
      <c r="L125" s="14">
        <f t="shared" si="34"/>
        <v>2.072767857726094</v>
      </c>
      <c r="M125" s="6"/>
      <c r="N125" s="2">
        <f t="shared" si="63"/>
        <v>-5.8973623853211006</v>
      </c>
      <c r="O125">
        <f t="shared" si="36"/>
        <v>1.3086562499999999</v>
      </c>
      <c r="P125">
        <f t="shared" si="39"/>
        <v>13.121058067258621</v>
      </c>
      <c r="Q125">
        <f t="shared" si="37"/>
        <v>1.0250826615045798</v>
      </c>
      <c r="R125">
        <f t="shared" si="38"/>
        <v>9.2599999999999991E-3</v>
      </c>
    </row>
    <row r="126" spans="1:18" x14ac:dyDescent="0.3">
      <c r="A126">
        <v>0.6</v>
      </c>
      <c r="B126">
        <v>40</v>
      </c>
      <c r="C126">
        <v>2</v>
      </c>
      <c r="D126" s="1">
        <v>16</v>
      </c>
      <c r="E126" s="3">
        <v>20.303999999999998</v>
      </c>
      <c r="F126" s="8">
        <f t="shared" si="61"/>
        <v>7.8802206461780937</v>
      </c>
      <c r="G126" s="9">
        <v>3.76</v>
      </c>
      <c r="H126" s="10">
        <v>4.6299999999999996E-3</v>
      </c>
      <c r="I126" s="11">
        <f t="shared" si="62"/>
        <v>12.97507723669859</v>
      </c>
      <c r="J126" s="9">
        <v>4.5</v>
      </c>
      <c r="K126" s="9">
        <v>13.69</v>
      </c>
      <c r="L126" s="14">
        <f t="shared" si="34"/>
        <v>-1.9408690760984997</v>
      </c>
      <c r="M126" s="6"/>
      <c r="N126" s="2">
        <f t="shared" si="63"/>
        <v>-16.238907747196738</v>
      </c>
      <c r="O126">
        <f t="shared" si="36"/>
        <v>1.7372609999999997</v>
      </c>
      <c r="P126">
        <f t="shared" si="39"/>
        <v>21.773004235244912</v>
      </c>
      <c r="Q126">
        <f t="shared" si="37"/>
        <v>1.360812764702807</v>
      </c>
      <c r="R126">
        <f t="shared" si="38"/>
        <v>9.2599999999999991E-3</v>
      </c>
    </row>
    <row r="127" spans="1:18" x14ac:dyDescent="0.3">
      <c r="A127">
        <v>0.6</v>
      </c>
      <c r="B127">
        <v>40</v>
      </c>
      <c r="C127">
        <v>2</v>
      </c>
      <c r="D127" s="1">
        <v>19.2</v>
      </c>
      <c r="E127" s="3">
        <v>20.303999999999998</v>
      </c>
      <c r="F127" s="8">
        <f t="shared" si="61"/>
        <v>9.456264775413711</v>
      </c>
      <c r="G127" s="9">
        <v>3.76</v>
      </c>
      <c r="H127" s="10">
        <v>4.6299999999999996E-3</v>
      </c>
      <c r="I127" s="11">
        <f t="shared" si="62"/>
        <v>15.570092684038306</v>
      </c>
      <c r="J127" s="9">
        <v>4.5</v>
      </c>
      <c r="K127" s="9">
        <v>17.260000000000002</v>
      </c>
      <c r="L127" s="14">
        <f t="shared" si="34"/>
        <v>-3.4484024426625011</v>
      </c>
      <c r="M127" s="6"/>
      <c r="N127" s="2">
        <f t="shared" si="63"/>
        <v>-25.812585117227322</v>
      </c>
      <c r="O127">
        <f t="shared" si="36"/>
        <v>1.8252450000000002</v>
      </c>
      <c r="P127">
        <f t="shared" si="39"/>
        <v>27.450843907985917</v>
      </c>
      <c r="Q127">
        <f t="shared" si="37"/>
        <v>1.4297314535409331</v>
      </c>
      <c r="R127">
        <f t="shared" si="38"/>
        <v>9.2599999999999991E-3</v>
      </c>
    </row>
    <row r="128" spans="1:18" x14ac:dyDescent="0.3">
      <c r="A128">
        <v>0.6</v>
      </c>
      <c r="B128">
        <v>40</v>
      </c>
      <c r="C128">
        <v>2</v>
      </c>
      <c r="D128" s="1">
        <v>22.3</v>
      </c>
      <c r="E128" s="3">
        <v>20.303999999999998</v>
      </c>
      <c r="F128" s="8">
        <f t="shared" si="61"/>
        <v>10.983057525610718</v>
      </c>
      <c r="G128" s="9">
        <v>3.76</v>
      </c>
      <c r="H128" s="10">
        <v>4.6299999999999996E-3</v>
      </c>
      <c r="I128" s="11">
        <f t="shared" si="62"/>
        <v>18.08401389864866</v>
      </c>
      <c r="J128" s="9">
        <v>4.5</v>
      </c>
      <c r="K128" s="13">
        <v>24.4</v>
      </c>
      <c r="L128" s="14">
        <f t="shared" si="34"/>
        <v>-6.7482798281245868</v>
      </c>
      <c r="M128" s="6"/>
      <c r="N128" s="2">
        <f t="shared" si="63"/>
        <v>-51.585728848114158</v>
      </c>
      <c r="O128">
        <f t="shared" si="36"/>
        <v>2.2216035874439459</v>
      </c>
      <c r="P128">
        <f t="shared" si="39"/>
        <v>38.806523253467915</v>
      </c>
      <c r="Q128">
        <f t="shared" si="37"/>
        <v>1.7402028364783817</v>
      </c>
      <c r="R128">
        <f t="shared" si="38"/>
        <v>9.2599999999999991E-3</v>
      </c>
    </row>
    <row r="129" spans="1:18" x14ac:dyDescent="0.3">
      <c r="A129">
        <v>0.6</v>
      </c>
      <c r="B129">
        <v>40</v>
      </c>
      <c r="C129">
        <v>4</v>
      </c>
      <c r="D129" s="1">
        <v>3.2</v>
      </c>
      <c r="E129" s="3">
        <v>20.303999999999998</v>
      </c>
      <c r="F129" s="8">
        <f>(D129*10^-3)/(E129*10^-4)</f>
        <v>1.5760441292356187</v>
      </c>
      <c r="G129" s="9">
        <v>3.76</v>
      </c>
      <c r="H129" s="10">
        <v>2.3149999999999998E-3</v>
      </c>
      <c r="I129" s="11">
        <f>(F129)/((9.81*G129*10^-2))^(1/2)</f>
        <v>2.5950154473397178</v>
      </c>
      <c r="J129" s="9">
        <v>3</v>
      </c>
      <c r="K129" s="9">
        <v>0</v>
      </c>
      <c r="L129" s="14">
        <f t="shared" si="34"/>
        <v>79.746493837680006</v>
      </c>
      <c r="M129" s="6"/>
      <c r="N129" s="2">
        <f>-(1.7*K129^2)/19.62</f>
        <v>0</v>
      </c>
      <c r="O129">
        <f t="shared" si="36"/>
        <v>0</v>
      </c>
      <c r="P129">
        <f t="shared" si="39"/>
        <v>0</v>
      </c>
      <c r="Q129">
        <f t="shared" si="37"/>
        <v>0</v>
      </c>
      <c r="R129">
        <f t="shared" si="38"/>
        <v>9.2599999999999991E-3</v>
      </c>
    </row>
    <row r="130" spans="1:18" x14ac:dyDescent="0.3">
      <c r="A130">
        <v>0.6</v>
      </c>
      <c r="B130">
        <v>40</v>
      </c>
      <c r="C130">
        <v>4</v>
      </c>
      <c r="D130" s="1">
        <v>6.4</v>
      </c>
      <c r="E130" s="3">
        <v>20.303999999999998</v>
      </c>
      <c r="F130" s="8">
        <f t="shared" ref="F130:F135" si="64">(D130*10^-3)/(E130*10^-4)</f>
        <v>3.1520882584712373</v>
      </c>
      <c r="G130" s="9">
        <v>3.76</v>
      </c>
      <c r="H130" s="10">
        <v>2.3149999999999998E-3</v>
      </c>
      <c r="I130" s="11">
        <f t="shared" ref="I130:I135" si="65">(F130)/((9.81*G130*10^-2))^(1/2)</f>
        <v>5.1900308946794356</v>
      </c>
      <c r="J130" s="9">
        <v>4.5</v>
      </c>
      <c r="K130" s="9">
        <v>0</v>
      </c>
      <c r="L130" s="14">
        <f t="shared" si="34"/>
        <v>19.936623459420002</v>
      </c>
      <c r="M130" s="6"/>
      <c r="N130" s="2">
        <f t="shared" ref="N130:N135" si="66">-(1.7*K130^2)/19.62</f>
        <v>0</v>
      </c>
      <c r="O130">
        <f t="shared" si="36"/>
        <v>0</v>
      </c>
      <c r="P130">
        <f t="shared" si="39"/>
        <v>0</v>
      </c>
      <c r="Q130">
        <f t="shared" si="37"/>
        <v>0</v>
      </c>
      <c r="R130">
        <f t="shared" si="38"/>
        <v>9.2599999999999991E-3</v>
      </c>
    </row>
    <row r="131" spans="1:18" x14ac:dyDescent="0.3">
      <c r="A131">
        <v>0.6</v>
      </c>
      <c r="B131">
        <v>40</v>
      </c>
      <c r="C131">
        <v>4</v>
      </c>
      <c r="D131" s="1">
        <v>9.6</v>
      </c>
      <c r="E131" s="3">
        <v>20.303999999999998</v>
      </c>
      <c r="F131" s="8">
        <f t="shared" si="64"/>
        <v>4.7281323877068555</v>
      </c>
      <c r="G131" s="9">
        <v>3.76</v>
      </c>
      <c r="H131" s="10">
        <v>2.3149999999999998E-3</v>
      </c>
      <c r="I131" s="11">
        <f t="shared" si="65"/>
        <v>7.7850463420191529</v>
      </c>
      <c r="J131" s="9">
        <v>4.5</v>
      </c>
      <c r="K131" s="9">
        <v>3.69</v>
      </c>
      <c r="L131" s="14">
        <f t="shared" ref="L131:L194" si="67">(10.33+N131-0.234)/((F131^2)/19.62)</f>
        <v>7.8252875958375014</v>
      </c>
      <c r="M131" s="6"/>
      <c r="N131" s="2">
        <f t="shared" si="66"/>
        <v>-1.1797844036697247</v>
      </c>
      <c r="O131">
        <f t="shared" si="36"/>
        <v>0.78043499999999999</v>
      </c>
      <c r="P131">
        <f t="shared" si="39"/>
        <v>5.868691426446583</v>
      </c>
      <c r="Q131">
        <f t="shared" si="37"/>
        <v>0.61132202358818577</v>
      </c>
      <c r="R131">
        <f t="shared" si="38"/>
        <v>9.2599999999999991E-3</v>
      </c>
    </row>
    <row r="132" spans="1:18" x14ac:dyDescent="0.3">
      <c r="A132">
        <v>0.6</v>
      </c>
      <c r="B132">
        <v>40</v>
      </c>
      <c r="C132">
        <v>4</v>
      </c>
      <c r="D132" s="1">
        <v>12.8</v>
      </c>
      <c r="E132" s="3">
        <v>20.303999999999998</v>
      </c>
      <c r="F132" s="8">
        <f t="shared" si="64"/>
        <v>6.3041765169424746</v>
      </c>
      <c r="G132" s="9">
        <v>3.76</v>
      </c>
      <c r="H132" s="10">
        <v>2.3149999999999998E-3</v>
      </c>
      <c r="I132" s="11">
        <f t="shared" si="65"/>
        <v>10.380061789358871</v>
      </c>
      <c r="J132" s="9">
        <v>4.5</v>
      </c>
      <c r="K132" s="9">
        <v>8.57</v>
      </c>
      <c r="L132" s="14">
        <f t="shared" si="67"/>
        <v>1.842534545556094</v>
      </c>
      <c r="M132" s="6"/>
      <c r="N132" s="2">
        <f t="shared" si="66"/>
        <v>-6.363727319062181</v>
      </c>
      <c r="O132">
        <f t="shared" ref="O132:O195" si="68">K132/F132</f>
        <v>1.35941625</v>
      </c>
      <c r="P132">
        <f t="shared" si="39"/>
        <v>13.629996077140168</v>
      </c>
      <c r="Q132">
        <f t="shared" ref="Q132:Q195" si="69">P132/D132</f>
        <v>1.0648434435265757</v>
      </c>
      <c r="R132">
        <f t="shared" ref="R132:R195" si="70">H132*C132</f>
        <v>9.2599999999999991E-3</v>
      </c>
    </row>
    <row r="133" spans="1:18" x14ac:dyDescent="0.3">
      <c r="A133">
        <v>0.6</v>
      </c>
      <c r="B133">
        <v>40</v>
      </c>
      <c r="C133">
        <v>4</v>
      </c>
      <c r="D133" s="1">
        <v>16</v>
      </c>
      <c r="E133" s="3">
        <v>20.303999999999998</v>
      </c>
      <c r="F133" s="8">
        <f t="shared" si="64"/>
        <v>7.8802206461780937</v>
      </c>
      <c r="G133" s="9">
        <v>3.76</v>
      </c>
      <c r="H133" s="10">
        <v>2.3149999999999998E-3</v>
      </c>
      <c r="I133" s="11">
        <f t="shared" si="65"/>
        <v>12.97507723669859</v>
      </c>
      <c r="J133" s="9">
        <v>4.5</v>
      </c>
      <c r="K133" s="9">
        <v>13.22</v>
      </c>
      <c r="L133" s="14">
        <f t="shared" si="67"/>
        <v>-1.5946239081635998</v>
      </c>
      <c r="M133" s="6"/>
      <c r="N133" s="2">
        <f t="shared" si="66"/>
        <v>-15.143031600407747</v>
      </c>
      <c r="O133">
        <f t="shared" si="68"/>
        <v>1.6776179999999998</v>
      </c>
      <c r="P133">
        <f t="shared" ref="P133:P196" si="71">K133*PI()*(J133^2)/40</f>
        <v>21.025501533231392</v>
      </c>
      <c r="Q133">
        <f t="shared" si="69"/>
        <v>1.314093845826962</v>
      </c>
      <c r="R133">
        <f t="shared" si="70"/>
        <v>9.2599999999999991E-3</v>
      </c>
    </row>
    <row r="134" spans="1:18" x14ac:dyDescent="0.3">
      <c r="A134">
        <v>0.6</v>
      </c>
      <c r="B134">
        <v>40</v>
      </c>
      <c r="C134">
        <v>4</v>
      </c>
      <c r="D134" s="1">
        <v>19.2</v>
      </c>
      <c r="E134" s="3">
        <v>20.303999999999998</v>
      </c>
      <c r="F134" s="8">
        <f t="shared" si="64"/>
        <v>9.456264775413711</v>
      </c>
      <c r="G134" s="9">
        <v>3.76</v>
      </c>
      <c r="H134" s="10">
        <v>2.3149999999999998E-3</v>
      </c>
      <c r="I134" s="11">
        <f t="shared" si="65"/>
        <v>15.570092684038306</v>
      </c>
      <c r="J134" s="9">
        <v>4.5</v>
      </c>
      <c r="K134" s="9">
        <v>15.81</v>
      </c>
      <c r="L134" s="14">
        <f t="shared" si="67"/>
        <v>-2.5367865861656256</v>
      </c>
      <c r="M134" s="6"/>
      <c r="N134" s="2">
        <f t="shared" si="66"/>
        <v>-21.657766055045872</v>
      </c>
      <c r="O134">
        <f t="shared" si="68"/>
        <v>1.6719075000000001</v>
      </c>
      <c r="P134">
        <f t="shared" si="71"/>
        <v>25.144718550710156</v>
      </c>
      <c r="Q134">
        <f t="shared" si="69"/>
        <v>1.3096207578494874</v>
      </c>
      <c r="R134">
        <f t="shared" si="70"/>
        <v>9.2599999999999991E-3</v>
      </c>
    </row>
    <row r="135" spans="1:18" x14ac:dyDescent="0.3">
      <c r="A135">
        <v>0.6</v>
      </c>
      <c r="B135">
        <v>40</v>
      </c>
      <c r="C135">
        <v>4</v>
      </c>
      <c r="D135" s="1">
        <v>22.3</v>
      </c>
      <c r="E135" s="3">
        <v>20.303999999999998</v>
      </c>
      <c r="F135" s="8">
        <f t="shared" si="64"/>
        <v>10.983057525610718</v>
      </c>
      <c r="G135" s="9">
        <v>3.76</v>
      </c>
      <c r="H135" s="10">
        <v>2.3149999999999998E-3</v>
      </c>
      <c r="I135" s="11">
        <f t="shared" si="65"/>
        <v>18.08401389864866</v>
      </c>
      <c r="J135" s="9">
        <v>4.5</v>
      </c>
      <c r="K135" s="9">
        <v>18.62</v>
      </c>
      <c r="L135" s="14">
        <f t="shared" si="67"/>
        <v>-3.2439849066847786</v>
      </c>
      <c r="M135" s="6"/>
      <c r="N135" s="2">
        <f t="shared" si="66"/>
        <v>-30.040646279306827</v>
      </c>
      <c r="O135">
        <f t="shared" si="68"/>
        <v>1.6953384753363228</v>
      </c>
      <c r="P135">
        <f t="shared" si="71"/>
        <v>29.613830449982487</v>
      </c>
      <c r="Q135">
        <f t="shared" si="69"/>
        <v>1.3279744596404701</v>
      </c>
      <c r="R135">
        <f t="shared" si="70"/>
        <v>9.2599999999999991E-3</v>
      </c>
    </row>
    <row r="136" spans="1:18" x14ac:dyDescent="0.3">
      <c r="A136">
        <v>0.6</v>
      </c>
      <c r="B136">
        <v>40</v>
      </c>
      <c r="C136">
        <v>6</v>
      </c>
      <c r="D136" s="1">
        <v>3.2</v>
      </c>
      <c r="E136" s="3">
        <v>20.303999999999998</v>
      </c>
      <c r="F136" s="8">
        <f>(D136*10^-3)/(E136*10^-4)</f>
        <v>1.5760441292356187</v>
      </c>
      <c r="G136" s="9">
        <v>3.76</v>
      </c>
      <c r="H136" s="10">
        <v>1.5433333333333332E-3</v>
      </c>
      <c r="I136" s="11">
        <f>(F136)/((9.81*G136*10^-2))^(1/2)</f>
        <v>2.5950154473397178</v>
      </c>
      <c r="J136" s="9">
        <v>3</v>
      </c>
      <c r="K136" s="9">
        <v>0</v>
      </c>
      <c r="L136" s="14">
        <f t="shared" si="67"/>
        <v>79.746493837680006</v>
      </c>
      <c r="M136" s="6"/>
      <c r="N136" s="2">
        <f>-(1.7*K136^2)/19.62</f>
        <v>0</v>
      </c>
      <c r="O136">
        <f t="shared" si="68"/>
        <v>0</v>
      </c>
      <c r="P136">
        <f t="shared" si="71"/>
        <v>0</v>
      </c>
      <c r="Q136">
        <f t="shared" si="69"/>
        <v>0</v>
      </c>
      <c r="R136">
        <f t="shared" si="70"/>
        <v>9.2599999999999991E-3</v>
      </c>
    </row>
    <row r="137" spans="1:18" x14ac:dyDescent="0.3">
      <c r="A137">
        <v>0.6</v>
      </c>
      <c r="B137">
        <v>40</v>
      </c>
      <c r="C137">
        <v>6</v>
      </c>
      <c r="D137" s="1">
        <v>6.4</v>
      </c>
      <c r="E137" s="3">
        <v>20.303999999999998</v>
      </c>
      <c r="F137" s="8">
        <f t="shared" ref="F137:F142" si="72">(D137*10^-3)/(E137*10^-4)</f>
        <v>3.1520882584712373</v>
      </c>
      <c r="G137" s="9">
        <v>3.76</v>
      </c>
      <c r="H137" s="10">
        <v>1.5433333333333332E-3</v>
      </c>
      <c r="I137" s="11">
        <f t="shared" ref="I137:I142" si="73">(F137)/((9.81*G137*10^-2))^(1/2)</f>
        <v>5.1900308946794356</v>
      </c>
      <c r="J137" s="9">
        <v>4.5</v>
      </c>
      <c r="K137" s="9">
        <v>0.45</v>
      </c>
      <c r="L137" s="14">
        <f t="shared" si="67"/>
        <v>19.901975536029376</v>
      </c>
      <c r="M137" s="6"/>
      <c r="N137" s="2">
        <f t="shared" ref="N137:N142" si="74">-(1.7*K137^2)/19.62</f>
        <v>-1.7545871559633025E-2</v>
      </c>
      <c r="O137">
        <f t="shared" si="68"/>
        <v>0.14276249999999999</v>
      </c>
      <c r="P137">
        <f t="shared" si="71"/>
        <v>0.71569407639592475</v>
      </c>
      <c r="Q137">
        <f t="shared" si="69"/>
        <v>0.11182719943686324</v>
      </c>
      <c r="R137">
        <f t="shared" si="70"/>
        <v>9.2599999999999991E-3</v>
      </c>
    </row>
    <row r="138" spans="1:18" x14ac:dyDescent="0.3">
      <c r="A138">
        <v>0.6</v>
      </c>
      <c r="B138">
        <v>40</v>
      </c>
      <c r="C138">
        <v>6</v>
      </c>
      <c r="D138" s="1">
        <v>9.6</v>
      </c>
      <c r="E138" s="3">
        <v>20.303999999999998</v>
      </c>
      <c r="F138" s="8">
        <f t="shared" si="72"/>
        <v>4.7281323877068555</v>
      </c>
      <c r="G138" s="9">
        <v>3.76</v>
      </c>
      <c r="H138" s="10">
        <v>1.5433333333333332E-3</v>
      </c>
      <c r="I138" s="11">
        <f t="shared" si="73"/>
        <v>7.7850463420191529</v>
      </c>
      <c r="J138" s="9">
        <v>4.5</v>
      </c>
      <c r="K138" s="9">
        <v>2.23</v>
      </c>
      <c r="L138" s="14">
        <f t="shared" si="67"/>
        <v>8.4825582272775026</v>
      </c>
      <c r="M138" s="6"/>
      <c r="N138" s="2">
        <f t="shared" si="74"/>
        <v>-0.43088328236493373</v>
      </c>
      <c r="O138">
        <f t="shared" si="68"/>
        <v>0.47164500000000004</v>
      </c>
      <c r="P138">
        <f t="shared" si="71"/>
        <v>3.5466617563620275</v>
      </c>
      <c r="Q138">
        <f t="shared" si="69"/>
        <v>0.36944393295437788</v>
      </c>
      <c r="R138">
        <f t="shared" si="70"/>
        <v>9.2599999999999991E-3</v>
      </c>
    </row>
    <row r="139" spans="1:18" x14ac:dyDescent="0.3">
      <c r="A139">
        <v>0.6</v>
      </c>
      <c r="B139">
        <v>40</v>
      </c>
      <c r="C139">
        <v>6</v>
      </c>
      <c r="D139" s="1">
        <v>12.8</v>
      </c>
      <c r="E139" s="3">
        <v>20.303999999999998</v>
      </c>
      <c r="F139" s="8">
        <f t="shared" si="72"/>
        <v>6.3041765169424746</v>
      </c>
      <c r="G139" s="9">
        <v>3.76</v>
      </c>
      <c r="H139" s="10">
        <v>1.5433333333333332E-3</v>
      </c>
      <c r="I139" s="11">
        <f t="shared" si="73"/>
        <v>10.380061789358871</v>
      </c>
      <c r="J139" s="9">
        <v>4.5</v>
      </c>
      <c r="K139" s="9">
        <v>5.37</v>
      </c>
      <c r="L139" s="14">
        <f t="shared" si="67"/>
        <v>3.7506512944560941</v>
      </c>
      <c r="M139" s="6"/>
      <c r="N139" s="2">
        <f t="shared" si="74"/>
        <v>-2.4986100917431191</v>
      </c>
      <c r="O139">
        <f t="shared" si="68"/>
        <v>0.85181624999999994</v>
      </c>
      <c r="P139">
        <f t="shared" si="71"/>
        <v>8.540615978324702</v>
      </c>
      <c r="Q139">
        <f t="shared" si="69"/>
        <v>0.66723562330661734</v>
      </c>
      <c r="R139">
        <f t="shared" si="70"/>
        <v>9.2599999999999991E-3</v>
      </c>
    </row>
    <row r="140" spans="1:18" x14ac:dyDescent="0.3">
      <c r="A140">
        <v>0.6</v>
      </c>
      <c r="B140">
        <v>40</v>
      </c>
      <c r="C140">
        <v>6</v>
      </c>
      <c r="D140" s="1">
        <v>16</v>
      </c>
      <c r="E140" s="3">
        <v>20.303999999999998</v>
      </c>
      <c r="F140" s="8">
        <f t="shared" si="72"/>
        <v>7.8802206461780937</v>
      </c>
      <c r="G140" s="9">
        <v>3.76</v>
      </c>
      <c r="H140" s="10">
        <v>1.5433333333333332E-3</v>
      </c>
      <c r="I140" s="11">
        <f t="shared" si="73"/>
        <v>12.97507723669859</v>
      </c>
      <c r="J140" s="9">
        <v>4.5</v>
      </c>
      <c r="K140" s="9">
        <v>6.96</v>
      </c>
      <c r="L140" s="14">
        <f t="shared" si="67"/>
        <v>1.8637158754080001</v>
      </c>
      <c r="M140" s="6"/>
      <c r="N140" s="2">
        <f t="shared" si="74"/>
        <v>-4.1972844036697241</v>
      </c>
      <c r="O140">
        <f t="shared" si="68"/>
        <v>0.8832239999999999</v>
      </c>
      <c r="P140">
        <f t="shared" si="71"/>
        <v>11.069401714923636</v>
      </c>
      <c r="Q140">
        <f t="shared" si="69"/>
        <v>0.69183760718272724</v>
      </c>
      <c r="R140">
        <f t="shared" si="70"/>
        <v>9.2599999999999991E-3</v>
      </c>
    </row>
    <row r="141" spans="1:18" x14ac:dyDescent="0.3">
      <c r="A141">
        <v>0.6</v>
      </c>
      <c r="B141">
        <v>40</v>
      </c>
      <c r="C141">
        <v>6</v>
      </c>
      <c r="D141" s="1">
        <v>19.2</v>
      </c>
      <c r="E141" s="3">
        <v>20.303999999999998</v>
      </c>
      <c r="F141" s="8">
        <f t="shared" si="72"/>
        <v>9.456264775413711</v>
      </c>
      <c r="G141" s="9">
        <v>3.76</v>
      </c>
      <c r="H141" s="10">
        <v>1.5433333333333332E-3</v>
      </c>
      <c r="I141" s="11">
        <f t="shared" si="73"/>
        <v>15.570092684038306</v>
      </c>
      <c r="J141" s="9">
        <v>4.5</v>
      </c>
      <c r="K141" s="9">
        <v>9.08</v>
      </c>
      <c r="L141" s="14">
        <f t="shared" si="67"/>
        <v>0.64777486941000051</v>
      </c>
      <c r="M141" s="6"/>
      <c r="N141" s="2">
        <f t="shared" si="74"/>
        <v>-7.1436738022426081</v>
      </c>
      <c r="O141">
        <f t="shared" si="68"/>
        <v>0.96021000000000012</v>
      </c>
      <c r="P141">
        <f t="shared" si="71"/>
        <v>14.44111603038888</v>
      </c>
      <c r="Q141">
        <f t="shared" si="69"/>
        <v>0.7521414599160875</v>
      </c>
      <c r="R141">
        <f t="shared" si="70"/>
        <v>9.2599999999999991E-3</v>
      </c>
    </row>
    <row r="142" spans="1:18" x14ac:dyDescent="0.3">
      <c r="A142">
        <v>0.6</v>
      </c>
      <c r="B142">
        <v>40</v>
      </c>
      <c r="C142">
        <v>6</v>
      </c>
      <c r="D142" s="1">
        <v>22.3</v>
      </c>
      <c r="E142" s="3">
        <v>20.303999999999998</v>
      </c>
      <c r="F142" s="8">
        <f t="shared" si="72"/>
        <v>10.983057525610718</v>
      </c>
      <c r="G142" s="9">
        <v>3.76</v>
      </c>
      <c r="H142" s="10">
        <v>1.5433333333333332E-3</v>
      </c>
      <c r="I142" s="11">
        <f t="shared" si="73"/>
        <v>18.08401389864866</v>
      </c>
      <c r="J142" s="9">
        <v>4.5</v>
      </c>
      <c r="K142" s="9">
        <v>11.39</v>
      </c>
      <c r="L142" s="14">
        <f t="shared" si="67"/>
        <v>-0.18620165554096771</v>
      </c>
      <c r="M142" s="6"/>
      <c r="N142" s="2">
        <f t="shared" si="74"/>
        <v>-11.240803771661568</v>
      </c>
      <c r="O142">
        <f t="shared" si="68"/>
        <v>1.0370518385650225</v>
      </c>
      <c r="P142">
        <f t="shared" si="71"/>
        <v>18.115012289221294</v>
      </c>
      <c r="Q142">
        <f t="shared" si="69"/>
        <v>0.81233238965117904</v>
      </c>
      <c r="R142">
        <f t="shared" si="70"/>
        <v>9.2599999999999991E-3</v>
      </c>
    </row>
    <row r="143" spans="1:18" x14ac:dyDescent="0.3">
      <c r="A143">
        <v>0.6</v>
      </c>
      <c r="B143">
        <v>60</v>
      </c>
      <c r="C143">
        <v>1</v>
      </c>
      <c r="D143" s="1">
        <v>4.2</v>
      </c>
      <c r="E143" s="3">
        <v>30.456</v>
      </c>
      <c r="F143" s="8">
        <f>(D143*10^-3)/(E143*10^-4)</f>
        <v>1.3790386130811663</v>
      </c>
      <c r="G143" s="9">
        <v>5.64</v>
      </c>
      <c r="H143" s="10">
        <v>1.3789999999999998E-2</v>
      </c>
      <c r="I143" s="11">
        <f>(F143)/((9.81*G143*10^-2))^(1/2)</f>
        <v>1.8539685851815737</v>
      </c>
      <c r="J143" s="9">
        <v>3</v>
      </c>
      <c r="K143" s="9">
        <v>0</v>
      </c>
      <c r="L143" s="14">
        <f t="shared" si="67"/>
        <v>104.15868582880654</v>
      </c>
      <c r="M143" s="6"/>
      <c r="N143" s="2">
        <f>-(1.7*K143^2)/19.62</f>
        <v>0</v>
      </c>
      <c r="O143">
        <f t="shared" si="68"/>
        <v>0</v>
      </c>
      <c r="P143">
        <f t="shared" si="71"/>
        <v>0</v>
      </c>
      <c r="Q143">
        <f t="shared" si="69"/>
        <v>0</v>
      </c>
      <c r="R143">
        <f t="shared" si="70"/>
        <v>1.3789999999999998E-2</v>
      </c>
    </row>
    <row r="144" spans="1:18" x14ac:dyDescent="0.3">
      <c r="A144">
        <v>0.6</v>
      </c>
      <c r="B144">
        <v>60</v>
      </c>
      <c r="C144">
        <v>1</v>
      </c>
      <c r="D144" s="1">
        <v>8.4</v>
      </c>
      <c r="E144" s="3">
        <v>30.456</v>
      </c>
      <c r="F144" s="8">
        <f t="shared" ref="F144:F149" si="75">(D144*10^-3)/(E144*10^-4)</f>
        <v>2.7580772261623325</v>
      </c>
      <c r="G144" s="9">
        <v>5.64</v>
      </c>
      <c r="H144" s="10">
        <v>1.3789999999999998E-2</v>
      </c>
      <c r="I144" s="11">
        <f t="shared" ref="I144:I149" si="76">(F144)/((9.81*G144*10^-2))^(1/2)</f>
        <v>3.7079371703631474</v>
      </c>
      <c r="J144" s="9">
        <v>4.5</v>
      </c>
      <c r="K144" s="9">
        <v>0</v>
      </c>
      <c r="L144" s="14">
        <f t="shared" si="67"/>
        <v>26.039671457201635</v>
      </c>
      <c r="M144" s="6"/>
      <c r="N144" s="2">
        <f t="shared" ref="N144:N149" si="77">-(1.7*K144^2)/19.62</f>
        <v>0</v>
      </c>
      <c r="O144">
        <f t="shared" si="68"/>
        <v>0</v>
      </c>
      <c r="P144">
        <f t="shared" si="71"/>
        <v>0</v>
      </c>
      <c r="Q144">
        <f t="shared" si="69"/>
        <v>0</v>
      </c>
      <c r="R144">
        <f t="shared" si="70"/>
        <v>1.3789999999999998E-2</v>
      </c>
    </row>
    <row r="145" spans="1:18" x14ac:dyDescent="0.3">
      <c r="A145">
        <v>0.6</v>
      </c>
      <c r="B145">
        <v>60</v>
      </c>
      <c r="C145">
        <v>1</v>
      </c>
      <c r="D145" s="1">
        <v>12.6</v>
      </c>
      <c r="E145" s="3">
        <v>30.456</v>
      </c>
      <c r="F145" s="8">
        <f t="shared" si="75"/>
        <v>4.1371158392434983</v>
      </c>
      <c r="G145" s="9">
        <v>5.64</v>
      </c>
      <c r="H145" s="10">
        <v>1.3789999999999998E-2</v>
      </c>
      <c r="I145" s="11">
        <f t="shared" si="76"/>
        <v>5.5619057555447204</v>
      </c>
      <c r="J145" s="9">
        <v>4.5</v>
      </c>
      <c r="K145" s="9">
        <v>0.52</v>
      </c>
      <c r="L145" s="14">
        <f t="shared" si="67"/>
        <v>11.546330144444084</v>
      </c>
      <c r="M145" s="6"/>
      <c r="N145" s="2">
        <f t="shared" si="77"/>
        <v>-2.3429153924566768E-2</v>
      </c>
      <c r="O145">
        <f t="shared" si="68"/>
        <v>0.12569142857142859</v>
      </c>
      <c r="P145">
        <f t="shared" si="71"/>
        <v>0.827024266057513</v>
      </c>
      <c r="Q145">
        <f t="shared" si="69"/>
        <v>6.563684651250104E-2</v>
      </c>
      <c r="R145">
        <f t="shared" si="70"/>
        <v>1.3789999999999998E-2</v>
      </c>
    </row>
    <row r="146" spans="1:18" x14ac:dyDescent="0.3">
      <c r="A146">
        <v>0.6</v>
      </c>
      <c r="B146">
        <v>60</v>
      </c>
      <c r="C146">
        <v>1</v>
      </c>
      <c r="D146" s="1">
        <v>16.8</v>
      </c>
      <c r="E146" s="3">
        <v>30.456</v>
      </c>
      <c r="F146" s="8">
        <f t="shared" si="75"/>
        <v>5.5161544523246651</v>
      </c>
      <c r="G146" s="9">
        <v>5.64</v>
      </c>
      <c r="H146" s="10">
        <v>1.3789999999999998E-2</v>
      </c>
      <c r="I146" s="11">
        <f t="shared" si="76"/>
        <v>7.4158743407262948</v>
      </c>
      <c r="J146" s="9">
        <v>4.5</v>
      </c>
      <c r="K146" s="9">
        <v>3.03</v>
      </c>
      <c r="L146" s="14">
        <f t="shared" si="67"/>
        <v>5.9969840353548989</v>
      </c>
      <c r="M146" s="6"/>
      <c r="N146" s="2">
        <f t="shared" si="77"/>
        <v>-0.79549082568807328</v>
      </c>
      <c r="O146">
        <f t="shared" si="68"/>
        <v>0.54929571428571422</v>
      </c>
      <c r="P146">
        <f t="shared" si="71"/>
        <v>4.8190067810658928</v>
      </c>
      <c r="Q146">
        <f t="shared" si="69"/>
        <v>0.28684564173011268</v>
      </c>
      <c r="R146">
        <f t="shared" si="70"/>
        <v>1.3789999999999998E-2</v>
      </c>
    </row>
    <row r="147" spans="1:18" x14ac:dyDescent="0.3">
      <c r="A147">
        <v>0.6</v>
      </c>
      <c r="B147">
        <v>60</v>
      </c>
      <c r="C147">
        <v>1</v>
      </c>
      <c r="D147" s="1">
        <v>21</v>
      </c>
      <c r="E147" s="3">
        <v>30.456</v>
      </c>
      <c r="F147" s="8">
        <f t="shared" si="75"/>
        <v>6.8951930654058309</v>
      </c>
      <c r="G147" s="9">
        <v>5.64</v>
      </c>
      <c r="H147" s="10">
        <v>1.3789999999999998E-2</v>
      </c>
      <c r="I147" s="11">
        <f t="shared" si="76"/>
        <v>9.2698429259078683</v>
      </c>
      <c r="J147" s="9">
        <v>4.5</v>
      </c>
      <c r="K147" s="9">
        <v>6.4</v>
      </c>
      <c r="L147" s="14">
        <f t="shared" si="67"/>
        <v>2.7017576254526694</v>
      </c>
      <c r="M147" s="6"/>
      <c r="N147" s="2">
        <f t="shared" si="77"/>
        <v>-3.5490316004077473</v>
      </c>
      <c r="O147">
        <f t="shared" si="68"/>
        <v>0.92818285714285731</v>
      </c>
      <c r="P147">
        <f t="shared" si="71"/>
        <v>10.178760197630931</v>
      </c>
      <c r="Q147">
        <f t="shared" si="69"/>
        <v>0.48470286655385386</v>
      </c>
      <c r="R147">
        <f t="shared" si="70"/>
        <v>1.3789999999999998E-2</v>
      </c>
    </row>
    <row r="148" spans="1:18" x14ac:dyDescent="0.3">
      <c r="A148">
        <v>0.6</v>
      </c>
      <c r="B148">
        <v>60</v>
      </c>
      <c r="C148">
        <v>1</v>
      </c>
      <c r="D148" s="1">
        <v>25.2</v>
      </c>
      <c r="E148" s="3">
        <v>30.456</v>
      </c>
      <c r="F148" s="8">
        <f t="shared" si="75"/>
        <v>8.2742316784869967</v>
      </c>
      <c r="G148" s="9">
        <v>5.64</v>
      </c>
      <c r="H148" s="10">
        <v>1.3789999999999998E-2</v>
      </c>
      <c r="I148" s="11">
        <f t="shared" si="76"/>
        <v>11.123811511089441</v>
      </c>
      <c r="J148" s="9">
        <v>4.5</v>
      </c>
      <c r="K148" s="9">
        <v>9</v>
      </c>
      <c r="L148" s="14">
        <f t="shared" si="67"/>
        <v>0.88198880408816371</v>
      </c>
      <c r="M148" s="6"/>
      <c r="N148" s="2">
        <f t="shared" si="77"/>
        <v>-7.0183486238532105</v>
      </c>
      <c r="O148">
        <f t="shared" si="68"/>
        <v>1.0877142857142859</v>
      </c>
      <c r="P148">
        <f t="shared" si="71"/>
        <v>14.313881527918493</v>
      </c>
      <c r="Q148">
        <f t="shared" si="69"/>
        <v>0.56801117174279736</v>
      </c>
      <c r="R148">
        <f t="shared" si="70"/>
        <v>1.3789999999999998E-2</v>
      </c>
    </row>
    <row r="149" spans="1:18" x14ac:dyDescent="0.3">
      <c r="A149">
        <v>0.6</v>
      </c>
      <c r="B149">
        <v>60</v>
      </c>
      <c r="C149">
        <v>1</v>
      </c>
      <c r="D149" s="1">
        <v>29.5</v>
      </c>
      <c r="E149" s="3">
        <v>30.456</v>
      </c>
      <c r="F149" s="8">
        <f t="shared" si="75"/>
        <v>9.6861045442605729</v>
      </c>
      <c r="G149" s="9">
        <v>5.64</v>
      </c>
      <c r="H149" s="10">
        <v>1.3789999999999998E-2</v>
      </c>
      <c r="I149" s="11">
        <f t="shared" si="76"/>
        <v>13.021922205442007</v>
      </c>
      <c r="J149" s="9">
        <v>4.5</v>
      </c>
      <c r="K149" s="9">
        <v>12.79</v>
      </c>
      <c r="L149" s="14">
        <f t="shared" si="67"/>
        <v>-0.85279173107722117</v>
      </c>
      <c r="M149" s="6"/>
      <c r="N149" s="2">
        <f t="shared" si="77"/>
        <v>-14.17395361875637</v>
      </c>
      <c r="O149">
        <f t="shared" si="68"/>
        <v>1.3204482711864405</v>
      </c>
      <c r="P149">
        <f t="shared" si="71"/>
        <v>20.341616082453061</v>
      </c>
      <c r="Q149">
        <f t="shared" si="69"/>
        <v>0.68954630787976479</v>
      </c>
      <c r="R149">
        <f t="shared" si="70"/>
        <v>1.3789999999999998E-2</v>
      </c>
    </row>
    <row r="150" spans="1:18" x14ac:dyDescent="0.3">
      <c r="A150">
        <v>0.6</v>
      </c>
      <c r="B150">
        <v>60</v>
      </c>
      <c r="C150">
        <v>2</v>
      </c>
      <c r="D150" s="1">
        <v>4.2</v>
      </c>
      <c r="E150" s="3">
        <v>30.456</v>
      </c>
      <c r="F150" s="8">
        <f>(D150*10^-3)/(E150*10^-4)</f>
        <v>1.3790386130811663</v>
      </c>
      <c r="G150" s="9">
        <v>5.64</v>
      </c>
      <c r="H150" s="10">
        <v>6.8949999999999992E-3</v>
      </c>
      <c r="I150" s="11">
        <f>(F150)/((9.81*G150*10^-2))^(1/2)</f>
        <v>1.8539685851815737</v>
      </c>
      <c r="J150" s="9">
        <v>3</v>
      </c>
      <c r="K150" s="9">
        <v>0</v>
      </c>
      <c r="L150" s="14">
        <f t="shared" si="67"/>
        <v>104.15868582880654</v>
      </c>
      <c r="M150" s="6"/>
      <c r="N150" s="2">
        <f>-(1.7*K150^2)/19.62</f>
        <v>0</v>
      </c>
      <c r="O150">
        <f t="shared" si="68"/>
        <v>0</v>
      </c>
      <c r="P150">
        <f t="shared" si="71"/>
        <v>0</v>
      </c>
      <c r="Q150">
        <f t="shared" si="69"/>
        <v>0</v>
      </c>
      <c r="R150">
        <f t="shared" si="70"/>
        <v>1.3789999999999998E-2</v>
      </c>
    </row>
    <row r="151" spans="1:18" x14ac:dyDescent="0.3">
      <c r="A151">
        <v>0.6</v>
      </c>
      <c r="B151">
        <v>60</v>
      </c>
      <c r="C151">
        <v>2</v>
      </c>
      <c r="D151" s="1">
        <v>8.4</v>
      </c>
      <c r="E151" s="3">
        <v>30.456</v>
      </c>
      <c r="F151" s="8">
        <f t="shared" ref="F151:F156" si="78">(D151*10^-3)/(E151*10^-4)</f>
        <v>2.7580772261623325</v>
      </c>
      <c r="G151" s="9">
        <v>5.64</v>
      </c>
      <c r="H151" s="10">
        <v>6.8949999999999992E-3</v>
      </c>
      <c r="I151" s="11">
        <f t="shared" ref="I151:I156" si="79">(F151)/((9.81*G151*10^-2))^(1/2)</f>
        <v>3.7079371703631474</v>
      </c>
      <c r="J151" s="9">
        <v>4.5</v>
      </c>
      <c r="K151" s="9">
        <v>0</v>
      </c>
      <c r="L151" s="14">
        <f t="shared" si="67"/>
        <v>26.039671457201635</v>
      </c>
      <c r="M151" s="6"/>
      <c r="N151" s="2">
        <f t="shared" ref="N151:N156" si="80">-(1.7*K151^2)/19.62</f>
        <v>0</v>
      </c>
      <c r="O151">
        <f t="shared" si="68"/>
        <v>0</v>
      </c>
      <c r="P151">
        <f t="shared" si="71"/>
        <v>0</v>
      </c>
      <c r="Q151">
        <f t="shared" si="69"/>
        <v>0</v>
      </c>
      <c r="R151">
        <f t="shared" si="70"/>
        <v>1.3789999999999998E-2</v>
      </c>
    </row>
    <row r="152" spans="1:18" x14ac:dyDescent="0.3">
      <c r="A152">
        <v>0.6</v>
      </c>
      <c r="B152">
        <v>60</v>
      </c>
      <c r="C152">
        <v>2</v>
      </c>
      <c r="D152" s="1">
        <v>12.6</v>
      </c>
      <c r="E152" s="3">
        <v>30.456</v>
      </c>
      <c r="F152" s="8">
        <f t="shared" si="78"/>
        <v>4.1371158392434983</v>
      </c>
      <c r="G152" s="9">
        <v>5.64</v>
      </c>
      <c r="H152" s="10">
        <v>6.8949999999999992E-3</v>
      </c>
      <c r="I152" s="11">
        <f t="shared" si="79"/>
        <v>5.5619057555447204</v>
      </c>
      <c r="J152" s="9">
        <v>4.5</v>
      </c>
      <c r="K152" s="9">
        <v>2.44</v>
      </c>
      <c r="L152" s="14">
        <f t="shared" si="67"/>
        <v>10.981852822726534</v>
      </c>
      <c r="M152" s="6"/>
      <c r="N152" s="2">
        <f t="shared" si="80"/>
        <v>-0.51585728848114165</v>
      </c>
      <c r="O152">
        <f t="shared" si="68"/>
        <v>0.58978285714285716</v>
      </c>
      <c r="P152">
        <f t="shared" si="71"/>
        <v>3.8806523253467922</v>
      </c>
      <c r="Q152">
        <f t="shared" si="69"/>
        <v>0.30798827978942794</v>
      </c>
      <c r="R152">
        <f t="shared" si="70"/>
        <v>1.3789999999999998E-2</v>
      </c>
    </row>
    <row r="153" spans="1:18" x14ac:dyDescent="0.3">
      <c r="A153">
        <v>0.6</v>
      </c>
      <c r="B153">
        <v>60</v>
      </c>
      <c r="C153">
        <v>2</v>
      </c>
      <c r="D153" s="1">
        <v>16.8</v>
      </c>
      <c r="E153" s="3">
        <v>30.456</v>
      </c>
      <c r="F153" s="8">
        <f t="shared" si="78"/>
        <v>5.5161544523246651</v>
      </c>
      <c r="G153" s="9">
        <v>5.64</v>
      </c>
      <c r="H153" s="10">
        <v>6.8949999999999992E-3</v>
      </c>
      <c r="I153" s="11">
        <f t="shared" si="79"/>
        <v>7.4158743407262948</v>
      </c>
      <c r="J153" s="9">
        <v>4.5</v>
      </c>
      <c r="K153" s="9">
        <v>4.8899999999999997</v>
      </c>
      <c r="L153" s="14">
        <f t="shared" si="67"/>
        <v>5.1739567917336746</v>
      </c>
      <c r="M153" s="6"/>
      <c r="N153" s="2">
        <f t="shared" si="80"/>
        <v>-2.0718944954128431</v>
      </c>
      <c r="O153">
        <f t="shared" si="68"/>
        <v>0.88648714285714281</v>
      </c>
      <c r="P153">
        <f t="shared" si="71"/>
        <v>7.7772089635023818</v>
      </c>
      <c r="Q153">
        <f t="shared" si="69"/>
        <v>0.46292910497037987</v>
      </c>
      <c r="R153">
        <f t="shared" si="70"/>
        <v>1.3789999999999998E-2</v>
      </c>
    </row>
    <row r="154" spans="1:18" x14ac:dyDescent="0.3">
      <c r="A154">
        <v>0.6</v>
      </c>
      <c r="B154">
        <v>60</v>
      </c>
      <c r="C154">
        <v>2</v>
      </c>
      <c r="D154" s="1">
        <v>21</v>
      </c>
      <c r="E154" s="3">
        <v>30.456</v>
      </c>
      <c r="F154" s="8">
        <f t="shared" si="78"/>
        <v>6.8951930654058309</v>
      </c>
      <c r="G154" s="9">
        <v>5.64</v>
      </c>
      <c r="H154" s="10">
        <v>6.8949999999999992E-3</v>
      </c>
      <c r="I154" s="11">
        <f t="shared" si="79"/>
        <v>9.2698429259078683</v>
      </c>
      <c r="J154" s="9">
        <v>4.5</v>
      </c>
      <c r="K154" s="9">
        <v>9.18</v>
      </c>
      <c r="L154" s="14">
        <f t="shared" si="67"/>
        <v>1.1530540222542378</v>
      </c>
      <c r="M154" s="6"/>
      <c r="N154" s="2">
        <f t="shared" si="80"/>
        <v>-7.3018899082568787</v>
      </c>
      <c r="O154">
        <f t="shared" si="68"/>
        <v>1.3313622857142857</v>
      </c>
      <c r="P154">
        <f t="shared" si="71"/>
        <v>14.600159158476865</v>
      </c>
      <c r="Q154">
        <f t="shared" si="69"/>
        <v>0.69524567421318406</v>
      </c>
      <c r="R154">
        <f t="shared" si="70"/>
        <v>1.3789999999999998E-2</v>
      </c>
    </row>
    <row r="155" spans="1:18" x14ac:dyDescent="0.3">
      <c r="A155">
        <v>0.6</v>
      </c>
      <c r="B155">
        <v>60</v>
      </c>
      <c r="C155">
        <v>2</v>
      </c>
      <c r="D155" s="1">
        <v>25.2</v>
      </c>
      <c r="E155" s="3">
        <v>30.456</v>
      </c>
      <c r="F155" s="8">
        <f t="shared" si="78"/>
        <v>8.2742316784869967</v>
      </c>
      <c r="G155" s="9">
        <v>5.64</v>
      </c>
      <c r="H155" s="10">
        <v>6.8949999999999992E-3</v>
      </c>
      <c r="I155" s="11">
        <f t="shared" si="79"/>
        <v>11.123811511089441</v>
      </c>
      <c r="J155" s="9">
        <v>4.5</v>
      </c>
      <c r="K155" s="9">
        <v>11.12</v>
      </c>
      <c r="L155" s="14">
        <f t="shared" si="67"/>
        <v>-0.17716103541550965</v>
      </c>
      <c r="M155" s="6"/>
      <c r="N155" s="2">
        <f t="shared" si="80"/>
        <v>-10.714193679918449</v>
      </c>
      <c r="O155">
        <f t="shared" si="68"/>
        <v>1.3439314285714286</v>
      </c>
      <c r="P155">
        <f t="shared" si="71"/>
        <v>17.685595843383737</v>
      </c>
      <c r="Q155">
        <f t="shared" si="69"/>
        <v>0.70180935886443407</v>
      </c>
      <c r="R155">
        <f t="shared" si="70"/>
        <v>1.3789999999999998E-2</v>
      </c>
    </row>
    <row r="156" spans="1:18" x14ac:dyDescent="0.3">
      <c r="A156">
        <v>0.6</v>
      </c>
      <c r="B156">
        <v>60</v>
      </c>
      <c r="C156">
        <v>2</v>
      </c>
      <c r="D156" s="1">
        <v>29.5</v>
      </c>
      <c r="E156" s="3">
        <v>30.456</v>
      </c>
      <c r="F156" s="8">
        <f t="shared" si="78"/>
        <v>9.6861045442605729</v>
      </c>
      <c r="G156" s="9">
        <v>5.64</v>
      </c>
      <c r="H156" s="10">
        <v>6.8949999999999992E-3</v>
      </c>
      <c r="I156" s="11">
        <f t="shared" si="79"/>
        <v>13.021922205442007</v>
      </c>
      <c r="J156" s="9">
        <v>4.5</v>
      </c>
      <c r="K156" s="9">
        <v>14.27</v>
      </c>
      <c r="L156" s="14">
        <f t="shared" si="67"/>
        <v>-1.5784633275606514</v>
      </c>
      <c r="M156" s="6"/>
      <c r="N156" s="2">
        <f t="shared" si="80"/>
        <v>-17.644033129459732</v>
      </c>
      <c r="O156">
        <f t="shared" si="68"/>
        <v>1.4732444745762712</v>
      </c>
      <c r="P156">
        <f t="shared" si="71"/>
        <v>22.695454378155212</v>
      </c>
      <c r="Q156">
        <f t="shared" si="69"/>
        <v>0.76933743654763431</v>
      </c>
      <c r="R156">
        <f t="shared" si="70"/>
        <v>1.3789999999999998E-2</v>
      </c>
    </row>
    <row r="157" spans="1:18" x14ac:dyDescent="0.3">
      <c r="A157">
        <v>0.6</v>
      </c>
      <c r="B157">
        <v>60</v>
      </c>
      <c r="C157">
        <v>4</v>
      </c>
      <c r="D157" s="1">
        <v>4.2</v>
      </c>
      <c r="E157" s="3">
        <v>30.456</v>
      </c>
      <c r="F157" s="8">
        <f>(D157*10^-3)/(E157*10^-4)</f>
        <v>1.3790386130811663</v>
      </c>
      <c r="G157" s="9">
        <v>5.64</v>
      </c>
      <c r="H157" s="10">
        <v>3.4474999999999996E-3</v>
      </c>
      <c r="I157" s="11">
        <f>(F157)/((9.81*G157*10^-2))^(1/2)</f>
        <v>1.8539685851815737</v>
      </c>
      <c r="J157" s="9">
        <v>3</v>
      </c>
      <c r="K157" s="9">
        <v>0</v>
      </c>
      <c r="L157" s="14">
        <f t="shared" si="67"/>
        <v>104.15868582880654</v>
      </c>
      <c r="M157" s="6"/>
      <c r="N157" s="2">
        <f>-(1.7*K157^2)/19.62</f>
        <v>0</v>
      </c>
      <c r="O157">
        <f t="shared" si="68"/>
        <v>0</v>
      </c>
      <c r="P157">
        <f t="shared" si="71"/>
        <v>0</v>
      </c>
      <c r="Q157">
        <f t="shared" si="69"/>
        <v>0</v>
      </c>
      <c r="R157">
        <f t="shared" si="70"/>
        <v>1.3789999999999998E-2</v>
      </c>
    </row>
    <row r="158" spans="1:18" x14ac:dyDescent="0.3">
      <c r="A158">
        <v>0.6</v>
      </c>
      <c r="B158">
        <v>60</v>
      </c>
      <c r="C158">
        <v>4</v>
      </c>
      <c r="D158" s="1">
        <v>8.4</v>
      </c>
      <c r="E158" s="3">
        <v>30.456</v>
      </c>
      <c r="F158" s="8">
        <f t="shared" ref="F158:F163" si="81">(D158*10^-3)/(E158*10^-4)</f>
        <v>2.7580772261623325</v>
      </c>
      <c r="G158" s="9">
        <v>5.64</v>
      </c>
      <c r="H158" s="10">
        <v>3.4474999999999996E-3</v>
      </c>
      <c r="I158" s="11">
        <f t="shared" ref="I158:I163" si="82">(F158)/((9.81*G158*10^-2))^(1/2)</f>
        <v>3.7079371703631474</v>
      </c>
      <c r="J158" s="9">
        <v>3</v>
      </c>
      <c r="K158" s="9">
        <v>0</v>
      </c>
      <c r="L158" s="14">
        <f t="shared" si="67"/>
        <v>26.039671457201635</v>
      </c>
      <c r="M158" s="6"/>
      <c r="N158" s="2">
        <f t="shared" ref="N158:N163" si="83">-(1.7*K158^2)/19.62</f>
        <v>0</v>
      </c>
      <c r="O158">
        <f t="shared" si="68"/>
        <v>0</v>
      </c>
      <c r="P158">
        <f t="shared" si="71"/>
        <v>0</v>
      </c>
      <c r="Q158">
        <f t="shared" si="69"/>
        <v>0</v>
      </c>
      <c r="R158">
        <f t="shared" si="70"/>
        <v>1.3789999999999998E-2</v>
      </c>
    </row>
    <row r="159" spans="1:18" x14ac:dyDescent="0.3">
      <c r="A159">
        <v>0.6</v>
      </c>
      <c r="B159">
        <v>60</v>
      </c>
      <c r="C159">
        <v>4</v>
      </c>
      <c r="D159" s="1">
        <v>12.6</v>
      </c>
      <c r="E159" s="3">
        <v>30.456</v>
      </c>
      <c r="F159" s="8">
        <f t="shared" si="81"/>
        <v>4.1371158392434983</v>
      </c>
      <c r="G159" s="9">
        <v>5.64</v>
      </c>
      <c r="H159" s="10">
        <v>3.4474999999999996E-3</v>
      </c>
      <c r="I159" s="11">
        <f t="shared" si="82"/>
        <v>5.5619057555447204</v>
      </c>
      <c r="J159" s="9">
        <v>4.5</v>
      </c>
      <c r="K159" s="9">
        <v>1.56</v>
      </c>
      <c r="L159" s="14">
        <f t="shared" si="67"/>
        <v>11.331472785502044</v>
      </c>
      <c r="M159" s="6"/>
      <c r="N159" s="2">
        <f t="shared" si="83"/>
        <v>-0.21086238532110094</v>
      </c>
      <c r="O159">
        <f t="shared" si="68"/>
        <v>0.37707428571428575</v>
      </c>
      <c r="P159">
        <f t="shared" si="71"/>
        <v>2.4810727981725389</v>
      </c>
      <c r="Q159">
        <f t="shared" si="69"/>
        <v>0.19691053953750309</v>
      </c>
      <c r="R159">
        <f t="shared" si="70"/>
        <v>1.3789999999999998E-2</v>
      </c>
    </row>
    <row r="160" spans="1:18" x14ac:dyDescent="0.3">
      <c r="A160">
        <v>0.6</v>
      </c>
      <c r="B160">
        <v>60</v>
      </c>
      <c r="C160">
        <v>4</v>
      </c>
      <c r="D160" s="1">
        <v>16.8</v>
      </c>
      <c r="E160" s="3">
        <v>30.456</v>
      </c>
      <c r="F160" s="8">
        <f t="shared" si="81"/>
        <v>5.5161544523246651</v>
      </c>
      <c r="G160" s="9">
        <v>5.64</v>
      </c>
      <c r="H160" s="10">
        <v>3.4474999999999996E-3</v>
      </c>
      <c r="I160" s="11">
        <f t="shared" si="82"/>
        <v>7.4158743407262948</v>
      </c>
      <c r="J160" s="9">
        <v>4.5</v>
      </c>
      <c r="K160" s="9">
        <v>4.49</v>
      </c>
      <c r="L160" s="14">
        <f t="shared" si="67"/>
        <v>5.3835797836193882</v>
      </c>
      <c r="M160" s="6"/>
      <c r="N160" s="2">
        <f t="shared" si="83"/>
        <v>-1.7467976554536189</v>
      </c>
      <c r="O160">
        <f t="shared" si="68"/>
        <v>0.81397285714285716</v>
      </c>
      <c r="P160">
        <f t="shared" si="71"/>
        <v>7.14103645115045</v>
      </c>
      <c r="Q160">
        <f t="shared" si="69"/>
        <v>0.4250616935208601</v>
      </c>
      <c r="R160">
        <f t="shared" si="70"/>
        <v>1.3789999999999998E-2</v>
      </c>
    </row>
    <row r="161" spans="1:18" x14ac:dyDescent="0.3">
      <c r="A161">
        <v>0.6</v>
      </c>
      <c r="B161">
        <v>60</v>
      </c>
      <c r="C161">
        <v>4</v>
      </c>
      <c r="D161" s="1">
        <v>21</v>
      </c>
      <c r="E161" s="3">
        <v>30.456</v>
      </c>
      <c r="F161" s="8">
        <f t="shared" si="81"/>
        <v>6.8951930654058309</v>
      </c>
      <c r="G161" s="9">
        <v>5.64</v>
      </c>
      <c r="H161" s="10">
        <v>3.4474999999999996E-3</v>
      </c>
      <c r="I161" s="11">
        <f t="shared" si="82"/>
        <v>9.2698429259078683</v>
      </c>
      <c r="J161" s="9">
        <v>4.5</v>
      </c>
      <c r="K161" s="9">
        <v>6.73</v>
      </c>
      <c r="L161" s="14">
        <f t="shared" si="67"/>
        <v>2.5468279091982371</v>
      </c>
      <c r="M161" s="6"/>
      <c r="N161" s="2">
        <f t="shared" si="83"/>
        <v>-3.9244612640163097</v>
      </c>
      <c r="O161">
        <f t="shared" si="68"/>
        <v>0.97604228571428586</v>
      </c>
      <c r="P161">
        <f t="shared" si="71"/>
        <v>10.703602520321276</v>
      </c>
      <c r="Q161">
        <f t="shared" si="69"/>
        <v>0.5096953581105369</v>
      </c>
      <c r="R161">
        <f t="shared" si="70"/>
        <v>1.3789999999999998E-2</v>
      </c>
    </row>
    <row r="162" spans="1:18" x14ac:dyDescent="0.3">
      <c r="A162">
        <v>0.6</v>
      </c>
      <c r="B162">
        <v>60</v>
      </c>
      <c r="C162">
        <v>4</v>
      </c>
      <c r="D162" s="1">
        <v>25.2</v>
      </c>
      <c r="E162" s="3">
        <v>30.456</v>
      </c>
      <c r="F162" s="8">
        <f t="shared" si="81"/>
        <v>8.2742316784869967</v>
      </c>
      <c r="G162" s="9">
        <v>5.64</v>
      </c>
      <c r="H162" s="10">
        <v>3.4474999999999996E-3</v>
      </c>
      <c r="I162" s="11">
        <f t="shared" si="82"/>
        <v>11.123811511089441</v>
      </c>
      <c r="J162" s="9">
        <v>4.5</v>
      </c>
      <c r="K162" s="9">
        <v>7.18</v>
      </c>
      <c r="L162" s="14">
        <f t="shared" si="67"/>
        <v>1.6132010779395924</v>
      </c>
      <c r="M162" s="6"/>
      <c r="N162" s="2">
        <f t="shared" si="83"/>
        <v>-4.4668236493374103</v>
      </c>
      <c r="O162">
        <f t="shared" si="68"/>
        <v>0.86775428571428581</v>
      </c>
      <c r="P162">
        <f t="shared" si="71"/>
        <v>11.419296596717199</v>
      </c>
      <c r="Q162">
        <f t="shared" si="69"/>
        <v>0.45314669034592064</v>
      </c>
      <c r="R162">
        <f t="shared" si="70"/>
        <v>1.3789999999999998E-2</v>
      </c>
    </row>
    <row r="163" spans="1:18" x14ac:dyDescent="0.3">
      <c r="A163">
        <v>0.6</v>
      </c>
      <c r="B163">
        <v>60</v>
      </c>
      <c r="C163">
        <v>4</v>
      </c>
      <c r="D163" s="1">
        <v>29.5</v>
      </c>
      <c r="E163" s="3">
        <v>30.456</v>
      </c>
      <c r="F163" s="8">
        <f t="shared" si="81"/>
        <v>9.6861045442605729</v>
      </c>
      <c r="G163" s="9">
        <v>5.64</v>
      </c>
      <c r="H163" s="10">
        <v>3.4474999999999996E-3</v>
      </c>
      <c r="I163" s="11">
        <f t="shared" si="82"/>
        <v>13.021922205442007</v>
      </c>
      <c r="J163" s="9">
        <v>4.5</v>
      </c>
      <c r="K163" s="9">
        <v>8.82</v>
      </c>
      <c r="L163" s="14">
        <f t="shared" si="67"/>
        <v>0.70172675397170747</v>
      </c>
      <c r="M163" s="6"/>
      <c r="N163" s="2">
        <f t="shared" si="83"/>
        <v>-6.7404220183486236</v>
      </c>
      <c r="O163">
        <f t="shared" si="68"/>
        <v>0.91058277966101697</v>
      </c>
      <c r="P163">
        <f t="shared" si="71"/>
        <v>14.027603897360127</v>
      </c>
      <c r="Q163">
        <f t="shared" si="69"/>
        <v>0.47551199652068227</v>
      </c>
      <c r="R163">
        <f t="shared" si="70"/>
        <v>1.3789999999999998E-2</v>
      </c>
    </row>
    <row r="164" spans="1:18" x14ac:dyDescent="0.3">
      <c r="A164">
        <v>0.6</v>
      </c>
      <c r="B164">
        <v>60</v>
      </c>
      <c r="C164">
        <v>6</v>
      </c>
      <c r="D164" s="1">
        <v>4.2</v>
      </c>
      <c r="E164" s="3">
        <v>30.456</v>
      </c>
      <c r="F164" s="8">
        <f>(D164*10^-3)/(E164*10^-4)</f>
        <v>1.3790386130811663</v>
      </c>
      <c r="G164" s="9">
        <v>5.64</v>
      </c>
      <c r="H164" s="10">
        <v>2.2983333333333332E-3</v>
      </c>
      <c r="I164" s="11">
        <f>(F164)/((9.81*G164*10^-2))^(1/2)</f>
        <v>1.8539685851815737</v>
      </c>
      <c r="J164" s="9">
        <v>3</v>
      </c>
      <c r="K164" s="9">
        <v>0</v>
      </c>
      <c r="L164" s="14">
        <f t="shared" si="67"/>
        <v>104.15868582880654</v>
      </c>
      <c r="M164" s="6"/>
      <c r="N164" s="2">
        <f>-(1.7*K164^2)/19.62</f>
        <v>0</v>
      </c>
      <c r="O164">
        <f t="shared" si="68"/>
        <v>0</v>
      </c>
      <c r="P164">
        <f t="shared" si="71"/>
        <v>0</v>
      </c>
      <c r="Q164">
        <f t="shared" si="69"/>
        <v>0</v>
      </c>
      <c r="R164">
        <f t="shared" si="70"/>
        <v>1.379E-2</v>
      </c>
    </row>
    <row r="165" spans="1:18" x14ac:dyDescent="0.3">
      <c r="A165">
        <v>0.6</v>
      </c>
      <c r="B165">
        <v>60</v>
      </c>
      <c r="C165">
        <v>6</v>
      </c>
      <c r="D165" s="1">
        <v>8.4</v>
      </c>
      <c r="E165" s="3">
        <v>30.456</v>
      </c>
      <c r="F165" s="8">
        <f t="shared" ref="F165:F228" si="84">(D165*10^-3)/(E165*10^-4)</f>
        <v>2.7580772261623325</v>
      </c>
      <c r="G165" s="9">
        <v>5.64</v>
      </c>
      <c r="H165" s="10">
        <v>2.2983333333333332E-3</v>
      </c>
      <c r="I165" s="11">
        <f t="shared" ref="I165:I228" si="85">(F165)/((9.81*G165*10^-2))^(1/2)</f>
        <v>3.7079371703631474</v>
      </c>
      <c r="J165" s="9">
        <v>3</v>
      </c>
      <c r="K165" s="9">
        <v>0</v>
      </c>
      <c r="L165" s="14">
        <f t="shared" si="67"/>
        <v>26.039671457201635</v>
      </c>
      <c r="M165" s="6"/>
      <c r="N165" s="2">
        <f t="shared" ref="N165:N170" si="86">-(1.7*K165^2)/19.62</f>
        <v>0</v>
      </c>
      <c r="O165">
        <f t="shared" si="68"/>
        <v>0</v>
      </c>
      <c r="P165">
        <f t="shared" si="71"/>
        <v>0</v>
      </c>
      <c r="Q165">
        <f t="shared" si="69"/>
        <v>0</v>
      </c>
      <c r="R165">
        <f t="shared" si="70"/>
        <v>1.379E-2</v>
      </c>
    </row>
    <row r="166" spans="1:18" x14ac:dyDescent="0.3">
      <c r="A166">
        <v>0.6</v>
      </c>
      <c r="B166">
        <v>60</v>
      </c>
      <c r="C166">
        <v>6</v>
      </c>
      <c r="D166" s="1">
        <v>12.6</v>
      </c>
      <c r="E166" s="3">
        <v>30.456</v>
      </c>
      <c r="F166" s="8">
        <f t="shared" si="84"/>
        <v>4.1371158392434983</v>
      </c>
      <c r="G166" s="9">
        <v>5.64</v>
      </c>
      <c r="H166" s="10">
        <v>2.2983333333333332E-3</v>
      </c>
      <c r="I166" s="11">
        <f t="shared" si="85"/>
        <v>5.5619057555447204</v>
      </c>
      <c r="J166" s="9">
        <v>1.5</v>
      </c>
      <c r="K166" s="9">
        <v>0</v>
      </c>
      <c r="L166" s="14">
        <f t="shared" si="67"/>
        <v>11.57318731431184</v>
      </c>
      <c r="M166" s="6"/>
      <c r="N166" s="2">
        <f t="shared" si="86"/>
        <v>0</v>
      </c>
      <c r="O166">
        <f t="shared" si="68"/>
        <v>0</v>
      </c>
      <c r="P166">
        <f t="shared" si="71"/>
        <v>0</v>
      </c>
      <c r="Q166">
        <f t="shared" si="69"/>
        <v>0</v>
      </c>
      <c r="R166">
        <f t="shared" si="70"/>
        <v>1.379E-2</v>
      </c>
    </row>
    <row r="167" spans="1:18" x14ac:dyDescent="0.3">
      <c r="A167">
        <v>0.6</v>
      </c>
      <c r="B167">
        <v>60</v>
      </c>
      <c r="C167">
        <v>6</v>
      </c>
      <c r="D167" s="1">
        <v>16.8</v>
      </c>
      <c r="E167" s="3">
        <v>30.456</v>
      </c>
      <c r="F167" s="8">
        <f t="shared" si="84"/>
        <v>5.5161544523246651</v>
      </c>
      <c r="G167" s="9">
        <v>5.64</v>
      </c>
      <c r="H167" s="10">
        <v>2.2983333333333332E-3</v>
      </c>
      <c r="I167" s="11">
        <f t="shared" si="85"/>
        <v>7.4158743407262948</v>
      </c>
      <c r="J167" s="9">
        <v>3</v>
      </c>
      <c r="K167" s="9">
        <v>0</v>
      </c>
      <c r="L167" s="14">
        <f t="shared" si="67"/>
        <v>6.5099178643004088</v>
      </c>
      <c r="M167" s="6"/>
      <c r="N167" s="2">
        <f t="shared" si="86"/>
        <v>0</v>
      </c>
      <c r="O167">
        <f t="shared" si="68"/>
        <v>0</v>
      </c>
      <c r="P167">
        <f t="shared" si="71"/>
        <v>0</v>
      </c>
      <c r="Q167">
        <f t="shared" si="69"/>
        <v>0</v>
      </c>
      <c r="R167">
        <f t="shared" si="70"/>
        <v>1.379E-2</v>
      </c>
    </row>
    <row r="168" spans="1:18" x14ac:dyDescent="0.3">
      <c r="A168">
        <v>0.6</v>
      </c>
      <c r="B168">
        <v>60</v>
      </c>
      <c r="C168">
        <v>6</v>
      </c>
      <c r="D168" s="1">
        <v>21</v>
      </c>
      <c r="E168" s="3">
        <v>30.456</v>
      </c>
      <c r="F168" s="8">
        <f t="shared" si="84"/>
        <v>6.8951930654058309</v>
      </c>
      <c r="G168" s="9">
        <v>5.64</v>
      </c>
      <c r="H168" s="10">
        <v>2.2983333333333332E-3</v>
      </c>
      <c r="I168" s="11">
        <f t="shared" si="85"/>
        <v>9.2698429259078683</v>
      </c>
      <c r="J168" s="9">
        <v>3</v>
      </c>
      <c r="K168" s="9">
        <v>0.75</v>
      </c>
      <c r="L168" s="14">
        <f t="shared" si="67"/>
        <v>4.1462343529073635</v>
      </c>
      <c r="M168" s="6"/>
      <c r="N168" s="2">
        <f t="shared" si="86"/>
        <v>-4.8738532110091735E-2</v>
      </c>
      <c r="O168">
        <f t="shared" si="68"/>
        <v>0.10877142857142857</v>
      </c>
      <c r="P168">
        <f t="shared" si="71"/>
        <v>0.53014376029327759</v>
      </c>
      <c r="Q168">
        <f t="shared" si="69"/>
        <v>2.5244940966346552E-2</v>
      </c>
      <c r="R168">
        <f t="shared" si="70"/>
        <v>1.379E-2</v>
      </c>
    </row>
    <row r="169" spans="1:18" x14ac:dyDescent="0.3">
      <c r="A169">
        <v>0.6</v>
      </c>
      <c r="B169">
        <v>60</v>
      </c>
      <c r="C169">
        <v>6</v>
      </c>
      <c r="D169" s="1">
        <v>25.2</v>
      </c>
      <c r="E169" s="3">
        <v>30.456</v>
      </c>
      <c r="F169" s="8">
        <f t="shared" si="84"/>
        <v>8.2742316784869967</v>
      </c>
      <c r="G169" s="9">
        <v>5.64</v>
      </c>
      <c r="H169" s="10">
        <v>2.2983333333333332E-3</v>
      </c>
      <c r="I169" s="11">
        <f t="shared" si="85"/>
        <v>11.123811511089441</v>
      </c>
      <c r="J169" s="9">
        <v>4.5</v>
      </c>
      <c r="K169" s="9">
        <v>1.06</v>
      </c>
      <c r="L169" s="14">
        <f t="shared" si="67"/>
        <v>2.8653967582530617</v>
      </c>
      <c r="M169" s="6"/>
      <c r="N169" s="2">
        <f t="shared" si="86"/>
        <v>-9.7355759429153935E-2</v>
      </c>
      <c r="O169">
        <f t="shared" si="68"/>
        <v>0.12810857142857146</v>
      </c>
      <c r="P169">
        <f t="shared" si="71"/>
        <v>1.6858571577326227</v>
      </c>
      <c r="Q169">
        <f t="shared" si="69"/>
        <v>6.6899093560818357E-2</v>
      </c>
      <c r="R169">
        <f t="shared" si="70"/>
        <v>1.379E-2</v>
      </c>
    </row>
    <row r="170" spans="1:18" x14ac:dyDescent="0.3">
      <c r="A170">
        <v>0.6</v>
      </c>
      <c r="B170">
        <v>60</v>
      </c>
      <c r="C170">
        <v>6</v>
      </c>
      <c r="D170" s="1">
        <v>29.5</v>
      </c>
      <c r="E170" s="3">
        <v>30.456</v>
      </c>
      <c r="F170" s="8">
        <f t="shared" si="84"/>
        <v>9.6861045442605729</v>
      </c>
      <c r="G170" s="9">
        <v>5.64</v>
      </c>
      <c r="H170" s="10">
        <v>2.2983333333333332E-3</v>
      </c>
      <c r="I170" s="11">
        <f t="shared" si="85"/>
        <v>13.021922205442007</v>
      </c>
      <c r="J170" s="9">
        <v>4.5</v>
      </c>
      <c r="K170" s="9">
        <v>1.64</v>
      </c>
      <c r="L170" s="14">
        <f t="shared" si="67"/>
        <v>2.0625657498061845</v>
      </c>
      <c r="M170" s="6"/>
      <c r="N170" s="2">
        <f t="shared" si="86"/>
        <v>-0.23304383282364929</v>
      </c>
      <c r="O170">
        <f t="shared" si="68"/>
        <v>0.16931471186440678</v>
      </c>
      <c r="P170">
        <f t="shared" si="71"/>
        <v>2.6083073006429252</v>
      </c>
      <c r="Q170">
        <f t="shared" si="69"/>
        <v>8.8417196631963568E-2</v>
      </c>
      <c r="R170">
        <f t="shared" si="70"/>
        <v>1.379E-2</v>
      </c>
    </row>
    <row r="171" spans="1:18" x14ac:dyDescent="0.3">
      <c r="A171">
        <f>100/60</f>
        <v>1.6666666666666667</v>
      </c>
      <c r="B171">
        <v>10</v>
      </c>
      <c r="C171">
        <v>1</v>
      </c>
      <c r="D171" s="1">
        <v>0.95</v>
      </c>
      <c r="E171" s="3">
        <v>5.0759999999999996</v>
      </c>
      <c r="F171" s="8">
        <f t="shared" si="84"/>
        <v>1.8715524034672972</v>
      </c>
      <c r="G171" s="11">
        <v>0.54</v>
      </c>
      <c r="H171" s="15">
        <v>2.5500000000000002E-3</v>
      </c>
      <c r="I171" s="11">
        <f t="shared" si="85"/>
        <v>8.131498912699044</v>
      </c>
      <c r="J171" s="16">
        <v>4.5</v>
      </c>
      <c r="K171" s="9">
        <v>0</v>
      </c>
      <c r="L171" s="14">
        <f t="shared" si="67"/>
        <v>56.551530256083318</v>
      </c>
      <c r="M171" s="6"/>
      <c r="N171" s="2">
        <f>-(1.7*K171^2)/19.62</f>
        <v>0</v>
      </c>
      <c r="O171">
        <f t="shared" si="68"/>
        <v>0</v>
      </c>
      <c r="P171">
        <f t="shared" si="71"/>
        <v>0</v>
      </c>
      <c r="Q171">
        <f t="shared" si="69"/>
        <v>0</v>
      </c>
      <c r="R171">
        <f t="shared" si="70"/>
        <v>2.5500000000000002E-3</v>
      </c>
    </row>
    <row r="172" spans="1:18" x14ac:dyDescent="0.3">
      <c r="A172">
        <f t="shared" ref="A172:A235" si="87">100/60</f>
        <v>1.6666666666666667</v>
      </c>
      <c r="B172">
        <v>10</v>
      </c>
      <c r="C172">
        <v>1</v>
      </c>
      <c r="D172" s="1">
        <v>1.9</v>
      </c>
      <c r="E172" s="3">
        <v>5.0759999999999996</v>
      </c>
      <c r="F172" s="8">
        <f t="shared" si="84"/>
        <v>3.7431048069345945</v>
      </c>
      <c r="G172" s="11">
        <v>0.54</v>
      </c>
      <c r="H172" s="15">
        <v>2.5500000000000002E-3</v>
      </c>
      <c r="I172" s="11">
        <f t="shared" si="85"/>
        <v>16.262997825398088</v>
      </c>
      <c r="J172" s="16">
        <v>4.5</v>
      </c>
      <c r="K172" s="9">
        <v>0.6</v>
      </c>
      <c r="L172" s="14">
        <f t="shared" si="67"/>
        <v>14.094202079500052</v>
      </c>
      <c r="M172" s="6"/>
      <c r="N172" s="2">
        <f t="shared" ref="N172:N177" si="88">-(1.7*K172^2)/19.62</f>
        <v>-3.1192660550458714E-2</v>
      </c>
      <c r="O172">
        <f t="shared" si="68"/>
        <v>0.16029473684210524</v>
      </c>
      <c r="P172">
        <f t="shared" si="71"/>
        <v>0.9542587685278997</v>
      </c>
      <c r="Q172">
        <f t="shared" si="69"/>
        <v>0.50224145711994728</v>
      </c>
      <c r="R172">
        <f t="shared" si="70"/>
        <v>2.5500000000000002E-3</v>
      </c>
    </row>
    <row r="173" spans="1:18" x14ac:dyDescent="0.3">
      <c r="A173">
        <f t="shared" si="87"/>
        <v>1.6666666666666667</v>
      </c>
      <c r="B173">
        <v>10</v>
      </c>
      <c r="C173">
        <v>1</v>
      </c>
      <c r="D173" s="1">
        <v>2.85</v>
      </c>
      <c r="E173" s="3">
        <v>5.0759999999999996</v>
      </c>
      <c r="F173" s="8">
        <f t="shared" si="84"/>
        <v>5.6146572104018917</v>
      </c>
      <c r="G173" s="11">
        <v>0.54</v>
      </c>
      <c r="H173" s="15">
        <v>2.5500000000000002E-3</v>
      </c>
      <c r="I173" s="11">
        <f t="shared" si="85"/>
        <v>24.394496738097136</v>
      </c>
      <c r="J173" s="16">
        <v>4.5</v>
      </c>
      <c r="K173" s="9">
        <v>2.11</v>
      </c>
      <c r="L173" s="14">
        <f t="shared" si="67"/>
        <v>6.0434170838426597</v>
      </c>
      <c r="M173" s="6"/>
      <c r="N173" s="2">
        <f t="shared" si="88"/>
        <v>-0.38575790010193672</v>
      </c>
      <c r="O173">
        <f t="shared" si="68"/>
        <v>0.37580210526315783</v>
      </c>
      <c r="P173">
        <f t="shared" si="71"/>
        <v>3.3558100026564466</v>
      </c>
      <c r="Q173">
        <f t="shared" si="69"/>
        <v>1.1774771939145425</v>
      </c>
      <c r="R173">
        <f t="shared" si="70"/>
        <v>2.5500000000000002E-3</v>
      </c>
    </row>
    <row r="174" spans="1:18" x14ac:dyDescent="0.3">
      <c r="A174">
        <f t="shared" si="87"/>
        <v>1.6666666666666667</v>
      </c>
      <c r="B174">
        <v>10</v>
      </c>
      <c r="C174">
        <v>1</v>
      </c>
      <c r="D174" s="1">
        <v>3.8</v>
      </c>
      <c r="E174" s="3">
        <v>5.0759999999999996</v>
      </c>
      <c r="F174" s="8">
        <f t="shared" si="84"/>
        <v>7.4862096138691889</v>
      </c>
      <c r="G174" s="11">
        <v>0.54</v>
      </c>
      <c r="H174" s="15">
        <v>2.5500000000000002E-3</v>
      </c>
      <c r="I174" s="11">
        <f t="shared" si="85"/>
        <v>32.525995650796176</v>
      </c>
      <c r="J174" s="16">
        <v>4.5</v>
      </c>
      <c r="K174" s="9">
        <v>5.12</v>
      </c>
      <c r="L174" s="14">
        <f t="shared" si="67"/>
        <v>2.7392916872403319</v>
      </c>
      <c r="M174" s="6"/>
      <c r="N174" s="2">
        <f t="shared" si="88"/>
        <v>-2.2713802242609584</v>
      </c>
      <c r="O174">
        <f t="shared" si="68"/>
        <v>0.6839242105263158</v>
      </c>
      <c r="P174">
        <f t="shared" si="71"/>
        <v>8.1430081581047453</v>
      </c>
      <c r="Q174">
        <f t="shared" si="69"/>
        <v>2.1428968837117752</v>
      </c>
      <c r="R174">
        <f t="shared" si="70"/>
        <v>2.5500000000000002E-3</v>
      </c>
    </row>
    <row r="175" spans="1:18" x14ac:dyDescent="0.3">
      <c r="A175">
        <f t="shared" si="87"/>
        <v>1.6666666666666667</v>
      </c>
      <c r="B175">
        <v>10</v>
      </c>
      <c r="C175">
        <v>1</v>
      </c>
      <c r="D175" s="1">
        <v>4.75</v>
      </c>
      <c r="E175" s="3">
        <v>5.0759999999999996</v>
      </c>
      <c r="F175" s="8">
        <f t="shared" si="84"/>
        <v>9.3577620173364853</v>
      </c>
      <c r="G175" s="11">
        <v>0.54</v>
      </c>
      <c r="H175" s="15">
        <v>2.5500000000000002E-3</v>
      </c>
      <c r="I175" s="11">
        <f t="shared" si="85"/>
        <v>40.65749456349522</v>
      </c>
      <c r="J175" s="16">
        <v>4.5</v>
      </c>
      <c r="K175" s="9">
        <v>9.1999999999999993</v>
      </c>
      <c r="L175" s="14">
        <f t="shared" si="67"/>
        <v>0.61889845031513391</v>
      </c>
      <c r="M175" s="6"/>
      <c r="N175" s="2">
        <f t="shared" si="88"/>
        <v>-7.3337410805300696</v>
      </c>
      <c r="O175">
        <f t="shared" si="68"/>
        <v>0.98314105263157892</v>
      </c>
      <c r="P175">
        <f t="shared" si="71"/>
        <v>14.63196778409446</v>
      </c>
      <c r="Q175">
        <f t="shared" si="69"/>
        <v>3.0804142703356758</v>
      </c>
      <c r="R175">
        <f t="shared" si="70"/>
        <v>2.5500000000000002E-3</v>
      </c>
    </row>
    <row r="176" spans="1:18" x14ac:dyDescent="0.3">
      <c r="A176">
        <f t="shared" si="87"/>
        <v>1.6666666666666667</v>
      </c>
      <c r="B176">
        <v>10</v>
      </c>
      <c r="C176">
        <v>1</v>
      </c>
      <c r="D176" s="1">
        <v>5.7</v>
      </c>
      <c r="E176" s="3">
        <v>5.0759999999999996</v>
      </c>
      <c r="F176" s="8">
        <f t="shared" si="84"/>
        <v>11.229314420803783</v>
      </c>
      <c r="G176" s="11">
        <v>0.54</v>
      </c>
      <c r="H176" s="15">
        <v>2.5500000000000002E-3</v>
      </c>
      <c r="I176" s="11">
        <f t="shared" si="85"/>
        <v>48.788993476194271</v>
      </c>
      <c r="J176" s="16">
        <v>4.5</v>
      </c>
      <c r="K176" s="9">
        <v>15.01</v>
      </c>
      <c r="L176" s="14">
        <f t="shared" si="67"/>
        <v>-1.4665369776332404</v>
      </c>
      <c r="M176" s="6"/>
      <c r="N176" s="2">
        <f t="shared" si="88"/>
        <v>-19.521415392456674</v>
      </c>
      <c r="O176">
        <f t="shared" si="68"/>
        <v>1.3366799999999999</v>
      </c>
      <c r="P176">
        <f t="shared" si="71"/>
        <v>23.872373526006289</v>
      </c>
      <c r="Q176">
        <f t="shared" si="69"/>
        <v>4.1881357063168929</v>
      </c>
      <c r="R176">
        <f t="shared" si="70"/>
        <v>2.5500000000000002E-3</v>
      </c>
    </row>
    <row r="177" spans="1:18" x14ac:dyDescent="0.3">
      <c r="A177">
        <f t="shared" si="87"/>
        <v>1.6666666666666667</v>
      </c>
      <c r="B177">
        <v>10</v>
      </c>
      <c r="C177">
        <v>1</v>
      </c>
      <c r="D177" s="1">
        <v>6.7</v>
      </c>
      <c r="E177" s="3">
        <v>5.0759999999999996</v>
      </c>
      <c r="F177" s="8">
        <f t="shared" si="84"/>
        <v>13.199369582348307</v>
      </c>
      <c r="G177" s="11">
        <v>0.54</v>
      </c>
      <c r="H177" s="15">
        <v>2.5500000000000002E-3</v>
      </c>
      <c r="I177" s="11">
        <f t="shared" si="85"/>
        <v>57.348466015877477</v>
      </c>
      <c r="J177" s="16">
        <v>4.5</v>
      </c>
      <c r="K177" s="9">
        <v>18.13</v>
      </c>
      <c r="L177" s="14">
        <f t="shared" si="67"/>
        <v>-2.0703378435707185</v>
      </c>
      <c r="M177" s="6"/>
      <c r="N177" s="2">
        <f t="shared" si="88"/>
        <v>-28.48036340468909</v>
      </c>
      <c r="O177">
        <f t="shared" si="68"/>
        <v>1.3735504477611937</v>
      </c>
      <c r="P177">
        <f t="shared" si="71"/>
        <v>28.834519122351367</v>
      </c>
      <c r="Q177">
        <f t="shared" si="69"/>
        <v>4.3036595705002041</v>
      </c>
      <c r="R177">
        <f t="shared" si="70"/>
        <v>2.5500000000000002E-3</v>
      </c>
    </row>
    <row r="178" spans="1:18" x14ac:dyDescent="0.3">
      <c r="A178">
        <f t="shared" si="87"/>
        <v>1.6666666666666667</v>
      </c>
      <c r="B178">
        <v>10</v>
      </c>
      <c r="C178">
        <v>2</v>
      </c>
      <c r="D178" s="1">
        <v>0.95</v>
      </c>
      <c r="E178" s="3">
        <v>5.0759999999999996</v>
      </c>
      <c r="F178" s="8">
        <f t="shared" si="84"/>
        <v>1.8715524034672972</v>
      </c>
      <c r="G178" s="11">
        <v>0.54</v>
      </c>
      <c r="H178" s="15">
        <v>1.2750000000000001E-3</v>
      </c>
      <c r="I178" s="11">
        <f t="shared" si="85"/>
        <v>8.131498912699044</v>
      </c>
      <c r="J178" s="16">
        <v>4.5</v>
      </c>
      <c r="K178" s="9">
        <v>0.6</v>
      </c>
      <c r="L178" s="14">
        <f t="shared" si="67"/>
        <v>56.376808318000208</v>
      </c>
      <c r="M178" s="6"/>
      <c r="N178" s="2">
        <f>-(1.7*K178^2)/19.62</f>
        <v>-3.1192660550458714E-2</v>
      </c>
      <c r="O178">
        <f t="shared" si="68"/>
        <v>0.32058947368421048</v>
      </c>
      <c r="P178">
        <f t="shared" si="71"/>
        <v>0.9542587685278997</v>
      </c>
      <c r="Q178">
        <f t="shared" si="69"/>
        <v>1.0044829142398946</v>
      </c>
      <c r="R178">
        <f t="shared" si="70"/>
        <v>2.5500000000000002E-3</v>
      </c>
    </row>
    <row r="179" spans="1:18" x14ac:dyDescent="0.3">
      <c r="A179">
        <f t="shared" si="87"/>
        <v>1.6666666666666667</v>
      </c>
      <c r="B179">
        <v>10</v>
      </c>
      <c r="C179">
        <v>2</v>
      </c>
      <c r="D179" s="1">
        <v>1.9</v>
      </c>
      <c r="E179" s="3">
        <v>5.0759999999999996</v>
      </c>
      <c r="F179" s="8">
        <f t="shared" si="84"/>
        <v>3.7431048069345945</v>
      </c>
      <c r="G179" s="11">
        <v>0.54</v>
      </c>
      <c r="H179" s="15">
        <v>1.2750000000000001E-3</v>
      </c>
      <c r="I179" s="11">
        <f t="shared" si="85"/>
        <v>16.262997825398088</v>
      </c>
      <c r="J179" s="16">
        <v>4.5</v>
      </c>
      <c r="K179" s="9">
        <v>2.1800000000000002</v>
      </c>
      <c r="L179" s="14">
        <f t="shared" si="67"/>
        <v>13.561251634474901</v>
      </c>
      <c r="M179" s="6"/>
      <c r="N179" s="2">
        <f t="shared" ref="N179:N184" si="89">-(1.7*K179^2)/19.62</f>
        <v>-0.4117777777777778</v>
      </c>
      <c r="O179">
        <f t="shared" si="68"/>
        <v>0.58240421052631575</v>
      </c>
      <c r="P179">
        <f t="shared" si="71"/>
        <v>3.4671401923180354</v>
      </c>
      <c r="Q179">
        <f t="shared" si="69"/>
        <v>1.8248106275358082</v>
      </c>
      <c r="R179">
        <f t="shared" si="70"/>
        <v>2.5500000000000002E-3</v>
      </c>
    </row>
    <row r="180" spans="1:18" x14ac:dyDescent="0.3">
      <c r="A180">
        <f t="shared" si="87"/>
        <v>1.6666666666666667</v>
      </c>
      <c r="B180">
        <v>10</v>
      </c>
      <c r="C180">
        <v>2</v>
      </c>
      <c r="D180" s="1">
        <v>2.85</v>
      </c>
      <c r="E180" s="3">
        <v>5.0759999999999996</v>
      </c>
      <c r="F180" s="8">
        <f t="shared" si="84"/>
        <v>5.6146572104018917</v>
      </c>
      <c r="G180" s="11">
        <v>0.54</v>
      </c>
      <c r="H180" s="15">
        <v>1.2750000000000001E-3</v>
      </c>
      <c r="I180" s="11">
        <f t="shared" si="85"/>
        <v>24.394496738097136</v>
      </c>
      <c r="J180" s="16">
        <v>4.5</v>
      </c>
      <c r="K180" s="9">
        <v>5.92</v>
      </c>
      <c r="L180" s="14">
        <f t="shared" si="67"/>
        <v>4.3935728275785042</v>
      </c>
      <c r="M180" s="6"/>
      <c r="N180" s="2">
        <f t="shared" si="89"/>
        <v>-3.0366401630988786</v>
      </c>
      <c r="O180">
        <f t="shared" si="68"/>
        <v>1.0543831578947367</v>
      </c>
      <c r="P180">
        <f t="shared" si="71"/>
        <v>9.4153531828086106</v>
      </c>
      <c r="Q180">
        <f t="shared" si="69"/>
        <v>3.3036326957223192</v>
      </c>
      <c r="R180">
        <f t="shared" si="70"/>
        <v>2.5500000000000002E-3</v>
      </c>
    </row>
    <row r="181" spans="1:18" x14ac:dyDescent="0.3">
      <c r="A181">
        <f t="shared" si="87"/>
        <v>1.6666666666666667</v>
      </c>
      <c r="B181">
        <v>10</v>
      </c>
      <c r="C181">
        <v>2</v>
      </c>
      <c r="D181" s="1">
        <v>3.8</v>
      </c>
      <c r="E181" s="3">
        <v>5.0759999999999996</v>
      </c>
      <c r="F181" s="8">
        <f t="shared" si="84"/>
        <v>7.4862096138691889</v>
      </c>
      <c r="G181" s="11">
        <v>0.54</v>
      </c>
      <c r="H181" s="15">
        <v>1.2750000000000001E-3</v>
      </c>
      <c r="I181" s="11">
        <f t="shared" si="85"/>
        <v>32.525995650796176</v>
      </c>
      <c r="J181" s="16">
        <v>4.5</v>
      </c>
      <c r="K181" s="9">
        <v>10.45</v>
      </c>
      <c r="L181" s="14">
        <f t="shared" si="67"/>
        <v>0.22195806400520815</v>
      </c>
      <c r="M181" s="6"/>
      <c r="N181" s="2">
        <f t="shared" si="89"/>
        <v>-9.4619903160040764</v>
      </c>
      <c r="O181">
        <f t="shared" si="68"/>
        <v>1.3958999999999997</v>
      </c>
      <c r="P181">
        <f t="shared" si="71"/>
        <v>16.62000688519425</v>
      </c>
      <c r="Q181">
        <f t="shared" si="69"/>
        <v>4.3736860224195402</v>
      </c>
      <c r="R181">
        <f t="shared" si="70"/>
        <v>2.5500000000000002E-3</v>
      </c>
    </row>
    <row r="182" spans="1:18" x14ac:dyDescent="0.3">
      <c r="A182">
        <f t="shared" si="87"/>
        <v>1.6666666666666667</v>
      </c>
      <c r="B182">
        <v>10</v>
      </c>
      <c r="C182">
        <v>2</v>
      </c>
      <c r="D182" s="1">
        <v>4.75</v>
      </c>
      <c r="E182" s="3">
        <v>5.0759999999999996</v>
      </c>
      <c r="F182" s="8">
        <f t="shared" si="84"/>
        <v>9.3577620173364853</v>
      </c>
      <c r="G182" s="11">
        <v>0.54</v>
      </c>
      <c r="H182" s="15">
        <v>1.2750000000000001E-3</v>
      </c>
      <c r="I182" s="11">
        <f t="shared" si="85"/>
        <v>40.65749456349522</v>
      </c>
      <c r="J182" s="16">
        <v>4.5</v>
      </c>
      <c r="K182" s="9">
        <v>17.510000000000002</v>
      </c>
      <c r="L182" s="14">
        <f t="shared" si="67"/>
        <v>-3.6901347551425601</v>
      </c>
      <c r="M182" s="6"/>
      <c r="N182" s="2">
        <f t="shared" si="89"/>
        <v>-26.565757900101939</v>
      </c>
      <c r="O182">
        <f t="shared" si="68"/>
        <v>1.8711738947368424</v>
      </c>
      <c r="P182">
        <f t="shared" si="71"/>
        <v>27.848451728205873</v>
      </c>
      <c r="Q182">
        <f t="shared" si="69"/>
        <v>5.8628319427801836</v>
      </c>
      <c r="R182">
        <f t="shared" si="70"/>
        <v>2.5500000000000002E-3</v>
      </c>
    </row>
    <row r="183" spans="1:18" x14ac:dyDescent="0.3">
      <c r="A183">
        <f t="shared" si="87"/>
        <v>1.6666666666666667</v>
      </c>
      <c r="B183">
        <v>10</v>
      </c>
      <c r="C183">
        <v>2</v>
      </c>
      <c r="D183" s="1">
        <v>5.7</v>
      </c>
      <c r="E183" s="3">
        <v>5.0759999999999996</v>
      </c>
      <c r="F183" s="8">
        <f t="shared" si="84"/>
        <v>11.229314420803783</v>
      </c>
      <c r="G183" s="11">
        <v>0.54</v>
      </c>
      <c r="H183" s="15">
        <v>1.2750000000000001E-3</v>
      </c>
      <c r="I183" s="11">
        <f t="shared" si="85"/>
        <v>48.788993476194271</v>
      </c>
      <c r="J183" s="16">
        <v>4.5</v>
      </c>
      <c r="K183" s="9">
        <v>24.59</v>
      </c>
      <c r="L183" s="14">
        <f t="shared" si="67"/>
        <v>-6.5810363762991688</v>
      </c>
      <c r="M183" s="6"/>
      <c r="N183" s="2">
        <f t="shared" si="89"/>
        <v>-52.39224108053007</v>
      </c>
      <c r="O183">
        <f t="shared" si="68"/>
        <v>2.1898042105263156</v>
      </c>
      <c r="P183">
        <f t="shared" si="71"/>
        <v>39.108705196835089</v>
      </c>
      <c r="Q183">
        <f t="shared" si="69"/>
        <v>6.8611763503219452</v>
      </c>
      <c r="R183">
        <f t="shared" si="70"/>
        <v>2.5500000000000002E-3</v>
      </c>
    </row>
    <row r="184" spans="1:18" x14ac:dyDescent="0.3">
      <c r="A184">
        <f t="shared" si="87"/>
        <v>1.6666666666666667</v>
      </c>
      <c r="B184">
        <v>10</v>
      </c>
      <c r="C184">
        <v>2</v>
      </c>
      <c r="D184" s="1">
        <v>6.6</v>
      </c>
      <c r="E184" s="3">
        <v>5.0759999999999996</v>
      </c>
      <c r="F184" s="8">
        <f t="shared" si="84"/>
        <v>13.002364066193854</v>
      </c>
      <c r="G184" s="11">
        <v>0.54</v>
      </c>
      <c r="H184" s="15">
        <v>1.2750000000000001E-3</v>
      </c>
      <c r="I184" s="11">
        <f t="shared" si="85"/>
        <v>56.492518761909153</v>
      </c>
      <c r="J184" s="16">
        <v>4.5</v>
      </c>
      <c r="K184" s="9">
        <v>28.6</v>
      </c>
      <c r="L184" s="14">
        <f t="shared" si="67"/>
        <v>-7.0533426141461151</v>
      </c>
      <c r="M184" s="6"/>
      <c r="N184" s="2">
        <f t="shared" si="89"/>
        <v>-70.873190621814473</v>
      </c>
      <c r="O184">
        <f t="shared" si="68"/>
        <v>2.1996000000000002</v>
      </c>
      <c r="P184">
        <f t="shared" si="71"/>
        <v>45.486334633163224</v>
      </c>
      <c r="Q184">
        <f t="shared" si="69"/>
        <v>6.8918688838126103</v>
      </c>
      <c r="R184">
        <f t="shared" si="70"/>
        <v>2.5500000000000002E-3</v>
      </c>
    </row>
    <row r="185" spans="1:18" x14ac:dyDescent="0.3">
      <c r="A185">
        <f t="shared" si="87"/>
        <v>1.6666666666666667</v>
      </c>
      <c r="B185">
        <v>10</v>
      </c>
      <c r="C185">
        <v>4</v>
      </c>
      <c r="D185" s="1">
        <v>0.95</v>
      </c>
      <c r="E185" s="3">
        <v>5.0759999999999996</v>
      </c>
      <c r="F185" s="8">
        <f t="shared" si="84"/>
        <v>1.8715524034672972</v>
      </c>
      <c r="G185" s="11">
        <v>0.54</v>
      </c>
      <c r="H185" s="15">
        <v>6.3750000000000005E-4</v>
      </c>
      <c r="I185" s="11">
        <f t="shared" si="85"/>
        <v>8.131498912699044</v>
      </c>
      <c r="J185" s="16">
        <v>3</v>
      </c>
      <c r="K185" s="9">
        <v>0</v>
      </c>
      <c r="L185" s="14">
        <f t="shared" si="67"/>
        <v>56.551530256083318</v>
      </c>
      <c r="M185" s="6"/>
      <c r="N185" s="2">
        <f>-(1.7*K185^2)/19.62</f>
        <v>0</v>
      </c>
      <c r="O185">
        <f t="shared" si="68"/>
        <v>0</v>
      </c>
      <c r="P185">
        <f t="shared" si="71"/>
        <v>0</v>
      </c>
      <c r="Q185">
        <f t="shared" si="69"/>
        <v>0</v>
      </c>
      <c r="R185">
        <f t="shared" si="70"/>
        <v>2.5500000000000002E-3</v>
      </c>
    </row>
    <row r="186" spans="1:18" x14ac:dyDescent="0.3">
      <c r="A186">
        <f t="shared" si="87"/>
        <v>1.6666666666666667</v>
      </c>
      <c r="B186">
        <v>10</v>
      </c>
      <c r="C186">
        <v>4</v>
      </c>
      <c r="D186" s="1">
        <v>1.9</v>
      </c>
      <c r="E186" s="3">
        <v>5.0759999999999996</v>
      </c>
      <c r="F186" s="8">
        <f t="shared" si="84"/>
        <v>3.7431048069345945</v>
      </c>
      <c r="G186" s="11">
        <v>0.54</v>
      </c>
      <c r="H186" s="15">
        <v>6.3750000000000005E-4</v>
      </c>
      <c r="I186" s="11">
        <f t="shared" si="85"/>
        <v>16.262997825398088</v>
      </c>
      <c r="J186" s="16">
        <v>4.5</v>
      </c>
      <c r="K186" s="9">
        <v>1.43</v>
      </c>
      <c r="L186" s="14">
        <f t="shared" si="67"/>
        <v>13.889765278474901</v>
      </c>
      <c r="M186" s="6"/>
      <c r="N186" s="2">
        <f t="shared" ref="N186:N191" si="90">-(1.7*K186^2)/19.62</f>
        <v>-0.17718297655453616</v>
      </c>
      <c r="O186">
        <f t="shared" si="68"/>
        <v>0.38203578947368416</v>
      </c>
      <c r="P186">
        <f t="shared" si="71"/>
        <v>2.2743167316581605</v>
      </c>
      <c r="Q186">
        <f t="shared" si="69"/>
        <v>1.1970088061358739</v>
      </c>
      <c r="R186">
        <f t="shared" si="70"/>
        <v>2.5500000000000002E-3</v>
      </c>
    </row>
    <row r="187" spans="1:18" x14ac:dyDescent="0.3">
      <c r="A187">
        <f t="shared" si="87"/>
        <v>1.6666666666666667</v>
      </c>
      <c r="B187">
        <v>10</v>
      </c>
      <c r="C187">
        <v>4</v>
      </c>
      <c r="D187" s="1">
        <v>2.85</v>
      </c>
      <c r="E187" s="3">
        <v>5.0759999999999996</v>
      </c>
      <c r="F187" s="8">
        <f t="shared" si="84"/>
        <v>5.6146572104018917</v>
      </c>
      <c r="G187" s="11">
        <v>0.54</v>
      </c>
      <c r="H187" s="15">
        <v>6.3750000000000005E-4</v>
      </c>
      <c r="I187" s="11">
        <f t="shared" si="85"/>
        <v>24.394496738097136</v>
      </c>
      <c r="J187" s="16">
        <v>4.5</v>
      </c>
      <c r="K187" s="9">
        <v>6.63</v>
      </c>
      <c r="L187" s="14">
        <f t="shared" si="67"/>
        <v>3.9130605345879226</v>
      </c>
      <c r="M187" s="6"/>
      <c r="N187" s="2">
        <f t="shared" si="90"/>
        <v>-3.8087018348623847</v>
      </c>
      <c r="O187">
        <f t="shared" si="68"/>
        <v>1.1808378947368421</v>
      </c>
      <c r="P187">
        <f t="shared" si="71"/>
        <v>10.544559392233293</v>
      </c>
      <c r="Q187">
        <f t="shared" si="69"/>
        <v>3.6998454007836115</v>
      </c>
      <c r="R187">
        <f t="shared" si="70"/>
        <v>2.5500000000000002E-3</v>
      </c>
    </row>
    <row r="188" spans="1:18" x14ac:dyDescent="0.3">
      <c r="A188">
        <f t="shared" si="87"/>
        <v>1.6666666666666667</v>
      </c>
      <c r="B188">
        <v>10</v>
      </c>
      <c r="C188">
        <v>4</v>
      </c>
      <c r="D188" s="1">
        <v>3.8</v>
      </c>
      <c r="E188" s="3">
        <v>5.0759999999999996</v>
      </c>
      <c r="F188" s="8">
        <f t="shared" si="84"/>
        <v>7.4862096138691889</v>
      </c>
      <c r="G188" s="11">
        <v>0.54</v>
      </c>
      <c r="H188" s="15">
        <v>6.3750000000000005E-4</v>
      </c>
      <c r="I188" s="11">
        <f t="shared" si="85"/>
        <v>32.525995650796176</v>
      </c>
      <c r="J188" s="16">
        <v>4.5</v>
      </c>
      <c r="K188" s="9">
        <v>10.37</v>
      </c>
      <c r="L188" s="14">
        <f t="shared" si="67"/>
        <v>0.27248182443423874</v>
      </c>
      <c r="M188" s="6"/>
      <c r="N188" s="2">
        <f t="shared" si="90"/>
        <v>-9.3176722731906203</v>
      </c>
      <c r="O188">
        <f t="shared" si="68"/>
        <v>1.385213684210526</v>
      </c>
      <c r="P188">
        <f t="shared" si="71"/>
        <v>16.492772382723864</v>
      </c>
      <c r="Q188">
        <f t="shared" si="69"/>
        <v>4.3402032586115435</v>
      </c>
      <c r="R188">
        <f t="shared" si="70"/>
        <v>2.5500000000000002E-3</v>
      </c>
    </row>
    <row r="189" spans="1:18" x14ac:dyDescent="0.3">
      <c r="A189">
        <f t="shared" si="87"/>
        <v>1.6666666666666667</v>
      </c>
      <c r="B189">
        <v>10</v>
      </c>
      <c r="C189">
        <v>4</v>
      </c>
      <c r="D189" s="1">
        <v>4.75</v>
      </c>
      <c r="E189" s="3">
        <v>5.0759999999999996</v>
      </c>
      <c r="F189" s="8">
        <f t="shared" si="84"/>
        <v>9.3577620173364853</v>
      </c>
      <c r="G189" s="11">
        <v>0.54</v>
      </c>
      <c r="H189" s="15">
        <v>6.3750000000000005E-4</v>
      </c>
      <c r="I189" s="11">
        <f t="shared" si="85"/>
        <v>40.65749456349522</v>
      </c>
      <c r="J189" s="16">
        <v>4.5</v>
      </c>
      <c r="K189" s="9">
        <v>15.64</v>
      </c>
      <c r="L189" s="14">
        <f t="shared" si="67"/>
        <v>-2.4866791659491634</v>
      </c>
      <c r="M189" s="6"/>
      <c r="N189" s="2">
        <f t="shared" si="90"/>
        <v>-21.194511722731907</v>
      </c>
      <c r="O189">
        <f t="shared" si="68"/>
        <v>1.6713397894736843</v>
      </c>
      <c r="P189">
        <f t="shared" si="71"/>
        <v>24.874345232960586</v>
      </c>
      <c r="Q189">
        <f t="shared" si="69"/>
        <v>5.2367042595706499</v>
      </c>
      <c r="R189">
        <f t="shared" si="70"/>
        <v>2.5500000000000002E-3</v>
      </c>
    </row>
    <row r="190" spans="1:18" x14ac:dyDescent="0.3">
      <c r="A190">
        <f t="shared" si="87"/>
        <v>1.6666666666666667</v>
      </c>
      <c r="B190">
        <v>10</v>
      </c>
      <c r="C190">
        <v>4</v>
      </c>
      <c r="D190" s="1">
        <v>5.7</v>
      </c>
      <c r="E190" s="3">
        <v>5.0759999999999996</v>
      </c>
      <c r="F190" s="8">
        <f t="shared" si="84"/>
        <v>11.229314420803783</v>
      </c>
      <c r="G190" s="11">
        <v>0.54</v>
      </c>
      <c r="H190" s="15">
        <v>6.3750000000000005E-4</v>
      </c>
      <c r="I190" s="11">
        <f t="shared" si="85"/>
        <v>48.788993476194271</v>
      </c>
      <c r="J190" s="16">
        <v>4.5</v>
      </c>
      <c r="K190" s="9">
        <v>19.23</v>
      </c>
      <c r="L190" s="14">
        <f t="shared" si="67"/>
        <v>-3.4145355929923555</v>
      </c>
      <c r="M190" s="6"/>
      <c r="N190" s="2">
        <f t="shared" si="90"/>
        <v>-32.041178899082574</v>
      </c>
      <c r="O190">
        <f t="shared" si="68"/>
        <v>1.7124821052631578</v>
      </c>
      <c r="P190">
        <f t="shared" si="71"/>
        <v>30.583993531319187</v>
      </c>
      <c r="Q190">
        <f t="shared" si="69"/>
        <v>5.3656129002314366</v>
      </c>
      <c r="R190">
        <f t="shared" si="70"/>
        <v>2.5500000000000002E-3</v>
      </c>
    </row>
    <row r="191" spans="1:18" x14ac:dyDescent="0.3">
      <c r="A191">
        <f t="shared" si="87"/>
        <v>1.6666666666666667</v>
      </c>
      <c r="B191">
        <v>10</v>
      </c>
      <c r="C191">
        <v>4</v>
      </c>
      <c r="D191" s="1">
        <v>6.6</v>
      </c>
      <c r="E191" s="3">
        <v>5.0759999999999996</v>
      </c>
      <c r="F191" s="8">
        <f t="shared" si="84"/>
        <v>13.002364066193854</v>
      </c>
      <c r="G191" s="11">
        <v>0.54</v>
      </c>
      <c r="H191" s="15">
        <v>6.3750000000000005E-4</v>
      </c>
      <c r="I191" s="11">
        <f t="shared" si="85"/>
        <v>56.492518761909153</v>
      </c>
      <c r="J191" s="16">
        <v>4.5</v>
      </c>
      <c r="K191" s="9">
        <v>22.67</v>
      </c>
      <c r="L191" s="14">
        <f t="shared" si="67"/>
        <v>-3.996153616584794</v>
      </c>
      <c r="M191" s="6"/>
      <c r="N191" s="2">
        <f t="shared" si="90"/>
        <v>-44.530027013251789</v>
      </c>
      <c r="O191">
        <f t="shared" si="68"/>
        <v>1.743529090909091</v>
      </c>
      <c r="P191">
        <f t="shared" si="71"/>
        <v>36.055077137545808</v>
      </c>
      <c r="Q191">
        <f t="shared" si="69"/>
        <v>5.4628904753857288</v>
      </c>
      <c r="R191">
        <f t="shared" si="70"/>
        <v>2.5500000000000002E-3</v>
      </c>
    </row>
    <row r="192" spans="1:18" x14ac:dyDescent="0.3">
      <c r="A192">
        <f t="shared" si="87"/>
        <v>1.6666666666666667</v>
      </c>
      <c r="B192">
        <v>10</v>
      </c>
      <c r="C192">
        <v>6</v>
      </c>
      <c r="D192" s="1">
        <v>0.95</v>
      </c>
      <c r="E192" s="3">
        <v>5.0759999999999996</v>
      </c>
      <c r="F192" s="8">
        <f t="shared" si="84"/>
        <v>1.8715524034672972</v>
      </c>
      <c r="G192" s="11">
        <v>0.54</v>
      </c>
      <c r="H192" s="15">
        <v>4.2499999999999998E-4</v>
      </c>
      <c r="I192" s="11">
        <f t="shared" si="85"/>
        <v>8.131498912699044</v>
      </c>
      <c r="J192" s="16">
        <v>3</v>
      </c>
      <c r="K192" s="9">
        <v>0</v>
      </c>
      <c r="L192" s="14">
        <f t="shared" si="67"/>
        <v>56.551530256083318</v>
      </c>
      <c r="M192" s="6"/>
      <c r="N192" s="2">
        <f>-(1.7*K192^2)/19.62</f>
        <v>0</v>
      </c>
      <c r="O192">
        <f t="shared" si="68"/>
        <v>0</v>
      </c>
      <c r="P192">
        <f t="shared" si="71"/>
        <v>0</v>
      </c>
      <c r="Q192">
        <f t="shared" si="69"/>
        <v>0</v>
      </c>
      <c r="R192">
        <f t="shared" si="70"/>
        <v>2.5499999999999997E-3</v>
      </c>
    </row>
    <row r="193" spans="1:18" x14ac:dyDescent="0.3">
      <c r="A193">
        <f t="shared" si="87"/>
        <v>1.6666666666666667</v>
      </c>
      <c r="B193">
        <v>10</v>
      </c>
      <c r="C193">
        <v>6</v>
      </c>
      <c r="D193" s="1">
        <v>1.9</v>
      </c>
      <c r="E193" s="3">
        <v>5.0759999999999996</v>
      </c>
      <c r="F193" s="8">
        <f t="shared" si="84"/>
        <v>3.7431048069345945</v>
      </c>
      <c r="G193" s="11">
        <v>0.54</v>
      </c>
      <c r="H193" s="15">
        <v>4.2499999999999998E-4</v>
      </c>
      <c r="I193" s="11">
        <f t="shared" si="85"/>
        <v>16.262997825398088</v>
      </c>
      <c r="J193" s="16">
        <v>4.5</v>
      </c>
      <c r="K193" s="9">
        <v>1.8</v>
      </c>
      <c r="L193" s="14">
        <f t="shared" si="67"/>
        <v>13.744758203333848</v>
      </c>
      <c r="M193" s="6"/>
      <c r="N193" s="2">
        <f t="shared" ref="N193:N198" si="91">-(1.7*K193^2)/19.62</f>
        <v>-0.2807339449541284</v>
      </c>
      <c r="O193">
        <f t="shared" si="68"/>
        <v>0.48088421052631575</v>
      </c>
      <c r="P193">
        <f t="shared" si="71"/>
        <v>2.862776305583699</v>
      </c>
      <c r="Q193">
        <f t="shared" si="69"/>
        <v>1.5067243713598417</v>
      </c>
      <c r="R193">
        <f t="shared" si="70"/>
        <v>2.5499999999999997E-3</v>
      </c>
    </row>
    <row r="194" spans="1:18" x14ac:dyDescent="0.3">
      <c r="A194">
        <f t="shared" si="87"/>
        <v>1.6666666666666667</v>
      </c>
      <c r="B194">
        <v>10</v>
      </c>
      <c r="C194">
        <v>6</v>
      </c>
      <c r="D194" s="1">
        <v>2.85</v>
      </c>
      <c r="E194" s="3">
        <v>5.0759999999999996</v>
      </c>
      <c r="F194" s="8">
        <f t="shared" si="84"/>
        <v>5.6146572104018917</v>
      </c>
      <c r="G194" s="11">
        <v>0.54</v>
      </c>
      <c r="H194" s="15">
        <v>4.2499999999999998E-4</v>
      </c>
      <c r="I194" s="11">
        <f t="shared" si="85"/>
        <v>24.394496738097136</v>
      </c>
      <c r="J194" s="16">
        <v>4.5</v>
      </c>
      <c r="K194" s="9">
        <v>6.1</v>
      </c>
      <c r="L194" s="14">
        <f t="shared" si="67"/>
        <v>4.2768974000363436</v>
      </c>
      <c r="M194" s="6"/>
      <c r="N194" s="2">
        <f t="shared" si="91"/>
        <v>-3.2241080530071349</v>
      </c>
      <c r="O194">
        <f t="shared" si="68"/>
        <v>1.0864421052631577</v>
      </c>
      <c r="P194">
        <f t="shared" si="71"/>
        <v>9.7016308133669789</v>
      </c>
      <c r="Q194">
        <f t="shared" si="69"/>
        <v>3.4040809871463082</v>
      </c>
      <c r="R194">
        <f t="shared" si="70"/>
        <v>2.5499999999999997E-3</v>
      </c>
    </row>
    <row r="195" spans="1:18" x14ac:dyDescent="0.3">
      <c r="A195">
        <f t="shared" si="87"/>
        <v>1.6666666666666667</v>
      </c>
      <c r="B195">
        <v>10</v>
      </c>
      <c r="C195">
        <v>6</v>
      </c>
      <c r="D195" s="1">
        <v>3.8</v>
      </c>
      <c r="E195" s="3">
        <v>5.0759999999999996</v>
      </c>
      <c r="F195" s="8">
        <f t="shared" si="84"/>
        <v>7.4862096138691889</v>
      </c>
      <c r="G195" s="11">
        <v>0.54</v>
      </c>
      <c r="H195" s="15">
        <v>4.2499999999999998E-4</v>
      </c>
      <c r="I195" s="11">
        <f t="shared" si="85"/>
        <v>32.525995650796176</v>
      </c>
      <c r="J195" s="16">
        <v>4.5</v>
      </c>
      <c r="K195" s="9">
        <v>10.77</v>
      </c>
      <c r="L195" s="14">
        <f t="shared" ref="L195:L258" si="92">(10.33+N195-0.234)/((F195^2)/19.62)</f>
        <v>1.5980312553905942E-2</v>
      </c>
      <c r="M195" s="6"/>
      <c r="N195" s="2">
        <f t="shared" si="91"/>
        <v>-10.050353211009174</v>
      </c>
      <c r="O195">
        <f t="shared" si="68"/>
        <v>1.4386452631578945</v>
      </c>
      <c r="P195">
        <f t="shared" si="71"/>
        <v>17.128944895075797</v>
      </c>
      <c r="Q195">
        <f t="shared" si="69"/>
        <v>4.5076170776515259</v>
      </c>
      <c r="R195">
        <f t="shared" si="70"/>
        <v>2.5499999999999997E-3</v>
      </c>
    </row>
    <row r="196" spans="1:18" x14ac:dyDescent="0.3">
      <c r="A196">
        <f t="shared" si="87"/>
        <v>1.6666666666666667</v>
      </c>
      <c r="B196">
        <v>10</v>
      </c>
      <c r="C196">
        <v>6</v>
      </c>
      <c r="D196" s="1">
        <v>4.75</v>
      </c>
      <c r="E196" s="3">
        <v>5.0759999999999996</v>
      </c>
      <c r="F196" s="8">
        <f t="shared" si="84"/>
        <v>9.3577620173364853</v>
      </c>
      <c r="G196" s="11">
        <v>0.54</v>
      </c>
      <c r="H196" s="15">
        <v>4.2499999999999998E-4</v>
      </c>
      <c r="I196" s="11">
        <f t="shared" si="85"/>
        <v>40.65749456349522</v>
      </c>
      <c r="J196" s="16">
        <v>4.5</v>
      </c>
      <c r="K196" s="9">
        <v>15.42</v>
      </c>
      <c r="L196" s="14">
        <f t="shared" si="92"/>
        <v>-2.3540225051370016</v>
      </c>
      <c r="M196" s="6"/>
      <c r="N196" s="2">
        <f t="shared" si="91"/>
        <v>-20.602440366972477</v>
      </c>
      <c r="O196">
        <f t="shared" ref="O196:O259" si="93">K196/F196</f>
        <v>1.6478298947368422</v>
      </c>
      <c r="P196">
        <f t="shared" si="71"/>
        <v>24.524450351167022</v>
      </c>
      <c r="Q196">
        <f t="shared" ref="Q196:Q259" si="94">P196/D196</f>
        <v>5.1630421791930576</v>
      </c>
      <c r="R196">
        <f t="shared" ref="R196:R259" si="95">H196*C196</f>
        <v>2.5499999999999997E-3</v>
      </c>
    </row>
    <row r="197" spans="1:18" x14ac:dyDescent="0.3">
      <c r="A197">
        <f t="shared" si="87"/>
        <v>1.6666666666666667</v>
      </c>
      <c r="B197">
        <v>10</v>
      </c>
      <c r="C197">
        <v>6</v>
      </c>
      <c r="D197" s="1">
        <v>5.7</v>
      </c>
      <c r="E197" s="3">
        <v>5.0759999999999996</v>
      </c>
      <c r="F197" s="8">
        <f t="shared" si="84"/>
        <v>11.229314420803783</v>
      </c>
      <c r="G197" s="11">
        <v>0.54</v>
      </c>
      <c r="H197" s="15">
        <v>4.2499999999999998E-4</v>
      </c>
      <c r="I197" s="11">
        <f t="shared" si="85"/>
        <v>48.788993476194271</v>
      </c>
      <c r="J197" s="16">
        <v>4.5</v>
      </c>
      <c r="K197" s="9">
        <v>18.62</v>
      </c>
      <c r="L197" s="14">
        <f t="shared" si="92"/>
        <v>-3.1032649550732407</v>
      </c>
      <c r="M197" s="6"/>
      <c r="N197" s="2">
        <f t="shared" si="91"/>
        <v>-30.040646279306827</v>
      </c>
      <c r="O197">
        <f t="shared" si="93"/>
        <v>1.6581599999999999</v>
      </c>
      <c r="P197">
        <f t="shared" ref="P197:P260" si="96">K197*PI()*(J197^2)/40</f>
        <v>29.613830449982487</v>
      </c>
      <c r="Q197">
        <f t="shared" si="94"/>
        <v>5.1954088508741201</v>
      </c>
      <c r="R197">
        <f t="shared" si="95"/>
        <v>2.5499999999999997E-3</v>
      </c>
    </row>
    <row r="198" spans="1:18" x14ac:dyDescent="0.3">
      <c r="A198">
        <f t="shared" si="87"/>
        <v>1.6666666666666667</v>
      </c>
      <c r="B198">
        <v>10</v>
      </c>
      <c r="C198">
        <v>6</v>
      </c>
      <c r="D198" s="1">
        <v>6.7</v>
      </c>
      <c r="E198" s="3">
        <v>5.0759999999999996</v>
      </c>
      <c r="F198" s="8">
        <f t="shared" si="84"/>
        <v>13.199369582348307</v>
      </c>
      <c r="G198" s="11">
        <v>0.54</v>
      </c>
      <c r="H198" s="15">
        <v>4.2499999999999998E-4</v>
      </c>
      <c r="I198" s="11">
        <f t="shared" si="85"/>
        <v>57.348466015877477</v>
      </c>
      <c r="J198" s="16">
        <v>4.5</v>
      </c>
      <c r="K198" s="9">
        <v>21.79</v>
      </c>
      <c r="L198" s="14">
        <f t="shared" si="92"/>
        <v>-3.4959919220332347</v>
      </c>
      <c r="M198" s="6"/>
      <c r="N198" s="2">
        <f t="shared" si="91"/>
        <v>-41.140008664627921</v>
      </c>
      <c r="O198">
        <f t="shared" si="93"/>
        <v>1.6508364179104476</v>
      </c>
      <c r="P198">
        <f t="shared" si="96"/>
        <v>34.655497610371555</v>
      </c>
      <c r="Q198">
        <f t="shared" si="94"/>
        <v>5.1724623299062022</v>
      </c>
      <c r="R198">
        <f t="shared" si="95"/>
        <v>2.5499999999999997E-3</v>
      </c>
    </row>
    <row r="199" spans="1:18" x14ac:dyDescent="0.3">
      <c r="A199">
        <f t="shared" si="87"/>
        <v>1.6666666666666667</v>
      </c>
      <c r="B199">
        <v>15</v>
      </c>
      <c r="C199">
        <v>1</v>
      </c>
      <c r="D199" s="1">
        <v>1.4</v>
      </c>
      <c r="E199" s="3">
        <v>7.6139999999999999</v>
      </c>
      <c r="F199" s="8">
        <f t="shared" si="84"/>
        <v>1.8387181507748882</v>
      </c>
      <c r="G199" s="11">
        <v>0.81</v>
      </c>
      <c r="H199" s="15">
        <v>3.7299999999999998E-3</v>
      </c>
      <c r="I199" s="11">
        <f t="shared" si="85"/>
        <v>6.5228613923163552</v>
      </c>
      <c r="J199" s="16">
        <v>3</v>
      </c>
      <c r="K199" s="9">
        <v>0</v>
      </c>
      <c r="L199" s="14">
        <f t="shared" si="92"/>
        <v>58.589260778703682</v>
      </c>
      <c r="M199" s="6"/>
      <c r="N199" s="2">
        <f>-(1.7*K199^2)/19.62</f>
        <v>0</v>
      </c>
      <c r="O199">
        <f t="shared" si="93"/>
        <v>0</v>
      </c>
      <c r="P199">
        <f t="shared" si="96"/>
        <v>0</v>
      </c>
      <c r="Q199">
        <f t="shared" si="94"/>
        <v>0</v>
      </c>
      <c r="R199">
        <f t="shared" si="95"/>
        <v>3.7299999999999998E-3</v>
      </c>
    </row>
    <row r="200" spans="1:18" x14ac:dyDescent="0.3">
      <c r="A200">
        <f t="shared" si="87"/>
        <v>1.6666666666666667</v>
      </c>
      <c r="B200">
        <v>15</v>
      </c>
      <c r="C200">
        <v>1</v>
      </c>
      <c r="D200" s="1">
        <v>2.8</v>
      </c>
      <c r="E200" s="3">
        <v>7.6139999999999999</v>
      </c>
      <c r="F200" s="8">
        <f t="shared" si="84"/>
        <v>3.6774363015497764</v>
      </c>
      <c r="G200" s="11">
        <v>0.81</v>
      </c>
      <c r="H200" s="15">
        <v>3.7299999999999998E-3</v>
      </c>
      <c r="I200" s="11">
        <f t="shared" si="85"/>
        <v>13.04572278463271</v>
      </c>
      <c r="J200" s="16">
        <v>4.5</v>
      </c>
      <c r="K200" s="9">
        <v>0.6</v>
      </c>
      <c r="L200" s="14">
        <f t="shared" si="92"/>
        <v>14.6020607641249</v>
      </c>
      <c r="M200" s="6"/>
      <c r="N200" s="2">
        <f t="shared" ref="N200:N205" si="97">-(1.7*K200^2)/19.62</f>
        <v>-3.1192660550458714E-2</v>
      </c>
      <c r="O200">
        <f t="shared" si="93"/>
        <v>0.16315714285714286</v>
      </c>
      <c r="P200">
        <f t="shared" si="96"/>
        <v>0.9542587685278997</v>
      </c>
      <c r="Q200">
        <f t="shared" si="94"/>
        <v>0.34080670304567851</v>
      </c>
      <c r="R200">
        <f t="shared" si="95"/>
        <v>3.7299999999999998E-3</v>
      </c>
    </row>
    <row r="201" spans="1:18" x14ac:dyDescent="0.3">
      <c r="A201">
        <f t="shared" si="87"/>
        <v>1.6666666666666667</v>
      </c>
      <c r="B201">
        <v>15</v>
      </c>
      <c r="C201">
        <v>1</v>
      </c>
      <c r="D201" s="1">
        <v>4.2</v>
      </c>
      <c r="E201" s="3">
        <v>7.6139999999999999</v>
      </c>
      <c r="F201" s="8">
        <f t="shared" si="84"/>
        <v>5.5161544523246651</v>
      </c>
      <c r="G201" s="11">
        <v>0.81</v>
      </c>
      <c r="H201" s="15">
        <v>3.7299999999999998E-3</v>
      </c>
      <c r="I201" s="11">
        <f t="shared" si="85"/>
        <v>19.568584176949066</v>
      </c>
      <c r="J201" s="16">
        <v>4.5</v>
      </c>
      <c r="K201" s="9">
        <v>5.84</v>
      </c>
      <c r="L201" s="14">
        <f t="shared" si="92"/>
        <v>4.6044493376326541</v>
      </c>
      <c r="M201" s="6"/>
      <c r="N201" s="2">
        <f t="shared" si="97"/>
        <v>-2.955123343527013</v>
      </c>
      <c r="O201">
        <f t="shared" si="93"/>
        <v>1.0587085714285713</v>
      </c>
      <c r="P201">
        <f t="shared" si="96"/>
        <v>9.2881186803382239</v>
      </c>
      <c r="Q201">
        <f t="shared" si="94"/>
        <v>2.2114568286519578</v>
      </c>
      <c r="R201">
        <f t="shared" si="95"/>
        <v>3.7299999999999998E-3</v>
      </c>
    </row>
    <row r="202" spans="1:18" x14ac:dyDescent="0.3">
      <c r="A202">
        <f t="shared" si="87"/>
        <v>1.6666666666666667</v>
      </c>
      <c r="B202">
        <v>15</v>
      </c>
      <c r="C202">
        <v>1</v>
      </c>
      <c r="D202" s="1">
        <v>5.6</v>
      </c>
      <c r="E202" s="3">
        <v>7.6139999999999999</v>
      </c>
      <c r="F202" s="8">
        <f t="shared" si="84"/>
        <v>7.3548726030995528</v>
      </c>
      <c r="G202" s="11">
        <v>0.81</v>
      </c>
      <c r="H202" s="15">
        <v>3.7299999999999998E-3</v>
      </c>
      <c r="I202" s="11">
        <f t="shared" si="85"/>
        <v>26.091445569265421</v>
      </c>
      <c r="J202" s="16">
        <v>4.5</v>
      </c>
      <c r="K202" s="9">
        <v>10.72</v>
      </c>
      <c r="L202" s="14">
        <f t="shared" si="92"/>
        <v>5.032410989510213E-2</v>
      </c>
      <c r="M202" s="6"/>
      <c r="N202" s="2">
        <f t="shared" si="97"/>
        <v>-9.9572517838939856</v>
      </c>
      <c r="O202">
        <f t="shared" si="93"/>
        <v>1.4575371428571431</v>
      </c>
      <c r="P202">
        <f t="shared" si="96"/>
        <v>17.049423331031807</v>
      </c>
      <c r="Q202">
        <f t="shared" si="94"/>
        <v>3.0445398805413943</v>
      </c>
      <c r="R202">
        <f t="shared" si="95"/>
        <v>3.7299999999999998E-3</v>
      </c>
    </row>
    <row r="203" spans="1:18" x14ac:dyDescent="0.3">
      <c r="A203">
        <f t="shared" si="87"/>
        <v>1.6666666666666667</v>
      </c>
      <c r="B203">
        <v>15</v>
      </c>
      <c r="C203">
        <v>1</v>
      </c>
      <c r="D203" s="1">
        <v>7</v>
      </c>
      <c r="E203" s="3">
        <v>7.6139999999999999</v>
      </c>
      <c r="F203" s="8">
        <f t="shared" si="84"/>
        <v>9.1935907538744406</v>
      </c>
      <c r="G203" s="11">
        <v>0.81</v>
      </c>
      <c r="H203" s="15">
        <v>3.7299999999999998E-3</v>
      </c>
      <c r="I203" s="11">
        <f t="shared" si="85"/>
        <v>32.614306961581775</v>
      </c>
      <c r="J203" s="16">
        <v>4.5</v>
      </c>
      <c r="K203" s="9">
        <v>15.69</v>
      </c>
      <c r="L203" s="14">
        <f t="shared" si="92"/>
        <v>-2.6077892225278783</v>
      </c>
      <c r="M203" s="6"/>
      <c r="N203" s="2">
        <f t="shared" si="97"/>
        <v>-21.330243119266054</v>
      </c>
      <c r="O203">
        <f t="shared" si="93"/>
        <v>1.7066237142857144</v>
      </c>
      <c r="P203">
        <f t="shared" si="96"/>
        <v>24.953866797004576</v>
      </c>
      <c r="Q203">
        <f t="shared" si="94"/>
        <v>3.5648381138577965</v>
      </c>
      <c r="R203">
        <f t="shared" si="95"/>
        <v>3.7299999999999998E-3</v>
      </c>
    </row>
    <row r="204" spans="1:18" x14ac:dyDescent="0.3">
      <c r="A204">
        <f t="shared" si="87"/>
        <v>1.6666666666666667</v>
      </c>
      <c r="B204">
        <v>15</v>
      </c>
      <c r="C204">
        <v>1</v>
      </c>
      <c r="D204" s="1">
        <v>8.4</v>
      </c>
      <c r="E204" s="3">
        <v>7.6139999999999999</v>
      </c>
      <c r="F204" s="8">
        <f t="shared" si="84"/>
        <v>11.03230890464933</v>
      </c>
      <c r="G204" s="11">
        <v>0.81</v>
      </c>
      <c r="H204" s="15">
        <v>3.7299999999999998E-3</v>
      </c>
      <c r="I204" s="11">
        <f t="shared" si="85"/>
        <v>39.137168353898133</v>
      </c>
      <c r="J204" s="16">
        <v>4.5</v>
      </c>
      <c r="K204" s="9">
        <v>18.45</v>
      </c>
      <c r="L204" s="14">
        <f t="shared" si="92"/>
        <v>-3.1270641436914794</v>
      </c>
      <c r="M204" s="6"/>
      <c r="N204" s="2">
        <f t="shared" si="97"/>
        <v>-29.494610091743112</v>
      </c>
      <c r="O204">
        <f t="shared" si="93"/>
        <v>1.6723607142857142</v>
      </c>
      <c r="P204">
        <f t="shared" si="96"/>
        <v>29.343457132232913</v>
      </c>
      <c r="Q204">
        <f t="shared" si="94"/>
        <v>3.493268706218204</v>
      </c>
      <c r="R204">
        <f t="shared" si="95"/>
        <v>3.7299999999999998E-3</v>
      </c>
    </row>
    <row r="205" spans="1:18" x14ac:dyDescent="0.3">
      <c r="A205">
        <f t="shared" si="87"/>
        <v>1.6666666666666667</v>
      </c>
      <c r="B205">
        <v>15</v>
      </c>
      <c r="C205">
        <v>1</v>
      </c>
      <c r="D205" s="9">
        <v>9.8000000000000007</v>
      </c>
      <c r="E205" s="3">
        <v>7.6139999999999999</v>
      </c>
      <c r="F205" s="8">
        <f t="shared" si="84"/>
        <v>12.87102705542422</v>
      </c>
      <c r="G205" s="11">
        <v>0.81</v>
      </c>
      <c r="H205" s="15">
        <v>3.7299999999999998E-3</v>
      </c>
      <c r="I205" s="11">
        <f t="shared" si="85"/>
        <v>45.660029746214491</v>
      </c>
      <c r="J205" s="16">
        <v>4.5</v>
      </c>
      <c r="K205" s="9">
        <v>22.75</v>
      </c>
      <c r="L205" s="14">
        <f t="shared" si="92"/>
        <v>-4.115411052602985</v>
      </c>
      <c r="M205" s="6"/>
      <c r="N205" s="2">
        <f t="shared" si="97"/>
        <v>-44.844864933741071</v>
      </c>
      <c r="O205">
        <f t="shared" si="93"/>
        <v>1.7675357142857142</v>
      </c>
      <c r="P205">
        <f t="shared" si="96"/>
        <v>36.182311640016195</v>
      </c>
      <c r="Q205">
        <f t="shared" si="94"/>
        <v>3.6920726163281827</v>
      </c>
      <c r="R205">
        <f t="shared" si="95"/>
        <v>3.7299999999999998E-3</v>
      </c>
    </row>
    <row r="206" spans="1:18" x14ac:dyDescent="0.3">
      <c r="A206">
        <f t="shared" si="87"/>
        <v>1.6666666666666667</v>
      </c>
      <c r="B206">
        <v>15</v>
      </c>
      <c r="C206">
        <v>2</v>
      </c>
      <c r="D206" s="1">
        <v>1.4</v>
      </c>
      <c r="E206" s="3">
        <v>7.6139999999999999</v>
      </c>
      <c r="F206" s="8">
        <f t="shared" si="84"/>
        <v>1.8387181507748882</v>
      </c>
      <c r="G206" s="11">
        <v>0.81</v>
      </c>
      <c r="H206" s="15">
        <v>1.8649999999999999E-3</v>
      </c>
      <c r="I206" s="11">
        <f t="shared" si="85"/>
        <v>6.5228613923163552</v>
      </c>
      <c r="J206" s="16">
        <v>3</v>
      </c>
      <c r="K206" s="9">
        <v>0</v>
      </c>
      <c r="L206" s="14">
        <f t="shared" si="92"/>
        <v>58.589260778703682</v>
      </c>
      <c r="M206" s="6"/>
      <c r="N206" s="2">
        <f>-(1.7*K206^2)/19.62</f>
        <v>0</v>
      </c>
      <c r="O206">
        <f t="shared" si="93"/>
        <v>0</v>
      </c>
      <c r="P206">
        <f t="shared" si="96"/>
        <v>0</v>
      </c>
      <c r="Q206">
        <f t="shared" si="94"/>
        <v>0</v>
      </c>
      <c r="R206">
        <f t="shared" si="95"/>
        <v>3.7299999999999998E-3</v>
      </c>
    </row>
    <row r="207" spans="1:18" x14ac:dyDescent="0.3">
      <c r="A207">
        <f t="shared" si="87"/>
        <v>1.6666666666666667</v>
      </c>
      <c r="B207">
        <v>15</v>
      </c>
      <c r="C207">
        <v>2</v>
      </c>
      <c r="D207" s="1">
        <v>2.8</v>
      </c>
      <c r="E207" s="3">
        <v>7.6139999999999999</v>
      </c>
      <c r="F207" s="8">
        <f t="shared" si="84"/>
        <v>3.6774363015497764</v>
      </c>
      <c r="G207" s="11">
        <v>0.81</v>
      </c>
      <c r="H207" s="15">
        <v>1.8649999999999999E-3</v>
      </c>
      <c r="I207" s="11">
        <f t="shared" si="85"/>
        <v>13.04572278463271</v>
      </c>
      <c r="J207" s="16">
        <v>4.5</v>
      </c>
      <c r="K207" s="9">
        <v>1.45</v>
      </c>
      <c r="L207" s="14">
        <f t="shared" si="92"/>
        <v>14.38301674958281</v>
      </c>
      <c r="M207" s="6"/>
      <c r="N207" s="2">
        <f t="shared" ref="N207:N212" si="98">-(1.7*K207^2)/19.62</f>
        <v>-0.18217380224260957</v>
      </c>
      <c r="O207">
        <f t="shared" si="93"/>
        <v>0.3942964285714286</v>
      </c>
      <c r="P207">
        <f t="shared" si="96"/>
        <v>2.3061253572757576</v>
      </c>
      <c r="Q207">
        <f t="shared" si="94"/>
        <v>0.82361619902705629</v>
      </c>
      <c r="R207">
        <f t="shared" si="95"/>
        <v>3.7299999999999998E-3</v>
      </c>
    </row>
    <row r="208" spans="1:18" x14ac:dyDescent="0.3">
      <c r="A208">
        <f t="shared" si="87"/>
        <v>1.6666666666666667</v>
      </c>
      <c r="B208">
        <v>15</v>
      </c>
      <c r="C208">
        <v>2</v>
      </c>
      <c r="D208" s="1">
        <v>4.2</v>
      </c>
      <c r="E208" s="3">
        <v>7.6139999999999999</v>
      </c>
      <c r="F208" s="8">
        <f t="shared" si="84"/>
        <v>5.5161544523246651</v>
      </c>
      <c r="G208" s="11">
        <v>0.81</v>
      </c>
      <c r="H208" s="15">
        <v>1.8649999999999999E-3</v>
      </c>
      <c r="I208" s="11">
        <f t="shared" si="85"/>
        <v>19.568584176949066</v>
      </c>
      <c r="J208" s="16">
        <v>4.5</v>
      </c>
      <c r="K208" s="9">
        <v>6.98</v>
      </c>
      <c r="L208" s="14">
        <f t="shared" si="92"/>
        <v>3.7879253232906129</v>
      </c>
      <c r="M208" s="6"/>
      <c r="N208" s="2">
        <f t="shared" si="98"/>
        <v>-4.2214413863404685</v>
      </c>
      <c r="O208">
        <f t="shared" si="93"/>
        <v>1.2653742857142858</v>
      </c>
      <c r="P208">
        <f t="shared" si="96"/>
        <v>11.101210340541233</v>
      </c>
      <c r="Q208">
        <f t="shared" si="94"/>
        <v>2.643145319176484</v>
      </c>
      <c r="R208">
        <f t="shared" si="95"/>
        <v>3.7299999999999998E-3</v>
      </c>
    </row>
    <row r="209" spans="1:18" x14ac:dyDescent="0.3">
      <c r="A209">
        <f t="shared" si="87"/>
        <v>1.6666666666666667</v>
      </c>
      <c r="B209">
        <v>15</v>
      </c>
      <c r="C209">
        <v>2</v>
      </c>
      <c r="D209" s="1">
        <v>5.6</v>
      </c>
      <c r="E209" s="3">
        <v>7.6139999999999999</v>
      </c>
      <c r="F209" s="8">
        <f t="shared" si="84"/>
        <v>7.3548726030995528</v>
      </c>
      <c r="G209" s="11">
        <v>0.81</v>
      </c>
      <c r="H209" s="15">
        <v>1.8649999999999999E-3</v>
      </c>
      <c r="I209" s="11">
        <f t="shared" si="85"/>
        <v>26.091445569265421</v>
      </c>
      <c r="J209" s="16">
        <v>4.5</v>
      </c>
      <c r="K209" s="9">
        <v>15.98</v>
      </c>
      <c r="L209" s="14">
        <f t="shared" si="92"/>
        <v>-4.3633027897204597</v>
      </c>
      <c r="M209" s="6"/>
      <c r="N209" s="2">
        <f t="shared" si="98"/>
        <v>-22.126028542303771</v>
      </c>
      <c r="O209">
        <f t="shared" si="93"/>
        <v>2.1727092857142858</v>
      </c>
      <c r="P209">
        <f t="shared" si="96"/>
        <v>25.415091868459729</v>
      </c>
      <c r="Q209">
        <f t="shared" si="94"/>
        <v>4.5384092622249517</v>
      </c>
      <c r="R209">
        <f t="shared" si="95"/>
        <v>3.7299999999999998E-3</v>
      </c>
    </row>
    <row r="210" spans="1:18" x14ac:dyDescent="0.3">
      <c r="A210">
        <f t="shared" si="87"/>
        <v>1.6666666666666667</v>
      </c>
      <c r="B210">
        <v>15</v>
      </c>
      <c r="C210">
        <v>2</v>
      </c>
      <c r="D210" s="1">
        <v>7</v>
      </c>
      <c r="E210" s="3">
        <v>7.6139999999999999</v>
      </c>
      <c r="F210" s="8">
        <f t="shared" si="84"/>
        <v>9.1935907538744406</v>
      </c>
      <c r="G210" s="11">
        <v>0.81</v>
      </c>
      <c r="H210" s="15">
        <v>1.8649999999999999E-3</v>
      </c>
      <c r="I210" s="11">
        <f t="shared" si="85"/>
        <v>32.614306961581775</v>
      </c>
      <c r="J210" s="16">
        <v>4.5</v>
      </c>
      <c r="K210" s="9">
        <v>19.27</v>
      </c>
      <c r="L210" s="14">
        <f t="shared" si="92"/>
        <v>-5.125077984122524</v>
      </c>
      <c r="M210" s="6"/>
      <c r="N210" s="2">
        <f t="shared" si="98"/>
        <v>-32.174614169215083</v>
      </c>
      <c r="O210">
        <f t="shared" si="93"/>
        <v>2.0960254285714286</v>
      </c>
      <c r="P210">
        <f t="shared" si="96"/>
        <v>30.647610782554374</v>
      </c>
      <c r="Q210">
        <f t="shared" si="94"/>
        <v>4.3782301117934823</v>
      </c>
      <c r="R210">
        <f t="shared" si="95"/>
        <v>3.7299999999999998E-3</v>
      </c>
    </row>
    <row r="211" spans="1:18" x14ac:dyDescent="0.3">
      <c r="A211">
        <f t="shared" si="87"/>
        <v>1.6666666666666667</v>
      </c>
      <c r="B211">
        <v>15</v>
      </c>
      <c r="C211">
        <v>2</v>
      </c>
      <c r="D211" s="1">
        <v>8.4</v>
      </c>
      <c r="E211" s="3">
        <v>7.6139999999999999</v>
      </c>
      <c r="F211" s="8">
        <f t="shared" si="84"/>
        <v>11.03230890464933</v>
      </c>
      <c r="G211" s="11">
        <v>0.81</v>
      </c>
      <c r="H211" s="15">
        <v>1.8649999999999999E-3</v>
      </c>
      <c r="I211" s="11">
        <f t="shared" si="85"/>
        <v>39.137168353898133</v>
      </c>
      <c r="J211" s="16">
        <v>4.5</v>
      </c>
      <c r="K211" s="9">
        <v>26.83</v>
      </c>
      <c r="L211" s="14">
        <f t="shared" si="92"/>
        <v>-8.4269501796898467</v>
      </c>
      <c r="M211" s="6"/>
      <c r="N211" s="2">
        <f t="shared" si="98"/>
        <v>-62.372228848114155</v>
      </c>
      <c r="O211">
        <f t="shared" si="93"/>
        <v>2.4319478571428572</v>
      </c>
      <c r="P211">
        <f t="shared" si="96"/>
        <v>42.671271266005917</v>
      </c>
      <c r="Q211">
        <f t="shared" si="94"/>
        <v>5.0799132459530849</v>
      </c>
      <c r="R211">
        <f t="shared" si="95"/>
        <v>3.7299999999999998E-3</v>
      </c>
    </row>
    <row r="212" spans="1:18" x14ac:dyDescent="0.3">
      <c r="A212">
        <f t="shared" si="87"/>
        <v>1.6666666666666667</v>
      </c>
      <c r="B212">
        <v>15</v>
      </c>
      <c r="C212">
        <v>2</v>
      </c>
      <c r="D212" s="9">
        <v>9.8000000000000007</v>
      </c>
      <c r="E212" s="3">
        <v>7.6139999999999999</v>
      </c>
      <c r="F212" s="8">
        <f t="shared" si="84"/>
        <v>12.87102705542422</v>
      </c>
      <c r="G212" s="11">
        <v>0.81</v>
      </c>
      <c r="H212" s="15">
        <v>1.8649999999999999E-3</v>
      </c>
      <c r="I212" s="11">
        <f t="shared" si="85"/>
        <v>45.660029746214491</v>
      </c>
      <c r="J212" s="16">
        <v>4.5</v>
      </c>
      <c r="K212" s="9">
        <v>32.19</v>
      </c>
      <c r="L212" s="14">
        <f t="shared" si="92"/>
        <v>-9.4375126926541597</v>
      </c>
      <c r="M212" s="6"/>
      <c r="N212" s="2">
        <f t="shared" si="98"/>
        <v>-89.782536697247679</v>
      </c>
      <c r="O212">
        <f t="shared" si="93"/>
        <v>2.5009659183673465</v>
      </c>
      <c r="P212">
        <f t="shared" si="96"/>
        <v>51.195982931521812</v>
      </c>
      <c r="Q212">
        <f t="shared" si="94"/>
        <v>5.2240798909716126</v>
      </c>
      <c r="R212">
        <f t="shared" si="95"/>
        <v>3.7299999999999998E-3</v>
      </c>
    </row>
    <row r="213" spans="1:18" x14ac:dyDescent="0.3">
      <c r="A213">
        <f t="shared" si="87"/>
        <v>1.6666666666666667</v>
      </c>
      <c r="B213">
        <v>15</v>
      </c>
      <c r="C213">
        <v>4</v>
      </c>
      <c r="D213" s="1">
        <v>1.4</v>
      </c>
      <c r="E213" s="3">
        <v>7.6139999999999999</v>
      </c>
      <c r="F213" s="8">
        <f t="shared" si="84"/>
        <v>1.8387181507748882</v>
      </c>
      <c r="G213" s="11">
        <v>0.81</v>
      </c>
      <c r="H213" s="15">
        <v>9.3249999999999995E-4</v>
      </c>
      <c r="I213" s="11">
        <f t="shared" si="85"/>
        <v>6.5228613923163552</v>
      </c>
      <c r="J213" s="16">
        <v>3</v>
      </c>
      <c r="K213" s="9">
        <v>0</v>
      </c>
      <c r="L213" s="14">
        <f t="shared" si="92"/>
        <v>58.589260778703682</v>
      </c>
      <c r="M213" s="6"/>
      <c r="N213" s="2">
        <f>-(1.7*K213^2)/19.62</f>
        <v>0</v>
      </c>
      <c r="O213">
        <f t="shared" si="93"/>
        <v>0</v>
      </c>
      <c r="P213">
        <f t="shared" si="96"/>
        <v>0</v>
      </c>
      <c r="Q213">
        <f t="shared" si="94"/>
        <v>0</v>
      </c>
      <c r="R213">
        <f t="shared" si="95"/>
        <v>3.7299999999999998E-3</v>
      </c>
    </row>
    <row r="214" spans="1:18" x14ac:dyDescent="0.3">
      <c r="A214">
        <f t="shared" si="87"/>
        <v>1.6666666666666667</v>
      </c>
      <c r="B214">
        <v>15</v>
      </c>
      <c r="C214">
        <v>4</v>
      </c>
      <c r="D214" s="1">
        <v>2.8</v>
      </c>
      <c r="E214" s="3">
        <v>7.6139999999999999</v>
      </c>
      <c r="F214" s="8">
        <f t="shared" si="84"/>
        <v>3.6774363015497764</v>
      </c>
      <c r="G214" s="11">
        <v>0.81</v>
      </c>
      <c r="H214" s="15">
        <v>9.3249999999999995E-4</v>
      </c>
      <c r="I214" s="11">
        <f t="shared" si="85"/>
        <v>13.04572278463271</v>
      </c>
      <c r="J214" s="16">
        <v>4.5</v>
      </c>
      <c r="K214" s="9">
        <v>0.89</v>
      </c>
      <c r="L214" s="14">
        <f t="shared" si="92"/>
        <v>14.547742876788522</v>
      </c>
      <c r="M214" s="6"/>
      <c r="N214" s="2">
        <f t="shared" ref="N214:N219" si="99">-(1.7*K214^2)/19.62</f>
        <v>-6.8632517838939852E-2</v>
      </c>
      <c r="O214">
        <f t="shared" si="93"/>
        <v>0.2420164285714286</v>
      </c>
      <c r="P214">
        <f t="shared" si="96"/>
        <v>1.4154838399830514</v>
      </c>
      <c r="Q214">
        <f t="shared" si="94"/>
        <v>0.50552994285108976</v>
      </c>
      <c r="R214">
        <f t="shared" si="95"/>
        <v>3.7299999999999998E-3</v>
      </c>
    </row>
    <row r="215" spans="1:18" x14ac:dyDescent="0.3">
      <c r="A215">
        <f t="shared" si="87"/>
        <v>1.6666666666666667</v>
      </c>
      <c r="B215">
        <v>15</v>
      </c>
      <c r="C215">
        <v>4</v>
      </c>
      <c r="D215" s="1">
        <v>4.2</v>
      </c>
      <c r="E215" s="3">
        <v>7.6139999999999999</v>
      </c>
      <c r="F215" s="8">
        <f t="shared" si="84"/>
        <v>5.5161544523246651</v>
      </c>
      <c r="G215" s="11">
        <v>0.81</v>
      </c>
      <c r="H215" s="15">
        <v>9.3249999999999995E-4</v>
      </c>
      <c r="I215" s="11">
        <f t="shared" si="85"/>
        <v>19.568584176949066</v>
      </c>
      <c r="J215" s="16">
        <v>4.5</v>
      </c>
      <c r="K215" s="9">
        <v>6.78</v>
      </c>
      <c r="L215" s="14">
        <f t="shared" si="92"/>
        <v>3.9416786478293884</v>
      </c>
      <c r="M215" s="6"/>
      <c r="N215" s="2">
        <f t="shared" si="99"/>
        <v>-3.9829908256880735</v>
      </c>
      <c r="O215">
        <f t="shared" si="93"/>
        <v>1.229117142857143</v>
      </c>
      <c r="P215">
        <f t="shared" si="96"/>
        <v>10.783124084365266</v>
      </c>
      <c r="Q215">
        <f t="shared" si="94"/>
        <v>2.5674104962774442</v>
      </c>
      <c r="R215">
        <f t="shared" si="95"/>
        <v>3.7299999999999998E-3</v>
      </c>
    </row>
    <row r="216" spans="1:18" x14ac:dyDescent="0.3">
      <c r="A216">
        <f t="shared" si="87"/>
        <v>1.6666666666666667</v>
      </c>
      <c r="B216">
        <v>15</v>
      </c>
      <c r="C216">
        <v>4</v>
      </c>
      <c r="D216" s="1">
        <v>5.6</v>
      </c>
      <c r="E216" s="3">
        <v>7.6139999999999999</v>
      </c>
      <c r="F216" s="8">
        <f t="shared" si="84"/>
        <v>7.3548726030995528</v>
      </c>
      <c r="G216" s="11">
        <v>0.81</v>
      </c>
      <c r="H216" s="15">
        <v>9.3249999999999995E-4</v>
      </c>
      <c r="I216" s="11">
        <f t="shared" si="85"/>
        <v>26.091445569265421</v>
      </c>
      <c r="J216" s="16">
        <v>4.5</v>
      </c>
      <c r="K216" s="9">
        <v>14.56</v>
      </c>
      <c r="L216" s="14">
        <f t="shared" si="92"/>
        <v>-3.0004279016510198</v>
      </c>
      <c r="M216" s="6"/>
      <c r="N216" s="2">
        <f t="shared" si="99"/>
        <v>-18.368456676860344</v>
      </c>
      <c r="O216">
        <f t="shared" si="93"/>
        <v>1.9796400000000003</v>
      </c>
      <c r="P216">
        <f t="shared" si="96"/>
        <v>23.156679449610369</v>
      </c>
      <c r="Q216">
        <f t="shared" si="94"/>
        <v>4.135121330287566</v>
      </c>
      <c r="R216">
        <f t="shared" si="95"/>
        <v>3.7299999999999998E-3</v>
      </c>
    </row>
    <row r="217" spans="1:18" x14ac:dyDescent="0.3">
      <c r="A217">
        <f t="shared" si="87"/>
        <v>1.6666666666666667</v>
      </c>
      <c r="B217">
        <v>15</v>
      </c>
      <c r="C217">
        <v>4</v>
      </c>
      <c r="D217" s="1">
        <v>7</v>
      </c>
      <c r="E217" s="3">
        <v>7.6139999999999999</v>
      </c>
      <c r="F217" s="8">
        <f t="shared" si="84"/>
        <v>9.1935907538744406</v>
      </c>
      <c r="G217" s="11">
        <v>0.81</v>
      </c>
      <c r="H217" s="15">
        <v>9.3249999999999995E-4</v>
      </c>
      <c r="I217" s="11">
        <f t="shared" si="85"/>
        <v>32.614306961581775</v>
      </c>
      <c r="J217" s="16">
        <v>4.5</v>
      </c>
      <c r="K217" s="9">
        <v>18.12</v>
      </c>
      <c r="L217" s="14">
        <f t="shared" si="92"/>
        <v>-4.2602457032122789</v>
      </c>
      <c r="M217" s="6"/>
      <c r="N217" s="2">
        <f t="shared" si="99"/>
        <v>-28.448954128440366</v>
      </c>
      <c r="O217">
        <f t="shared" si="93"/>
        <v>1.9709382857142861</v>
      </c>
      <c r="P217">
        <f t="shared" si="96"/>
        <v>28.818614809542574</v>
      </c>
      <c r="Q217">
        <f t="shared" si="94"/>
        <v>4.1169449727917966</v>
      </c>
      <c r="R217">
        <f t="shared" si="95"/>
        <v>3.7299999999999998E-3</v>
      </c>
    </row>
    <row r="218" spans="1:18" x14ac:dyDescent="0.3">
      <c r="A218">
        <f t="shared" si="87"/>
        <v>1.6666666666666667</v>
      </c>
      <c r="B218">
        <v>15</v>
      </c>
      <c r="C218">
        <v>4</v>
      </c>
      <c r="D218" s="1">
        <v>8.4</v>
      </c>
      <c r="E218" s="3">
        <v>7.6139999999999999</v>
      </c>
      <c r="F218" s="8">
        <f t="shared" si="84"/>
        <v>11.03230890464933</v>
      </c>
      <c r="G218" s="11">
        <v>0.81</v>
      </c>
      <c r="H218" s="15">
        <v>9.3249999999999995E-4</v>
      </c>
      <c r="I218" s="11">
        <f t="shared" si="85"/>
        <v>39.137168353898133</v>
      </c>
      <c r="J218" s="16">
        <v>4.5</v>
      </c>
      <c r="K218" s="9">
        <v>24.45</v>
      </c>
      <c r="L218" s="14">
        <f t="shared" si="92"/>
        <v>-6.7222772374669901</v>
      </c>
      <c r="M218" s="6"/>
      <c r="N218" s="2">
        <f t="shared" si="99"/>
        <v>-51.797362385321094</v>
      </c>
      <c r="O218">
        <f t="shared" si="93"/>
        <v>2.216217857142857</v>
      </c>
      <c r="P218">
        <f t="shared" si="96"/>
        <v>38.886044817511916</v>
      </c>
      <c r="Q218">
        <f t="shared" si="94"/>
        <v>4.6292910497037996</v>
      </c>
      <c r="R218">
        <f t="shared" si="95"/>
        <v>3.7299999999999998E-3</v>
      </c>
    </row>
    <row r="219" spans="1:18" x14ac:dyDescent="0.3">
      <c r="A219">
        <f t="shared" si="87"/>
        <v>1.6666666666666667</v>
      </c>
      <c r="B219">
        <v>15</v>
      </c>
      <c r="C219">
        <v>4</v>
      </c>
      <c r="D219" s="9">
        <v>9.8000000000000007</v>
      </c>
      <c r="E219" s="3">
        <v>7.6139999999999999</v>
      </c>
      <c r="F219" s="8">
        <f t="shared" si="84"/>
        <v>12.87102705542422</v>
      </c>
      <c r="G219" s="11">
        <v>0.81</v>
      </c>
      <c r="H219" s="15">
        <v>9.3249999999999995E-4</v>
      </c>
      <c r="I219" s="11">
        <f t="shared" si="85"/>
        <v>45.660029746214491</v>
      </c>
      <c r="J219" s="16">
        <v>4.5</v>
      </c>
      <c r="K219" s="9">
        <v>31.18</v>
      </c>
      <c r="L219" s="14">
        <f t="shared" si="92"/>
        <v>-8.7807210834345835</v>
      </c>
      <c r="M219" s="6"/>
      <c r="N219" s="2">
        <f t="shared" si="99"/>
        <v>-84.236854230377162</v>
      </c>
      <c r="O219">
        <f t="shared" si="93"/>
        <v>2.4224951020408163</v>
      </c>
      <c r="P219">
        <f t="shared" si="96"/>
        <v>49.589647337833185</v>
      </c>
      <c r="Q219">
        <f t="shared" si="94"/>
        <v>5.0601680956972634</v>
      </c>
      <c r="R219">
        <f t="shared" si="95"/>
        <v>3.7299999999999998E-3</v>
      </c>
    </row>
    <row r="220" spans="1:18" x14ac:dyDescent="0.3">
      <c r="A220">
        <f t="shared" si="87"/>
        <v>1.6666666666666667</v>
      </c>
      <c r="B220">
        <v>15</v>
      </c>
      <c r="C220">
        <v>6</v>
      </c>
      <c r="D220" s="1">
        <v>1.4</v>
      </c>
      <c r="E220" s="3">
        <v>7.6139999999999999</v>
      </c>
      <c r="F220" s="8">
        <f t="shared" si="84"/>
        <v>1.8387181507748882</v>
      </c>
      <c r="G220" s="11">
        <v>0.81</v>
      </c>
      <c r="H220" s="15">
        <v>6.2169999999999999E-4</v>
      </c>
      <c r="I220" s="11">
        <f t="shared" si="85"/>
        <v>6.5228613923163552</v>
      </c>
      <c r="J220" s="16">
        <v>3</v>
      </c>
      <c r="K220" s="9">
        <v>0</v>
      </c>
      <c r="L220" s="14">
        <f t="shared" si="92"/>
        <v>58.589260778703682</v>
      </c>
      <c r="M220" s="6"/>
      <c r="N220" s="2">
        <f>-(1.7*K220^2)/19.62</f>
        <v>0</v>
      </c>
      <c r="O220">
        <f t="shared" si="93"/>
        <v>0</v>
      </c>
      <c r="P220">
        <f t="shared" si="96"/>
        <v>0</v>
      </c>
      <c r="Q220">
        <f t="shared" si="94"/>
        <v>0</v>
      </c>
      <c r="R220">
        <f t="shared" si="95"/>
        <v>3.7301999999999999E-3</v>
      </c>
    </row>
    <row r="221" spans="1:18" x14ac:dyDescent="0.3">
      <c r="A221">
        <f t="shared" si="87"/>
        <v>1.6666666666666667</v>
      </c>
      <c r="B221">
        <v>15</v>
      </c>
      <c r="C221">
        <v>6</v>
      </c>
      <c r="D221" s="1">
        <v>2.8</v>
      </c>
      <c r="E221" s="3">
        <v>7.6139999999999999</v>
      </c>
      <c r="F221" s="8">
        <f t="shared" si="84"/>
        <v>3.6774363015497764</v>
      </c>
      <c r="G221" s="11">
        <v>0.81</v>
      </c>
      <c r="H221" s="15">
        <v>6.2169999999999999E-4</v>
      </c>
      <c r="I221" s="11">
        <f t="shared" si="85"/>
        <v>13.04572278463271</v>
      </c>
      <c r="J221" s="16">
        <v>4.5</v>
      </c>
      <c r="K221" s="9">
        <v>1.2</v>
      </c>
      <c r="L221" s="14">
        <f t="shared" si="92"/>
        <v>14.46629747247184</v>
      </c>
      <c r="M221" s="6"/>
      <c r="N221" s="2">
        <f t="shared" ref="N221:N226" si="100">-(1.7*K221^2)/19.62</f>
        <v>-0.12477064220183486</v>
      </c>
      <c r="O221">
        <f t="shared" si="93"/>
        <v>0.32631428571428572</v>
      </c>
      <c r="P221">
        <f t="shared" si="96"/>
        <v>1.9085175370557994</v>
      </c>
      <c r="Q221">
        <f t="shared" si="94"/>
        <v>0.68161340609135701</v>
      </c>
      <c r="R221">
        <f t="shared" si="95"/>
        <v>3.7301999999999999E-3</v>
      </c>
    </row>
    <row r="222" spans="1:18" x14ac:dyDescent="0.3">
      <c r="A222">
        <f t="shared" si="87"/>
        <v>1.6666666666666667</v>
      </c>
      <c r="B222">
        <v>15</v>
      </c>
      <c r="C222">
        <v>6</v>
      </c>
      <c r="D222" s="1">
        <v>4.2</v>
      </c>
      <c r="E222" s="3">
        <v>7.6139999999999999</v>
      </c>
      <c r="F222" s="8">
        <f t="shared" si="84"/>
        <v>5.5161544523246651</v>
      </c>
      <c r="G222" s="11">
        <v>0.81</v>
      </c>
      <c r="H222" s="15">
        <v>6.2169999999999999E-4</v>
      </c>
      <c r="I222" s="11">
        <f t="shared" si="85"/>
        <v>19.568584176949066</v>
      </c>
      <c r="J222" s="16">
        <v>4.5</v>
      </c>
      <c r="K222" s="9">
        <v>6.88</v>
      </c>
      <c r="L222" s="14">
        <f t="shared" si="92"/>
        <v>3.865360682233471</v>
      </c>
      <c r="M222" s="6"/>
      <c r="N222" s="2">
        <f t="shared" si="100"/>
        <v>-4.1013496432212015</v>
      </c>
      <c r="O222">
        <f t="shared" si="93"/>
        <v>1.2472457142857143</v>
      </c>
      <c r="P222">
        <f t="shared" si="96"/>
        <v>10.942167212453249</v>
      </c>
      <c r="Q222">
        <f t="shared" si="94"/>
        <v>2.6052779077269639</v>
      </c>
      <c r="R222">
        <f t="shared" si="95"/>
        <v>3.7301999999999999E-3</v>
      </c>
    </row>
    <row r="223" spans="1:18" x14ac:dyDescent="0.3">
      <c r="A223">
        <f t="shared" si="87"/>
        <v>1.6666666666666667</v>
      </c>
      <c r="B223">
        <v>15</v>
      </c>
      <c r="C223">
        <v>6</v>
      </c>
      <c r="D223" s="1">
        <v>5.6</v>
      </c>
      <c r="E223" s="3">
        <v>7.6139999999999999</v>
      </c>
      <c r="F223" s="8">
        <f t="shared" si="84"/>
        <v>7.3548726030995528</v>
      </c>
      <c r="G223" s="11">
        <v>0.81</v>
      </c>
      <c r="H223" s="15">
        <v>6.2169999999999999E-4</v>
      </c>
      <c r="I223" s="11">
        <f t="shared" si="85"/>
        <v>26.091445569265421</v>
      </c>
      <c r="J223" s="16">
        <v>4.5</v>
      </c>
      <c r="K223" s="9">
        <v>12.78</v>
      </c>
      <c r="L223" s="14">
        <f t="shared" si="92"/>
        <v>-1.4710418505041325</v>
      </c>
      <c r="M223" s="6"/>
      <c r="N223" s="2">
        <f t="shared" si="100"/>
        <v>-14.151798165137613</v>
      </c>
      <c r="O223">
        <f t="shared" si="93"/>
        <v>1.7376235714285715</v>
      </c>
      <c r="P223">
        <f t="shared" si="96"/>
        <v>20.325711769644261</v>
      </c>
      <c r="Q223">
        <f t="shared" si="94"/>
        <v>3.6295913874364754</v>
      </c>
      <c r="R223">
        <f t="shared" si="95"/>
        <v>3.7301999999999999E-3</v>
      </c>
    </row>
    <row r="224" spans="1:18" x14ac:dyDescent="0.3">
      <c r="A224">
        <f t="shared" si="87"/>
        <v>1.6666666666666667</v>
      </c>
      <c r="B224">
        <v>15</v>
      </c>
      <c r="C224">
        <v>6</v>
      </c>
      <c r="D224" s="1">
        <v>7</v>
      </c>
      <c r="E224" s="3">
        <v>7.6139999999999999</v>
      </c>
      <c r="F224" s="8">
        <f t="shared" si="84"/>
        <v>9.1935907538744406</v>
      </c>
      <c r="G224" s="11">
        <v>0.81</v>
      </c>
      <c r="H224" s="15">
        <v>6.2169999999999999E-4</v>
      </c>
      <c r="I224" s="11">
        <f t="shared" si="85"/>
        <v>32.614306961581775</v>
      </c>
      <c r="J224" s="16">
        <v>4.5</v>
      </c>
      <c r="K224" s="9">
        <v>18.73</v>
      </c>
      <c r="L224" s="14">
        <f t="shared" si="92"/>
        <v>-4.7123575774972188</v>
      </c>
      <c r="M224" s="6"/>
      <c r="N224" s="2">
        <f t="shared" si="100"/>
        <v>-30.396632517838938</v>
      </c>
      <c r="O224">
        <f t="shared" si="93"/>
        <v>2.0372888571428573</v>
      </c>
      <c r="P224">
        <f t="shared" si="96"/>
        <v>29.78877789087927</v>
      </c>
      <c r="Q224">
        <f t="shared" si="94"/>
        <v>4.2555396986970386</v>
      </c>
      <c r="R224">
        <f t="shared" si="95"/>
        <v>3.7301999999999999E-3</v>
      </c>
    </row>
    <row r="225" spans="1:18" x14ac:dyDescent="0.3">
      <c r="A225">
        <f t="shared" si="87"/>
        <v>1.6666666666666667</v>
      </c>
      <c r="B225">
        <v>15</v>
      </c>
      <c r="C225">
        <v>6</v>
      </c>
      <c r="D225" s="1">
        <v>8.4</v>
      </c>
      <c r="E225" s="3">
        <v>7.6139999999999999</v>
      </c>
      <c r="F225" s="8">
        <f t="shared" si="84"/>
        <v>11.03230890464933</v>
      </c>
      <c r="G225" s="11">
        <v>0.81</v>
      </c>
      <c r="H225" s="15">
        <v>6.2169999999999999E-4</v>
      </c>
      <c r="I225" s="11">
        <f t="shared" si="85"/>
        <v>39.137168353898133</v>
      </c>
      <c r="J225" s="16">
        <v>4.5</v>
      </c>
      <c r="K225" s="9">
        <v>21.47</v>
      </c>
      <c r="L225" s="14">
        <f t="shared" si="92"/>
        <v>-4.8109535696612751</v>
      </c>
      <c r="M225" s="6"/>
      <c r="N225" s="2">
        <f t="shared" si="100"/>
        <v>-39.940546890927614</v>
      </c>
      <c r="O225">
        <f t="shared" si="93"/>
        <v>1.9461021428571428</v>
      </c>
      <c r="P225">
        <f t="shared" si="96"/>
        <v>34.146559600490008</v>
      </c>
      <c r="Q225">
        <f t="shared" si="94"/>
        <v>4.065066619105953</v>
      </c>
      <c r="R225">
        <f t="shared" si="95"/>
        <v>3.7301999999999999E-3</v>
      </c>
    </row>
    <row r="226" spans="1:18" x14ac:dyDescent="0.3">
      <c r="A226">
        <f t="shared" si="87"/>
        <v>1.6666666666666667</v>
      </c>
      <c r="B226">
        <v>15</v>
      </c>
      <c r="C226">
        <v>6</v>
      </c>
      <c r="D226" s="9">
        <v>9.8000000000000007</v>
      </c>
      <c r="E226" s="3">
        <v>7.6139999999999999</v>
      </c>
      <c r="F226" s="8">
        <f t="shared" si="84"/>
        <v>12.87102705542422</v>
      </c>
      <c r="G226" s="11">
        <v>0.81</v>
      </c>
      <c r="H226" s="15">
        <v>6.2169999999999999E-4</v>
      </c>
      <c r="I226" s="11">
        <f t="shared" si="85"/>
        <v>45.660029746214491</v>
      </c>
      <c r="J226" s="16">
        <v>4.5</v>
      </c>
      <c r="K226" s="9">
        <v>24.69</v>
      </c>
      <c r="L226" s="14">
        <f t="shared" si="92"/>
        <v>-5.0598392066983129</v>
      </c>
      <c r="M226" s="6"/>
      <c r="N226" s="2">
        <f t="shared" si="100"/>
        <v>-52.819233944954128</v>
      </c>
      <c r="O226">
        <f t="shared" si="93"/>
        <v>1.9182618367346937</v>
      </c>
      <c r="P226">
        <f t="shared" si="96"/>
        <v>39.267748324923076</v>
      </c>
      <c r="Q226">
        <f t="shared" si="94"/>
        <v>4.0069130943799056</v>
      </c>
      <c r="R226">
        <f t="shared" si="95"/>
        <v>3.7301999999999999E-3</v>
      </c>
    </row>
    <row r="227" spans="1:18" x14ac:dyDescent="0.3">
      <c r="A227">
        <f t="shared" si="87"/>
        <v>1.6666666666666667</v>
      </c>
      <c r="B227">
        <v>20</v>
      </c>
      <c r="C227">
        <v>1</v>
      </c>
      <c r="D227" s="1">
        <v>1.7</v>
      </c>
      <c r="E227" s="3">
        <v>10.151999999999999</v>
      </c>
      <c r="F227" s="8">
        <f t="shared" si="84"/>
        <v>1.6745468873128448</v>
      </c>
      <c r="G227" s="11">
        <v>1.08</v>
      </c>
      <c r="H227" s="15">
        <v>4.8399999999999997E-3</v>
      </c>
      <c r="I227" s="11">
        <f t="shared" si="85"/>
        <v>5.144591914761528</v>
      </c>
      <c r="J227" s="16">
        <v>3</v>
      </c>
      <c r="K227" s="9">
        <v>0</v>
      </c>
      <c r="L227" s="14">
        <f t="shared" si="92"/>
        <v>70.640492811232093</v>
      </c>
      <c r="M227" s="6"/>
      <c r="N227" s="2">
        <f>-(1.7*K227^2)/19.62</f>
        <v>0</v>
      </c>
      <c r="O227">
        <f t="shared" si="93"/>
        <v>0</v>
      </c>
      <c r="P227">
        <f t="shared" si="96"/>
        <v>0</v>
      </c>
      <c r="Q227">
        <f t="shared" si="94"/>
        <v>0</v>
      </c>
      <c r="R227">
        <f t="shared" si="95"/>
        <v>4.8399999999999997E-3</v>
      </c>
    </row>
    <row r="228" spans="1:18" x14ac:dyDescent="0.3">
      <c r="A228">
        <f t="shared" si="87"/>
        <v>1.6666666666666667</v>
      </c>
      <c r="B228">
        <v>20</v>
      </c>
      <c r="C228">
        <v>1</v>
      </c>
      <c r="D228" s="1">
        <v>3.4</v>
      </c>
      <c r="E228" s="3">
        <v>10.151999999999999</v>
      </c>
      <c r="F228" s="8">
        <f t="shared" si="84"/>
        <v>3.3490937746256897</v>
      </c>
      <c r="G228" s="11">
        <v>1.08</v>
      </c>
      <c r="H228" s="15">
        <v>4.8399999999999997E-3</v>
      </c>
      <c r="I228" s="11">
        <f t="shared" si="85"/>
        <v>10.289183829523056</v>
      </c>
      <c r="J228" s="16">
        <v>4.5</v>
      </c>
      <c r="K228" s="9">
        <v>0.4</v>
      </c>
      <c r="L228" s="14">
        <f t="shared" si="92"/>
        <v>17.635873060690376</v>
      </c>
      <c r="M228" s="6"/>
      <c r="N228" s="2">
        <f t="shared" ref="N228:N233" si="101">-(1.7*K228^2)/19.62</f>
        <v>-1.3863404689092763E-2</v>
      </c>
      <c r="O228">
        <f t="shared" si="93"/>
        <v>0.11943529411764706</v>
      </c>
      <c r="P228">
        <f t="shared" si="96"/>
        <v>0.63617251235193317</v>
      </c>
      <c r="Q228">
        <f t="shared" si="94"/>
        <v>0.18710956245645094</v>
      </c>
      <c r="R228">
        <f t="shared" si="95"/>
        <v>4.8399999999999997E-3</v>
      </c>
    </row>
    <row r="229" spans="1:18" x14ac:dyDescent="0.3">
      <c r="A229">
        <f t="shared" si="87"/>
        <v>1.6666666666666667</v>
      </c>
      <c r="B229">
        <v>20</v>
      </c>
      <c r="C229">
        <v>1</v>
      </c>
      <c r="D229" s="1">
        <v>5.0999999999999996</v>
      </c>
      <c r="E229" s="3">
        <v>10.151999999999999</v>
      </c>
      <c r="F229" s="8">
        <f t="shared" ref="F229:F292" si="102">(D229*10^-3)/(E229*10^-4)</f>
        <v>5.0236406619385336</v>
      </c>
      <c r="G229" s="11">
        <v>1.08</v>
      </c>
      <c r="H229" s="15">
        <v>4.8399999999999997E-3</v>
      </c>
      <c r="I229" s="11">
        <f t="shared" ref="I229:I292" si="103">(F229)/((9.81*G229*10^-2))^(1/2)</f>
        <v>15.433775744284583</v>
      </c>
      <c r="J229" s="16">
        <v>4.5</v>
      </c>
      <c r="K229" s="9">
        <v>3.77</v>
      </c>
      <c r="L229" s="14">
        <f t="shared" si="92"/>
        <v>6.8915412987371649</v>
      </c>
      <c r="M229" s="6"/>
      <c r="N229" s="2">
        <f t="shared" si="101"/>
        <v>-1.2314949031600406</v>
      </c>
      <c r="O229">
        <f t="shared" si="93"/>
        <v>0.75045176470588248</v>
      </c>
      <c r="P229">
        <f t="shared" si="96"/>
        <v>5.9959259289169697</v>
      </c>
      <c r="Q229">
        <f t="shared" si="94"/>
        <v>1.1756717507680334</v>
      </c>
      <c r="R229">
        <f t="shared" si="95"/>
        <v>4.8399999999999997E-3</v>
      </c>
    </row>
    <row r="230" spans="1:18" x14ac:dyDescent="0.3">
      <c r="A230">
        <f t="shared" si="87"/>
        <v>1.6666666666666667</v>
      </c>
      <c r="B230">
        <v>20</v>
      </c>
      <c r="C230">
        <v>1</v>
      </c>
      <c r="D230" s="1">
        <v>6.8</v>
      </c>
      <c r="E230" s="3">
        <v>10.151999999999999</v>
      </c>
      <c r="F230" s="8">
        <f t="shared" si="102"/>
        <v>6.6981875492513794</v>
      </c>
      <c r="G230" s="11">
        <v>1.08</v>
      </c>
      <c r="H230" s="15">
        <v>4.8399999999999997E-3</v>
      </c>
      <c r="I230" s="11">
        <f t="shared" si="103"/>
        <v>20.578367659046112</v>
      </c>
      <c r="J230" s="16">
        <v>4.5</v>
      </c>
      <c r="K230" s="9">
        <v>8.06</v>
      </c>
      <c r="L230" s="14">
        <f t="shared" si="92"/>
        <v>1.9535049687114177</v>
      </c>
      <c r="M230" s="6"/>
      <c r="N230" s="2">
        <f t="shared" si="101"/>
        <v>-5.6288542303771676</v>
      </c>
      <c r="O230">
        <f t="shared" si="93"/>
        <v>1.2033105882352941</v>
      </c>
      <c r="P230">
        <f t="shared" si="96"/>
        <v>12.818876123891453</v>
      </c>
      <c r="Q230">
        <f t="shared" si="94"/>
        <v>1.8851288417487431</v>
      </c>
      <c r="R230">
        <f t="shared" si="95"/>
        <v>4.8399999999999997E-3</v>
      </c>
    </row>
    <row r="231" spans="1:18" x14ac:dyDescent="0.3">
      <c r="A231">
        <f t="shared" si="87"/>
        <v>1.6666666666666667</v>
      </c>
      <c r="B231">
        <v>20</v>
      </c>
      <c r="C231">
        <v>1</v>
      </c>
      <c r="D231" s="1">
        <v>8.5</v>
      </c>
      <c r="E231" s="3">
        <v>10.151999999999999</v>
      </c>
      <c r="F231" s="8">
        <f t="shared" si="102"/>
        <v>8.3727344365642242</v>
      </c>
      <c r="G231" s="11">
        <v>1.08</v>
      </c>
      <c r="H231" s="15">
        <v>4.8399999999999997E-3</v>
      </c>
      <c r="I231" s="11">
        <f t="shared" si="103"/>
        <v>25.722959573807643</v>
      </c>
      <c r="J231" s="16">
        <v>4.5</v>
      </c>
      <c r="K231" s="9">
        <v>12.27</v>
      </c>
      <c r="L231" s="14">
        <f t="shared" si="92"/>
        <v>-0.82530950877462084</v>
      </c>
      <c r="M231" s="6"/>
      <c r="N231" s="2">
        <f t="shared" si="101"/>
        <v>-13.044848623853209</v>
      </c>
      <c r="O231">
        <f t="shared" si="93"/>
        <v>1.4654710588235293</v>
      </c>
      <c r="P231">
        <f t="shared" si="96"/>
        <v>19.514591816395548</v>
      </c>
      <c r="Q231">
        <f t="shared" si="94"/>
        <v>2.2958343313406528</v>
      </c>
      <c r="R231">
        <f t="shared" si="95"/>
        <v>4.8399999999999997E-3</v>
      </c>
    </row>
    <row r="232" spans="1:18" x14ac:dyDescent="0.3">
      <c r="A232">
        <f t="shared" si="87"/>
        <v>1.6666666666666667</v>
      </c>
      <c r="B232">
        <v>20</v>
      </c>
      <c r="C232">
        <v>1</v>
      </c>
      <c r="D232" s="1">
        <v>10.199999999999999</v>
      </c>
      <c r="E232" s="3">
        <v>10.151999999999999</v>
      </c>
      <c r="F232" s="8">
        <f t="shared" si="102"/>
        <v>10.047281323877067</v>
      </c>
      <c r="G232" s="11">
        <v>1.08</v>
      </c>
      <c r="H232" s="15">
        <v>4.8399999999999997E-3</v>
      </c>
      <c r="I232" s="11">
        <f t="shared" si="103"/>
        <v>30.867551488569166</v>
      </c>
      <c r="J232" s="16">
        <v>4.5</v>
      </c>
      <c r="K232" s="9">
        <v>15.72</v>
      </c>
      <c r="L232" s="14">
        <f t="shared" si="92"/>
        <v>-2.1993309773862983</v>
      </c>
      <c r="M232" s="6"/>
      <c r="N232" s="2">
        <f t="shared" si="101"/>
        <v>-21.411889908256882</v>
      </c>
      <c r="O232">
        <f t="shared" si="93"/>
        <v>1.5646023529411768</v>
      </c>
      <c r="P232">
        <f t="shared" si="96"/>
        <v>25.001579735430973</v>
      </c>
      <c r="Q232">
        <f t="shared" si="94"/>
        <v>2.4511352681795073</v>
      </c>
      <c r="R232">
        <f t="shared" si="95"/>
        <v>4.8399999999999997E-3</v>
      </c>
    </row>
    <row r="233" spans="1:18" x14ac:dyDescent="0.3">
      <c r="A233">
        <f t="shared" si="87"/>
        <v>1.6666666666666667</v>
      </c>
      <c r="B233">
        <v>20</v>
      </c>
      <c r="C233">
        <v>1</v>
      </c>
      <c r="D233" s="1">
        <v>12.2</v>
      </c>
      <c r="E233" s="3">
        <v>10.151999999999999</v>
      </c>
      <c r="F233" s="8">
        <f t="shared" si="102"/>
        <v>12.017336485421591</v>
      </c>
      <c r="G233" s="11">
        <v>1.08</v>
      </c>
      <c r="H233" s="15">
        <v>4.8399999999999997E-3</v>
      </c>
      <c r="I233" s="11">
        <f t="shared" si="103"/>
        <v>36.920012564759197</v>
      </c>
      <c r="J233" s="16">
        <v>4.5</v>
      </c>
      <c r="K233" s="9">
        <v>20.85</v>
      </c>
      <c r="L233" s="14">
        <f t="shared" si="92"/>
        <v>-3.7457298418598453</v>
      </c>
      <c r="M233" s="6"/>
      <c r="N233" s="2">
        <f t="shared" si="101"/>
        <v>-37.667087155963301</v>
      </c>
      <c r="O233">
        <f t="shared" si="93"/>
        <v>1.734993442622951</v>
      </c>
      <c r="P233">
        <f t="shared" si="96"/>
        <v>33.160492206344514</v>
      </c>
      <c r="Q233">
        <f t="shared" si="94"/>
        <v>2.7180731316675835</v>
      </c>
      <c r="R233">
        <f t="shared" si="95"/>
        <v>4.8399999999999997E-3</v>
      </c>
    </row>
    <row r="234" spans="1:18" x14ac:dyDescent="0.3">
      <c r="A234">
        <f t="shared" si="87"/>
        <v>1.6666666666666667</v>
      </c>
      <c r="B234">
        <v>20</v>
      </c>
      <c r="C234">
        <v>2</v>
      </c>
      <c r="D234" s="1">
        <v>1.7</v>
      </c>
      <c r="E234" s="3">
        <v>10.151999999999999</v>
      </c>
      <c r="F234" s="8">
        <f t="shared" si="102"/>
        <v>1.6745468873128448</v>
      </c>
      <c r="G234" s="11">
        <v>1.08</v>
      </c>
      <c r="H234" s="15">
        <v>2.4199999999999998E-3</v>
      </c>
      <c r="I234" s="11">
        <f t="shared" si="103"/>
        <v>5.144591914761528</v>
      </c>
      <c r="J234" s="16">
        <v>4.5</v>
      </c>
      <c r="K234" s="9">
        <v>0</v>
      </c>
      <c r="L234" s="14">
        <f t="shared" si="92"/>
        <v>70.640492811232093</v>
      </c>
      <c r="M234" s="6"/>
      <c r="N234" s="2">
        <f>-(1.7*K234^2)/19.62</f>
        <v>0</v>
      </c>
      <c r="O234">
        <f t="shared" si="93"/>
        <v>0</v>
      </c>
      <c r="P234">
        <f t="shared" si="96"/>
        <v>0</v>
      </c>
      <c r="Q234">
        <f t="shared" si="94"/>
        <v>0</v>
      </c>
      <c r="R234">
        <f t="shared" si="95"/>
        <v>4.8399999999999997E-3</v>
      </c>
    </row>
    <row r="235" spans="1:18" x14ac:dyDescent="0.3">
      <c r="A235">
        <f t="shared" si="87"/>
        <v>1.6666666666666667</v>
      </c>
      <c r="B235">
        <v>20</v>
      </c>
      <c r="C235">
        <v>2</v>
      </c>
      <c r="D235" s="1">
        <v>3.4</v>
      </c>
      <c r="E235" s="3">
        <v>10.151999999999999</v>
      </c>
      <c r="F235" s="8">
        <f t="shared" si="102"/>
        <v>3.3490937746256897</v>
      </c>
      <c r="G235" s="11">
        <v>1.08</v>
      </c>
      <c r="H235" s="15">
        <v>2.4199999999999998E-3</v>
      </c>
      <c r="I235" s="11">
        <f t="shared" si="103"/>
        <v>10.289183829523056</v>
      </c>
      <c r="J235" s="16">
        <v>4.5</v>
      </c>
      <c r="K235" s="9">
        <v>4.5199999999999996</v>
      </c>
      <c r="L235" s="14">
        <f t="shared" si="92"/>
        <v>14.563622555805674</v>
      </c>
      <c r="M235" s="6"/>
      <c r="N235" s="2">
        <f t="shared" ref="N235:N240" si="104">-(1.7*K235^2)/19.62</f>
        <v>-1.7702181447502543</v>
      </c>
      <c r="O235">
        <f t="shared" si="93"/>
        <v>1.3496188235294115</v>
      </c>
      <c r="P235">
        <f t="shared" si="96"/>
        <v>7.1887493895768433</v>
      </c>
      <c r="Q235">
        <f t="shared" si="94"/>
        <v>2.1143380557578952</v>
      </c>
      <c r="R235">
        <f t="shared" si="95"/>
        <v>4.8399999999999997E-3</v>
      </c>
    </row>
    <row r="236" spans="1:18" x14ac:dyDescent="0.3">
      <c r="A236">
        <f t="shared" ref="A236:A299" si="105">100/60</f>
        <v>1.6666666666666667</v>
      </c>
      <c r="B236">
        <v>20</v>
      </c>
      <c r="C236">
        <v>2</v>
      </c>
      <c r="D236" s="1">
        <v>5.0999999999999996</v>
      </c>
      <c r="E236" s="3">
        <v>10.151999999999999</v>
      </c>
      <c r="F236" s="8">
        <f t="shared" si="102"/>
        <v>5.0236406619385336</v>
      </c>
      <c r="G236" s="11">
        <v>1.08</v>
      </c>
      <c r="H236" s="15">
        <v>2.4199999999999998E-3</v>
      </c>
      <c r="I236" s="11">
        <f t="shared" si="103"/>
        <v>15.433775744284583</v>
      </c>
      <c r="J236" s="16">
        <v>4.5</v>
      </c>
      <c r="K236" s="9">
        <v>8.19</v>
      </c>
      <c r="L236" s="14">
        <f t="shared" si="92"/>
        <v>3.3305965409771647</v>
      </c>
      <c r="M236" s="6"/>
      <c r="N236" s="2">
        <f t="shared" si="104"/>
        <v>-5.8118944954128429</v>
      </c>
      <c r="O236">
        <f t="shared" si="93"/>
        <v>1.6302917647058826</v>
      </c>
      <c r="P236">
        <f t="shared" si="96"/>
        <v>13.02563219040583</v>
      </c>
      <c r="Q236">
        <f t="shared" si="94"/>
        <v>2.5540455275305551</v>
      </c>
      <c r="R236">
        <f t="shared" si="95"/>
        <v>4.8399999999999997E-3</v>
      </c>
    </row>
    <row r="237" spans="1:18" x14ac:dyDescent="0.3">
      <c r="A237">
        <f t="shared" si="105"/>
        <v>1.6666666666666667</v>
      </c>
      <c r="B237">
        <v>20</v>
      </c>
      <c r="C237">
        <v>2</v>
      </c>
      <c r="D237" s="1">
        <v>6.8</v>
      </c>
      <c r="E237" s="3">
        <v>10.151999999999999</v>
      </c>
      <c r="F237" s="8">
        <f t="shared" si="102"/>
        <v>6.6981875492513794</v>
      </c>
      <c r="G237" s="11">
        <v>1.08</v>
      </c>
      <c r="H237" s="15">
        <v>2.4199999999999998E-3</v>
      </c>
      <c r="I237" s="11">
        <f t="shared" si="103"/>
        <v>20.578367659046112</v>
      </c>
      <c r="J237" s="16">
        <v>4.5</v>
      </c>
      <c r="K237" s="9">
        <v>12.26</v>
      </c>
      <c r="L237" s="14">
        <f t="shared" si="92"/>
        <v>-1.2802514826768161</v>
      </c>
      <c r="M237" s="6"/>
      <c r="N237" s="2">
        <f t="shared" si="104"/>
        <v>-13.023594291539245</v>
      </c>
      <c r="O237">
        <f t="shared" si="93"/>
        <v>1.830345882352941</v>
      </c>
      <c r="P237">
        <f t="shared" si="96"/>
        <v>19.498687503586748</v>
      </c>
      <c r="Q237">
        <f t="shared" si="94"/>
        <v>2.8674540446451102</v>
      </c>
      <c r="R237">
        <f t="shared" si="95"/>
        <v>4.8399999999999997E-3</v>
      </c>
    </row>
    <row r="238" spans="1:18" x14ac:dyDescent="0.3">
      <c r="A238">
        <f t="shared" si="105"/>
        <v>1.6666666666666667</v>
      </c>
      <c r="B238">
        <v>20</v>
      </c>
      <c r="C238">
        <v>2</v>
      </c>
      <c r="D238" s="1">
        <v>8.5</v>
      </c>
      <c r="E238" s="3">
        <v>10.151999999999999</v>
      </c>
      <c r="F238" s="8">
        <f t="shared" si="102"/>
        <v>8.3727344365642242</v>
      </c>
      <c r="G238" s="11">
        <v>1.08</v>
      </c>
      <c r="H238" s="15">
        <v>2.4199999999999998E-3</v>
      </c>
      <c r="I238" s="11">
        <f t="shared" si="103"/>
        <v>25.722959573807643</v>
      </c>
      <c r="J238" s="16">
        <v>4.5</v>
      </c>
      <c r="K238" s="9">
        <v>18.43</v>
      </c>
      <c r="L238" s="14">
        <f t="shared" si="92"/>
        <v>-5.4113023849270911</v>
      </c>
      <c r="M238" s="6"/>
      <c r="N238" s="2">
        <f t="shared" si="104"/>
        <v>-29.430699796126397</v>
      </c>
      <c r="O238">
        <f t="shared" si="93"/>
        <v>2.2011924705882353</v>
      </c>
      <c r="P238">
        <f t="shared" si="96"/>
        <v>29.31164850661532</v>
      </c>
      <c r="Q238">
        <f t="shared" si="94"/>
        <v>3.4484292360723905</v>
      </c>
      <c r="R238">
        <f t="shared" si="95"/>
        <v>4.8399999999999997E-3</v>
      </c>
    </row>
    <row r="239" spans="1:18" x14ac:dyDescent="0.3">
      <c r="A239">
        <f t="shared" si="105"/>
        <v>1.6666666666666667</v>
      </c>
      <c r="B239">
        <v>20</v>
      </c>
      <c r="C239">
        <v>2</v>
      </c>
      <c r="D239" s="1">
        <v>10.199999999999999</v>
      </c>
      <c r="E239" s="3">
        <v>10.151999999999999</v>
      </c>
      <c r="F239" s="8">
        <f t="shared" si="102"/>
        <v>10.047281323877067</v>
      </c>
      <c r="G239" s="11">
        <v>1.08</v>
      </c>
      <c r="H239" s="15">
        <v>2.4199999999999998E-3</v>
      </c>
      <c r="I239" s="11">
        <f t="shared" si="103"/>
        <v>30.867551488569166</v>
      </c>
      <c r="J239" s="16">
        <v>4.5</v>
      </c>
      <c r="K239" s="9">
        <v>25.26</v>
      </c>
      <c r="L239" s="14">
        <f t="shared" si="92"/>
        <v>-8.7830626862615961</v>
      </c>
      <c r="M239" s="6"/>
      <c r="N239" s="2">
        <f t="shared" si="104"/>
        <v>-55.286183486238535</v>
      </c>
      <c r="O239">
        <f t="shared" si="93"/>
        <v>2.5141129411764709</v>
      </c>
      <c r="P239">
        <f t="shared" si="96"/>
        <v>40.174294155024576</v>
      </c>
      <c r="Q239">
        <f t="shared" si="94"/>
        <v>3.938656289708292</v>
      </c>
      <c r="R239">
        <f t="shared" si="95"/>
        <v>4.8399999999999997E-3</v>
      </c>
    </row>
    <row r="240" spans="1:18" x14ac:dyDescent="0.3">
      <c r="A240">
        <f t="shared" si="105"/>
        <v>1.6666666666666667</v>
      </c>
      <c r="B240">
        <v>20</v>
      </c>
      <c r="C240">
        <v>2</v>
      </c>
      <c r="D240" s="1">
        <v>12.2</v>
      </c>
      <c r="E240" s="3">
        <v>10.151999999999999</v>
      </c>
      <c r="F240" s="8">
        <f t="shared" si="102"/>
        <v>12.017336485421591</v>
      </c>
      <c r="G240" s="11">
        <v>1.08</v>
      </c>
      <c r="H240" s="15">
        <v>2.4199999999999998E-3</v>
      </c>
      <c r="I240" s="11">
        <f t="shared" si="103"/>
        <v>36.920012564759197</v>
      </c>
      <c r="J240" s="16">
        <v>4.5</v>
      </c>
      <c r="K240" s="9">
        <v>32.49</v>
      </c>
      <c r="L240" s="14">
        <f t="shared" si="92"/>
        <v>-11.054401806527926</v>
      </c>
      <c r="M240" s="6"/>
      <c r="N240" s="2">
        <f t="shared" si="104"/>
        <v>-91.463821100917443</v>
      </c>
      <c r="O240">
        <f t="shared" si="93"/>
        <v>2.7035940983606559</v>
      </c>
      <c r="P240">
        <f t="shared" si="96"/>
        <v>51.673112315785772</v>
      </c>
      <c r="Q240">
        <f t="shared" si="94"/>
        <v>4.2355010094906369</v>
      </c>
      <c r="R240">
        <f t="shared" si="95"/>
        <v>4.8399999999999997E-3</v>
      </c>
    </row>
    <row r="241" spans="1:18" x14ac:dyDescent="0.3">
      <c r="A241">
        <f t="shared" si="105"/>
        <v>1.6666666666666667</v>
      </c>
      <c r="B241">
        <v>20</v>
      </c>
      <c r="C241">
        <v>4</v>
      </c>
      <c r="D241" s="1">
        <v>1.7</v>
      </c>
      <c r="E241" s="3">
        <v>10.151999999999999</v>
      </c>
      <c r="F241" s="8">
        <f t="shared" si="102"/>
        <v>1.6745468873128448</v>
      </c>
      <c r="G241" s="11">
        <v>1.08</v>
      </c>
      <c r="H241" s="15">
        <v>1.2099999999999999E-3</v>
      </c>
      <c r="I241" s="11">
        <f t="shared" si="103"/>
        <v>5.144591914761528</v>
      </c>
      <c r="J241" s="16">
        <v>4.5</v>
      </c>
      <c r="K241" s="9">
        <v>0</v>
      </c>
      <c r="L241" s="14">
        <f t="shared" si="92"/>
        <v>70.640492811232093</v>
      </c>
      <c r="M241" s="6"/>
      <c r="N241" s="2">
        <f>-(1.7*K241^2)/19.62</f>
        <v>0</v>
      </c>
      <c r="O241">
        <f t="shared" si="93"/>
        <v>0</v>
      </c>
      <c r="P241">
        <f t="shared" si="96"/>
        <v>0</v>
      </c>
      <c r="Q241">
        <f t="shared" si="94"/>
        <v>0</v>
      </c>
      <c r="R241">
        <f t="shared" si="95"/>
        <v>4.8399999999999997E-3</v>
      </c>
    </row>
    <row r="242" spans="1:18" x14ac:dyDescent="0.3">
      <c r="A242">
        <f t="shared" si="105"/>
        <v>1.6666666666666667</v>
      </c>
      <c r="B242">
        <v>20</v>
      </c>
      <c r="C242">
        <v>4</v>
      </c>
      <c r="D242" s="1">
        <v>3.4</v>
      </c>
      <c r="E242" s="3">
        <v>10.151999999999999</v>
      </c>
      <c r="F242" s="8">
        <f t="shared" si="102"/>
        <v>3.3490937746256897</v>
      </c>
      <c r="G242" s="11">
        <v>1.08</v>
      </c>
      <c r="H242" s="15">
        <v>1.2099999999999999E-3</v>
      </c>
      <c r="I242" s="11">
        <f t="shared" si="103"/>
        <v>10.289183829523056</v>
      </c>
      <c r="J242" s="16">
        <v>4.5</v>
      </c>
      <c r="K242" s="9">
        <v>6.26</v>
      </c>
      <c r="L242" s="14">
        <f t="shared" si="92"/>
        <v>11.720717769998616</v>
      </c>
      <c r="M242" s="6"/>
      <c r="N242" s="2">
        <f t="shared" ref="N242:N247" si="106">-(1.7*K242^2)/19.62</f>
        <v>-3.3954597349643212</v>
      </c>
      <c r="O242">
        <f t="shared" si="93"/>
        <v>1.8691623529411763</v>
      </c>
      <c r="P242">
        <f t="shared" si="96"/>
        <v>9.9560998183077523</v>
      </c>
      <c r="Q242">
        <f t="shared" si="94"/>
        <v>2.9282646524434566</v>
      </c>
      <c r="R242">
        <f t="shared" si="95"/>
        <v>4.8399999999999997E-3</v>
      </c>
    </row>
    <row r="243" spans="1:18" x14ac:dyDescent="0.3">
      <c r="A243">
        <f t="shared" si="105"/>
        <v>1.6666666666666667</v>
      </c>
      <c r="B243">
        <v>20</v>
      </c>
      <c r="C243">
        <v>4</v>
      </c>
      <c r="D243" s="1">
        <v>5.0999999999999996</v>
      </c>
      <c r="E243" s="3">
        <v>10.151999999999999</v>
      </c>
      <c r="F243" s="8">
        <f t="shared" si="102"/>
        <v>5.0236406619385336</v>
      </c>
      <c r="G243" s="11">
        <v>1.08</v>
      </c>
      <c r="H243" s="15">
        <v>1.2099999999999999E-3</v>
      </c>
      <c r="I243" s="11">
        <f t="shared" si="103"/>
        <v>15.433775744284583</v>
      </c>
      <c r="J243" s="16">
        <v>4.5</v>
      </c>
      <c r="K243" s="9">
        <v>9.34</v>
      </c>
      <c r="L243" s="14">
        <f t="shared" si="92"/>
        <v>1.9726222631418706</v>
      </c>
      <c r="M243" s="6"/>
      <c r="N243" s="2">
        <f t="shared" si="106"/>
        <v>-7.5586401630988771</v>
      </c>
      <c r="O243">
        <f t="shared" si="93"/>
        <v>1.859209411764706</v>
      </c>
      <c r="P243">
        <f t="shared" si="96"/>
        <v>14.854628163417638</v>
      </c>
      <c r="Q243">
        <f t="shared" si="94"/>
        <v>2.9126721889054195</v>
      </c>
      <c r="R243">
        <f t="shared" si="95"/>
        <v>4.8399999999999997E-3</v>
      </c>
    </row>
    <row r="244" spans="1:18" x14ac:dyDescent="0.3">
      <c r="A244">
        <f t="shared" si="105"/>
        <v>1.6666666666666667</v>
      </c>
      <c r="B244">
        <v>20</v>
      </c>
      <c r="C244">
        <v>4</v>
      </c>
      <c r="D244" s="1">
        <v>6.8</v>
      </c>
      <c r="E244" s="3">
        <v>10.151999999999999</v>
      </c>
      <c r="F244" s="8">
        <f t="shared" si="102"/>
        <v>6.6981875492513794</v>
      </c>
      <c r="G244" s="11">
        <v>1.08</v>
      </c>
      <c r="H244" s="15">
        <v>1.2099999999999999E-3</v>
      </c>
      <c r="I244" s="11">
        <f t="shared" si="103"/>
        <v>20.578367659046112</v>
      </c>
      <c r="J244" s="16">
        <v>4.5</v>
      </c>
      <c r="K244" s="9">
        <v>13.87</v>
      </c>
      <c r="L244" s="14">
        <f t="shared" si="92"/>
        <v>-2.8742928948485784</v>
      </c>
      <c r="M244" s="6"/>
      <c r="N244" s="2">
        <f t="shared" si="106"/>
        <v>-16.668742609582054</v>
      </c>
      <c r="O244">
        <f t="shared" si="93"/>
        <v>2.0707094117647058</v>
      </c>
      <c r="P244">
        <f t="shared" si="96"/>
        <v>22.059281865803278</v>
      </c>
      <c r="Q244">
        <f t="shared" si="94"/>
        <v>3.2440120390887173</v>
      </c>
      <c r="R244">
        <f t="shared" si="95"/>
        <v>4.8399999999999997E-3</v>
      </c>
    </row>
    <row r="245" spans="1:18" x14ac:dyDescent="0.3">
      <c r="A245">
        <f t="shared" si="105"/>
        <v>1.6666666666666667</v>
      </c>
      <c r="B245">
        <v>20</v>
      </c>
      <c r="C245">
        <v>4</v>
      </c>
      <c r="D245" s="1">
        <v>8.5</v>
      </c>
      <c r="E245" s="3">
        <v>10.151999999999999</v>
      </c>
      <c r="F245" s="8">
        <f t="shared" si="102"/>
        <v>8.3727344365642242</v>
      </c>
      <c r="G245" s="11">
        <v>1.08</v>
      </c>
      <c r="H245" s="15">
        <v>1.2099999999999999E-3</v>
      </c>
      <c r="I245" s="11">
        <f t="shared" si="103"/>
        <v>25.722959573807643</v>
      </c>
      <c r="J245" s="16">
        <v>4.5</v>
      </c>
      <c r="K245" s="9">
        <v>18.25</v>
      </c>
      <c r="L245" s="14">
        <f t="shared" si="92"/>
        <v>-5.2511932466095388</v>
      </c>
      <c r="M245" s="6"/>
      <c r="N245" s="2">
        <f t="shared" si="106"/>
        <v>-28.858626401630985</v>
      </c>
      <c r="O245">
        <f t="shared" si="93"/>
        <v>2.1796941176470588</v>
      </c>
      <c r="P245">
        <f t="shared" si="96"/>
        <v>29.025370876056947</v>
      </c>
      <c r="Q245">
        <f t="shared" si="94"/>
        <v>3.4147495148302291</v>
      </c>
      <c r="R245">
        <f t="shared" si="95"/>
        <v>4.8399999999999997E-3</v>
      </c>
    </row>
    <row r="246" spans="1:18" x14ac:dyDescent="0.3">
      <c r="A246">
        <f t="shared" si="105"/>
        <v>1.6666666666666667</v>
      </c>
      <c r="B246">
        <v>20</v>
      </c>
      <c r="C246">
        <v>4</v>
      </c>
      <c r="D246" s="1">
        <v>10.199999999999999</v>
      </c>
      <c r="E246" s="3">
        <v>10.151999999999999</v>
      </c>
      <c r="F246" s="8">
        <f t="shared" si="102"/>
        <v>10.047281323877067</v>
      </c>
      <c r="G246" s="11">
        <v>1.08</v>
      </c>
      <c r="H246" s="15">
        <v>1.2099999999999999E-3</v>
      </c>
      <c r="I246" s="11">
        <f t="shared" si="103"/>
        <v>30.867551488569166</v>
      </c>
      <c r="J246" s="16">
        <v>4.5</v>
      </c>
      <c r="K246" s="9">
        <v>23.21</v>
      </c>
      <c r="L246" s="14">
        <f t="shared" si="92"/>
        <v>-7.1097439388263002</v>
      </c>
      <c r="M246" s="6"/>
      <c r="N246" s="2">
        <f t="shared" si="106"/>
        <v>-46.676705912334349</v>
      </c>
      <c r="O246">
        <f t="shared" si="93"/>
        <v>2.310077647058824</v>
      </c>
      <c r="P246">
        <f t="shared" si="96"/>
        <v>36.913910029220922</v>
      </c>
      <c r="Q246">
        <f t="shared" si="94"/>
        <v>3.6190107871785222</v>
      </c>
      <c r="R246">
        <f t="shared" si="95"/>
        <v>4.8399999999999997E-3</v>
      </c>
    </row>
    <row r="247" spans="1:18" x14ac:dyDescent="0.3">
      <c r="A247">
        <f t="shared" si="105"/>
        <v>1.6666666666666667</v>
      </c>
      <c r="B247">
        <v>20</v>
      </c>
      <c r="C247">
        <v>4</v>
      </c>
      <c r="D247" s="1">
        <v>12.2</v>
      </c>
      <c r="E247" s="3">
        <v>10.151999999999999</v>
      </c>
      <c r="F247" s="8">
        <f t="shared" si="102"/>
        <v>12.017336485421591</v>
      </c>
      <c r="G247" s="11">
        <v>1.08</v>
      </c>
      <c r="H247" s="15">
        <v>1.2099999999999999E-3</v>
      </c>
      <c r="I247" s="11">
        <f t="shared" si="103"/>
        <v>36.920012564759197</v>
      </c>
      <c r="J247" s="16">
        <v>4.5</v>
      </c>
      <c r="K247" s="9">
        <v>27</v>
      </c>
      <c r="L247" s="14">
        <f t="shared" si="92"/>
        <v>-7.2098227872046454</v>
      </c>
      <c r="M247" s="6"/>
      <c r="N247" s="2">
        <f t="shared" si="106"/>
        <v>-63.165137614678891</v>
      </c>
      <c r="O247">
        <f t="shared" si="93"/>
        <v>2.2467540983606558</v>
      </c>
      <c r="P247">
        <f t="shared" si="96"/>
        <v>42.941644583755483</v>
      </c>
      <c r="Q247">
        <f t="shared" si="94"/>
        <v>3.5198069330947122</v>
      </c>
      <c r="R247">
        <f t="shared" si="95"/>
        <v>4.8399999999999997E-3</v>
      </c>
    </row>
    <row r="248" spans="1:18" x14ac:dyDescent="0.3">
      <c r="A248">
        <f t="shared" si="105"/>
        <v>1.6666666666666667</v>
      </c>
      <c r="B248">
        <v>20</v>
      </c>
      <c r="C248">
        <v>6</v>
      </c>
      <c r="D248" s="1">
        <v>1.7</v>
      </c>
      <c r="E248" s="3">
        <v>10.151999999999999</v>
      </c>
      <c r="F248" s="8">
        <f t="shared" si="102"/>
        <v>1.6745468873128448</v>
      </c>
      <c r="G248" s="11">
        <v>1.08</v>
      </c>
      <c r="H248" s="15">
        <v>8.0670000000000004E-4</v>
      </c>
      <c r="I248" s="11">
        <f t="shared" si="103"/>
        <v>5.144591914761528</v>
      </c>
      <c r="J248" s="16">
        <v>3</v>
      </c>
      <c r="K248" s="9">
        <v>0</v>
      </c>
      <c r="L248" s="14">
        <f t="shared" si="92"/>
        <v>70.640492811232093</v>
      </c>
      <c r="M248" s="6"/>
      <c r="N248" s="2">
        <f>-(1.7*K248^2)/19.62</f>
        <v>0</v>
      </c>
      <c r="O248">
        <f t="shared" si="93"/>
        <v>0</v>
      </c>
      <c r="P248">
        <f t="shared" si="96"/>
        <v>0</v>
      </c>
      <c r="Q248">
        <f t="shared" si="94"/>
        <v>0</v>
      </c>
      <c r="R248">
        <f t="shared" si="95"/>
        <v>4.8402000000000002E-3</v>
      </c>
    </row>
    <row r="249" spans="1:18" x14ac:dyDescent="0.3">
      <c r="A249">
        <f t="shared" si="105"/>
        <v>1.6666666666666667</v>
      </c>
      <c r="B249">
        <v>20</v>
      </c>
      <c r="C249">
        <v>6</v>
      </c>
      <c r="D249" s="1">
        <v>3.4</v>
      </c>
      <c r="E249" s="3">
        <v>10.151999999999999</v>
      </c>
      <c r="F249" s="8">
        <f t="shared" si="102"/>
        <v>3.3490937746256897</v>
      </c>
      <c r="G249" s="11">
        <v>1.08</v>
      </c>
      <c r="H249" s="15">
        <v>8.0670000000000004E-4</v>
      </c>
      <c r="I249" s="11">
        <f t="shared" si="103"/>
        <v>10.289183829523056</v>
      </c>
      <c r="J249" s="16">
        <v>4.5</v>
      </c>
      <c r="K249" s="9">
        <v>4.45</v>
      </c>
      <c r="L249" s="14">
        <f t="shared" si="92"/>
        <v>14.658789207278613</v>
      </c>
      <c r="M249" s="6"/>
      <c r="N249" s="2">
        <f t="shared" ref="N249:N254" si="107">-(1.7*K249^2)/19.62</f>
        <v>-1.7158129459734965</v>
      </c>
      <c r="O249">
        <f t="shared" si="93"/>
        <v>1.3287176470588236</v>
      </c>
      <c r="P249">
        <f t="shared" si="96"/>
        <v>7.0774191999152567</v>
      </c>
      <c r="Q249">
        <f t="shared" si="94"/>
        <v>2.0815938823280167</v>
      </c>
      <c r="R249">
        <f t="shared" si="95"/>
        <v>4.8402000000000002E-3</v>
      </c>
    </row>
    <row r="250" spans="1:18" x14ac:dyDescent="0.3">
      <c r="A250">
        <f t="shared" si="105"/>
        <v>1.6666666666666667</v>
      </c>
      <c r="B250">
        <v>20</v>
      </c>
      <c r="C250">
        <v>6</v>
      </c>
      <c r="D250" s="1">
        <v>5.0999999999999996</v>
      </c>
      <c r="E250" s="3">
        <v>10.151999999999999</v>
      </c>
      <c r="F250" s="8">
        <f t="shared" si="102"/>
        <v>5.0236406619385336</v>
      </c>
      <c r="G250" s="11">
        <v>1.08</v>
      </c>
      <c r="H250" s="15">
        <v>8.0670000000000004E-4</v>
      </c>
      <c r="I250" s="11">
        <f t="shared" si="103"/>
        <v>15.433775744284583</v>
      </c>
      <c r="J250" s="16">
        <v>4.5</v>
      </c>
      <c r="K250" s="9">
        <v>7.88</v>
      </c>
      <c r="L250" s="14">
        <f t="shared" si="92"/>
        <v>3.6661713548312815</v>
      </c>
      <c r="M250" s="6"/>
      <c r="N250" s="2">
        <f t="shared" si="107"/>
        <v>-5.3802487257900102</v>
      </c>
      <c r="O250">
        <f t="shared" si="93"/>
        <v>1.5685835294117649</v>
      </c>
      <c r="P250">
        <f t="shared" si="96"/>
        <v>12.532598493333081</v>
      </c>
      <c r="Q250">
        <f t="shared" si="94"/>
        <v>2.457372253594722</v>
      </c>
      <c r="R250">
        <f t="shared" si="95"/>
        <v>4.8402000000000002E-3</v>
      </c>
    </row>
    <row r="251" spans="1:18" x14ac:dyDescent="0.3">
      <c r="A251">
        <f t="shared" si="105"/>
        <v>1.6666666666666667</v>
      </c>
      <c r="B251">
        <v>20</v>
      </c>
      <c r="C251">
        <v>6</v>
      </c>
      <c r="D251" s="1">
        <v>6.8</v>
      </c>
      <c r="E251" s="3">
        <v>10.151999999999999</v>
      </c>
      <c r="F251" s="8">
        <f t="shared" si="102"/>
        <v>6.6981875492513794</v>
      </c>
      <c r="G251" s="11">
        <v>1.08</v>
      </c>
      <c r="H251" s="15">
        <v>8.0670000000000004E-4</v>
      </c>
      <c r="I251" s="11">
        <f t="shared" si="103"/>
        <v>20.578367659046112</v>
      </c>
      <c r="J251" s="16">
        <v>4.5</v>
      </c>
      <c r="K251" s="9">
        <v>12.09</v>
      </c>
      <c r="L251" s="14">
        <f t="shared" si="92"/>
        <v>-1.1234023212768161</v>
      </c>
      <c r="M251" s="6"/>
      <c r="N251" s="2">
        <f t="shared" si="107"/>
        <v>-12.664922018348623</v>
      </c>
      <c r="O251">
        <f t="shared" si="93"/>
        <v>1.8049658823529411</v>
      </c>
      <c r="P251">
        <f t="shared" si="96"/>
        <v>19.228314185837178</v>
      </c>
      <c r="Q251">
        <f t="shared" si="94"/>
        <v>2.8276932626231144</v>
      </c>
      <c r="R251">
        <f t="shared" si="95"/>
        <v>4.8402000000000002E-3</v>
      </c>
    </row>
    <row r="252" spans="1:18" x14ac:dyDescent="0.3">
      <c r="A252">
        <f t="shared" si="105"/>
        <v>1.6666666666666667</v>
      </c>
      <c r="B252">
        <v>20</v>
      </c>
      <c r="C252">
        <v>6</v>
      </c>
      <c r="D252" s="1">
        <v>8.5</v>
      </c>
      <c r="E252" s="3">
        <v>10.151999999999999</v>
      </c>
      <c r="F252" s="8">
        <f t="shared" si="102"/>
        <v>8.3727344365642242</v>
      </c>
      <c r="G252" s="11">
        <v>1.08</v>
      </c>
      <c r="H252" s="15">
        <v>8.0670000000000004E-4</v>
      </c>
      <c r="I252" s="11">
        <f t="shared" si="103"/>
        <v>25.722959573807643</v>
      </c>
      <c r="J252" s="16">
        <v>4.5</v>
      </c>
      <c r="K252" s="9">
        <v>16</v>
      </c>
      <c r="L252" s="14">
        <f t="shared" si="92"/>
        <v>-3.3824166696683622</v>
      </c>
      <c r="M252" s="6"/>
      <c r="N252" s="2">
        <f t="shared" si="107"/>
        <v>-22.181447502548419</v>
      </c>
      <c r="O252">
        <f t="shared" si="93"/>
        <v>1.9109647058823529</v>
      </c>
      <c r="P252">
        <f t="shared" si="96"/>
        <v>25.446900494077322</v>
      </c>
      <c r="Q252">
        <f t="shared" si="94"/>
        <v>2.9937529993032146</v>
      </c>
      <c r="R252">
        <f t="shared" si="95"/>
        <v>4.8402000000000002E-3</v>
      </c>
    </row>
    <row r="253" spans="1:18" x14ac:dyDescent="0.3">
      <c r="A253">
        <f t="shared" si="105"/>
        <v>1.6666666666666667</v>
      </c>
      <c r="B253">
        <v>20</v>
      </c>
      <c r="C253">
        <v>6</v>
      </c>
      <c r="D253" s="1">
        <v>10.199999999999999</v>
      </c>
      <c r="E253" s="3">
        <v>10.151999999999999</v>
      </c>
      <c r="F253" s="8">
        <f t="shared" si="102"/>
        <v>10.047281323877067</v>
      </c>
      <c r="G253" s="11">
        <v>1.08</v>
      </c>
      <c r="H253" s="15">
        <v>8.0670000000000004E-4</v>
      </c>
      <c r="I253" s="11">
        <f t="shared" si="103"/>
        <v>30.867551488569166</v>
      </c>
      <c r="J253" s="16">
        <v>4.5</v>
      </c>
      <c r="K253" s="9">
        <v>17.71</v>
      </c>
      <c r="L253" s="14">
        <f t="shared" si="92"/>
        <v>-3.3196488103557109</v>
      </c>
      <c r="M253" s="6"/>
      <c r="N253" s="2">
        <f t="shared" si="107"/>
        <v>-27.176094291539243</v>
      </c>
      <c r="O253">
        <f t="shared" si="93"/>
        <v>1.7626658823529415</v>
      </c>
      <c r="P253">
        <f t="shared" si="96"/>
        <v>28.16653798438184</v>
      </c>
      <c r="Q253">
        <f t="shared" si="94"/>
        <v>2.7614252925864551</v>
      </c>
      <c r="R253">
        <f t="shared" si="95"/>
        <v>4.8402000000000002E-3</v>
      </c>
    </row>
    <row r="254" spans="1:18" x14ac:dyDescent="0.3">
      <c r="A254">
        <f t="shared" si="105"/>
        <v>1.6666666666666667</v>
      </c>
      <c r="B254">
        <v>20</v>
      </c>
      <c r="C254">
        <v>6</v>
      </c>
      <c r="D254" s="1">
        <v>12.2</v>
      </c>
      <c r="E254" s="3">
        <v>10.151999999999999</v>
      </c>
      <c r="F254" s="8">
        <f t="shared" si="102"/>
        <v>12.017336485421591</v>
      </c>
      <c r="G254" s="11">
        <v>1.08</v>
      </c>
      <c r="H254" s="15">
        <v>8.0670000000000004E-4</v>
      </c>
      <c r="I254" s="11">
        <f t="shared" si="103"/>
        <v>36.920012564759197</v>
      </c>
      <c r="J254" s="16">
        <v>4.5</v>
      </c>
      <c r="K254" s="9">
        <v>21.12</v>
      </c>
      <c r="L254" s="14">
        <f t="shared" si="92"/>
        <v>-3.8791235088828175</v>
      </c>
      <c r="M254" s="6"/>
      <c r="N254" s="2">
        <f t="shared" si="107"/>
        <v>-38.648954128440366</v>
      </c>
      <c r="O254">
        <f t="shared" si="93"/>
        <v>1.7574609836065576</v>
      </c>
      <c r="P254">
        <f t="shared" si="96"/>
        <v>33.589908652182075</v>
      </c>
      <c r="Q254">
        <f t="shared" si="94"/>
        <v>2.753271200998531</v>
      </c>
      <c r="R254">
        <f t="shared" si="95"/>
        <v>4.8402000000000002E-3</v>
      </c>
    </row>
    <row r="255" spans="1:18" x14ac:dyDescent="0.3">
      <c r="A255">
        <f t="shared" si="105"/>
        <v>1.6666666666666667</v>
      </c>
      <c r="B255">
        <v>30</v>
      </c>
      <c r="C255">
        <v>1</v>
      </c>
      <c r="D255" s="7">
        <v>2.6</v>
      </c>
      <c r="E255" s="3">
        <v>15.228</v>
      </c>
      <c r="F255" s="8">
        <f t="shared" si="102"/>
        <v>1.7073811400052534</v>
      </c>
      <c r="G255" s="11">
        <v>1.62</v>
      </c>
      <c r="H255" s="15">
        <v>6.9100000000000003E-3</v>
      </c>
      <c r="I255" s="11">
        <f t="shared" si="103"/>
        <v>4.2829052715863334</v>
      </c>
      <c r="J255" s="16">
        <v>4.5</v>
      </c>
      <c r="K255" s="9">
        <v>0</v>
      </c>
      <c r="L255" s="14">
        <f t="shared" si="92"/>
        <v>67.949675222638575</v>
      </c>
      <c r="M255" s="6"/>
      <c r="N255" s="2">
        <f>-(1.7*K255^2)/19.62</f>
        <v>0</v>
      </c>
      <c r="O255">
        <f t="shared" si="93"/>
        <v>0</v>
      </c>
      <c r="P255">
        <f t="shared" si="96"/>
        <v>0</v>
      </c>
      <c r="Q255">
        <f t="shared" si="94"/>
        <v>0</v>
      </c>
      <c r="R255">
        <f t="shared" si="95"/>
        <v>6.9100000000000003E-3</v>
      </c>
    </row>
    <row r="256" spans="1:18" x14ac:dyDescent="0.3">
      <c r="A256">
        <f t="shared" si="105"/>
        <v>1.6666666666666667</v>
      </c>
      <c r="B256">
        <v>30</v>
      </c>
      <c r="C256">
        <v>1</v>
      </c>
      <c r="D256" s="7">
        <v>5.2</v>
      </c>
      <c r="E256" s="3">
        <v>15.228</v>
      </c>
      <c r="F256" s="8">
        <f t="shared" si="102"/>
        <v>3.4147622800105069</v>
      </c>
      <c r="G256" s="11">
        <v>1.62</v>
      </c>
      <c r="H256" s="15">
        <v>6.9100000000000003E-3</v>
      </c>
      <c r="I256" s="11">
        <f t="shared" si="103"/>
        <v>8.5658105431726668</v>
      </c>
      <c r="J256" s="16">
        <v>4.5</v>
      </c>
      <c r="K256" s="9">
        <v>0.5</v>
      </c>
      <c r="L256" s="14">
        <f t="shared" si="92"/>
        <v>16.950971285985091</v>
      </c>
      <c r="M256" s="6"/>
      <c r="N256" s="2">
        <f t="shared" ref="N256:N261" si="108">-(1.7*K256^2)/19.62</f>
        <v>-2.1661569826707441E-2</v>
      </c>
      <c r="O256">
        <f t="shared" si="93"/>
        <v>0.14642307692307693</v>
      </c>
      <c r="P256">
        <f t="shared" si="96"/>
        <v>0.79521564043991633</v>
      </c>
      <c r="Q256">
        <f t="shared" si="94"/>
        <v>0.15292608469998389</v>
      </c>
      <c r="R256">
        <f t="shared" si="95"/>
        <v>6.9100000000000003E-3</v>
      </c>
    </row>
    <row r="257" spans="1:18" x14ac:dyDescent="0.3">
      <c r="A257">
        <f t="shared" si="105"/>
        <v>1.6666666666666667</v>
      </c>
      <c r="B257">
        <v>30</v>
      </c>
      <c r="C257">
        <v>1</v>
      </c>
      <c r="D257" s="7">
        <v>7.8</v>
      </c>
      <c r="E257" s="3">
        <v>15.228</v>
      </c>
      <c r="F257" s="8">
        <f t="shared" si="102"/>
        <v>5.1221434200157594</v>
      </c>
      <c r="G257" s="11">
        <v>1.62</v>
      </c>
      <c r="H257" s="15">
        <v>6.9100000000000003E-3</v>
      </c>
      <c r="I257" s="11">
        <f t="shared" si="103"/>
        <v>12.848715814758997</v>
      </c>
      <c r="J257" s="16">
        <v>4.5</v>
      </c>
      <c r="K257" s="9">
        <v>5.03</v>
      </c>
      <c r="L257" s="14">
        <f t="shared" si="92"/>
        <v>5.9105771571216597</v>
      </c>
      <c r="M257" s="6"/>
      <c r="N257" s="2">
        <f t="shared" si="108"/>
        <v>-2.1922288481141692</v>
      </c>
      <c r="O257">
        <f t="shared" si="93"/>
        <v>0.98201076923076946</v>
      </c>
      <c r="P257">
        <f t="shared" si="96"/>
        <v>7.9998693428255594</v>
      </c>
      <c r="Q257">
        <f t="shared" si="94"/>
        <v>1.0256242747212256</v>
      </c>
      <c r="R257">
        <f t="shared" si="95"/>
        <v>6.9100000000000003E-3</v>
      </c>
    </row>
    <row r="258" spans="1:18" x14ac:dyDescent="0.3">
      <c r="A258">
        <f t="shared" si="105"/>
        <v>1.6666666666666667</v>
      </c>
      <c r="B258">
        <v>30</v>
      </c>
      <c r="C258">
        <v>1</v>
      </c>
      <c r="D258" s="7">
        <v>10.4</v>
      </c>
      <c r="E258" s="3">
        <v>15.228</v>
      </c>
      <c r="F258" s="8">
        <f t="shared" si="102"/>
        <v>6.8295245600210137</v>
      </c>
      <c r="G258" s="11">
        <v>1.62</v>
      </c>
      <c r="H258" s="15">
        <v>6.9100000000000003E-3</v>
      </c>
      <c r="I258" s="11">
        <f t="shared" si="103"/>
        <v>17.131621086345334</v>
      </c>
      <c r="J258" s="16">
        <v>4.5</v>
      </c>
      <c r="K258" s="9">
        <v>12.46</v>
      </c>
      <c r="L258" s="14">
        <f t="shared" si="92"/>
        <v>-1.4116810440914205</v>
      </c>
      <c r="M258" s="6"/>
      <c r="N258" s="2">
        <f t="shared" si="108"/>
        <v>-13.451973496432213</v>
      </c>
      <c r="O258">
        <f t="shared" si="93"/>
        <v>1.8244315384615386</v>
      </c>
      <c r="P258">
        <f t="shared" si="96"/>
        <v>19.816773759762718</v>
      </c>
      <c r="Q258">
        <f t="shared" si="94"/>
        <v>1.9054590153617998</v>
      </c>
      <c r="R258">
        <f t="shared" si="95"/>
        <v>6.9100000000000003E-3</v>
      </c>
    </row>
    <row r="259" spans="1:18" x14ac:dyDescent="0.3">
      <c r="A259">
        <f t="shared" si="105"/>
        <v>1.6666666666666667</v>
      </c>
      <c r="B259">
        <v>30</v>
      </c>
      <c r="C259">
        <v>1</v>
      </c>
      <c r="D259" s="7">
        <v>13</v>
      </c>
      <c r="E259" s="3">
        <v>15.228</v>
      </c>
      <c r="F259" s="8">
        <f t="shared" si="102"/>
        <v>8.5369057000262671</v>
      </c>
      <c r="G259" s="11">
        <v>1.62</v>
      </c>
      <c r="H259" s="15">
        <v>6.9100000000000003E-3</v>
      </c>
      <c r="I259" s="11">
        <f t="shared" si="103"/>
        <v>21.414526357931667</v>
      </c>
      <c r="J259" s="16">
        <v>4.5</v>
      </c>
      <c r="K259" s="9">
        <v>16.47</v>
      </c>
      <c r="L259" s="14">
        <f t="shared" ref="L259:L322" si="109">(10.33+N259-0.234)/((F259^2)/19.62)</f>
        <v>-3.6095566644946637</v>
      </c>
      <c r="M259" s="6"/>
      <c r="N259" s="2">
        <f t="shared" si="108"/>
        <v>-23.503747706422011</v>
      </c>
      <c r="O259">
        <f t="shared" si="93"/>
        <v>1.9292704615384615</v>
      </c>
      <c r="P259">
        <f t="shared" si="96"/>
        <v>26.194403196090843</v>
      </c>
      <c r="Q259">
        <f t="shared" si="94"/>
        <v>2.0149540920069877</v>
      </c>
      <c r="R259">
        <f t="shared" si="95"/>
        <v>6.9100000000000003E-3</v>
      </c>
    </row>
    <row r="260" spans="1:18" x14ac:dyDescent="0.3">
      <c r="A260">
        <f t="shared" si="105"/>
        <v>1.6666666666666667</v>
      </c>
      <c r="B260">
        <v>30</v>
      </c>
      <c r="C260">
        <v>1</v>
      </c>
      <c r="D260" s="7">
        <v>15.6</v>
      </c>
      <c r="E260" s="3">
        <v>15.228</v>
      </c>
      <c r="F260" s="8">
        <f t="shared" si="102"/>
        <v>10.244286840031519</v>
      </c>
      <c r="G260" s="11">
        <v>1.62</v>
      </c>
      <c r="H260" s="15">
        <v>6.9100000000000003E-3</v>
      </c>
      <c r="I260" s="11">
        <f t="shared" si="103"/>
        <v>25.697431629517993</v>
      </c>
      <c r="J260" s="16">
        <v>4.5</v>
      </c>
      <c r="K260" s="9">
        <v>22.59</v>
      </c>
      <c r="L260" s="14">
        <f t="shared" si="109"/>
        <v>-6.3789376948535521</v>
      </c>
      <c r="M260" s="6"/>
      <c r="N260" s="2">
        <f t="shared" si="108"/>
        <v>-44.216298165137609</v>
      </c>
      <c r="O260">
        <f t="shared" ref="O260:O323" si="110">K260/F260</f>
        <v>2.2051315384615391</v>
      </c>
      <c r="P260">
        <f t="shared" si="96"/>
        <v>35.927842635075422</v>
      </c>
      <c r="Q260">
        <f t="shared" ref="Q260:Q323" si="111">P260/D260</f>
        <v>2.3030668355817578</v>
      </c>
      <c r="R260">
        <f t="shared" ref="R260:R323" si="112">H260*C260</f>
        <v>6.9100000000000003E-3</v>
      </c>
    </row>
    <row r="261" spans="1:18" x14ac:dyDescent="0.3">
      <c r="A261">
        <f t="shared" si="105"/>
        <v>1.6666666666666667</v>
      </c>
      <c r="B261">
        <v>30</v>
      </c>
      <c r="C261">
        <v>1</v>
      </c>
      <c r="D261" s="7">
        <v>18.100000000000001</v>
      </c>
      <c r="E261" s="3">
        <v>15.228</v>
      </c>
      <c r="F261" s="8">
        <f t="shared" si="102"/>
        <v>11.885999474651957</v>
      </c>
      <c r="G261" s="11">
        <v>1.62</v>
      </c>
      <c r="H261" s="15">
        <v>6.9100000000000003E-3</v>
      </c>
      <c r="I261" s="11">
        <f t="shared" si="103"/>
        <v>29.815609775274087</v>
      </c>
      <c r="J261" s="16">
        <v>4.5</v>
      </c>
      <c r="K261" s="9">
        <v>28.72</v>
      </c>
      <c r="L261" s="14">
        <f t="shared" si="109"/>
        <v>-8.5232691842023076</v>
      </c>
      <c r="M261" s="6"/>
      <c r="N261" s="2">
        <f t="shared" si="108"/>
        <v>-71.469178389398564</v>
      </c>
      <c r="O261">
        <f t="shared" si="110"/>
        <v>2.4162881767955802</v>
      </c>
      <c r="P261">
        <f t="shared" ref="P261:P324" si="113">K261*PI()*(J261^2)/40</f>
        <v>45.677186386868797</v>
      </c>
      <c r="Q261">
        <f t="shared" si="111"/>
        <v>2.5236014578380548</v>
      </c>
      <c r="R261">
        <f t="shared" si="112"/>
        <v>6.9100000000000003E-3</v>
      </c>
    </row>
    <row r="262" spans="1:18" x14ac:dyDescent="0.3">
      <c r="A262">
        <f t="shared" si="105"/>
        <v>1.6666666666666667</v>
      </c>
      <c r="B262">
        <v>30</v>
      </c>
      <c r="C262">
        <v>2</v>
      </c>
      <c r="D262" s="7">
        <v>2.6</v>
      </c>
      <c r="E262" s="3">
        <v>15.228</v>
      </c>
      <c r="F262" s="8">
        <f t="shared" si="102"/>
        <v>1.7073811400052534</v>
      </c>
      <c r="G262" s="11">
        <v>1.62</v>
      </c>
      <c r="H262" s="15">
        <v>3.4550000000000002E-3</v>
      </c>
      <c r="I262" s="11">
        <f t="shared" si="103"/>
        <v>4.2829052715863334</v>
      </c>
      <c r="J262" s="16">
        <v>4.5</v>
      </c>
      <c r="K262" s="9">
        <v>0</v>
      </c>
      <c r="L262" s="14">
        <f t="shared" si="109"/>
        <v>67.949675222638575</v>
      </c>
      <c r="M262" s="6"/>
      <c r="N262" s="2">
        <f>-(1.7*K262^2)/19.62</f>
        <v>0</v>
      </c>
      <c r="O262">
        <f t="shared" si="110"/>
        <v>0</v>
      </c>
      <c r="P262">
        <f t="shared" si="113"/>
        <v>0</v>
      </c>
      <c r="Q262">
        <f t="shared" si="111"/>
        <v>0</v>
      </c>
      <c r="R262">
        <f t="shared" si="112"/>
        <v>6.9100000000000003E-3</v>
      </c>
    </row>
    <row r="263" spans="1:18" x14ac:dyDescent="0.3">
      <c r="A263">
        <f t="shared" si="105"/>
        <v>1.6666666666666667</v>
      </c>
      <c r="B263">
        <v>30</v>
      </c>
      <c r="C263">
        <v>2</v>
      </c>
      <c r="D263" s="7">
        <v>5.2</v>
      </c>
      <c r="E263" s="3">
        <v>15.228</v>
      </c>
      <c r="F263" s="8">
        <f t="shared" si="102"/>
        <v>3.4147622800105069</v>
      </c>
      <c r="G263" s="11">
        <v>1.62</v>
      </c>
      <c r="H263" s="15">
        <v>3.4550000000000002E-3</v>
      </c>
      <c r="I263" s="11">
        <f t="shared" si="103"/>
        <v>8.5658105431726668</v>
      </c>
      <c r="J263" s="16">
        <v>4.5</v>
      </c>
      <c r="K263" s="9">
        <v>5.05</v>
      </c>
      <c r="L263" s="14">
        <f t="shared" si="109"/>
        <v>13.269407323658168</v>
      </c>
      <c r="M263" s="6"/>
      <c r="N263" s="2">
        <f t="shared" ref="N263:N268" si="114">-(1.7*K263^2)/19.62</f>
        <v>-2.2096967380224255</v>
      </c>
      <c r="O263">
        <f t="shared" si="110"/>
        <v>1.4788730769230769</v>
      </c>
      <c r="P263">
        <f t="shared" si="113"/>
        <v>8.0316779684431552</v>
      </c>
      <c r="Q263">
        <f t="shared" si="111"/>
        <v>1.5445534554698375</v>
      </c>
      <c r="R263">
        <f t="shared" si="112"/>
        <v>6.9100000000000003E-3</v>
      </c>
    </row>
    <row r="264" spans="1:18" x14ac:dyDescent="0.3">
      <c r="A264">
        <f t="shared" si="105"/>
        <v>1.6666666666666667</v>
      </c>
      <c r="B264">
        <v>30</v>
      </c>
      <c r="C264">
        <v>2</v>
      </c>
      <c r="D264" s="7">
        <v>7.8</v>
      </c>
      <c r="E264" s="3">
        <v>15.228</v>
      </c>
      <c r="F264" s="8">
        <f t="shared" si="102"/>
        <v>5.1221434200157594</v>
      </c>
      <c r="G264" s="11">
        <v>1.62</v>
      </c>
      <c r="H264" s="15">
        <v>3.4550000000000002E-3</v>
      </c>
      <c r="I264" s="11">
        <f t="shared" si="103"/>
        <v>12.848715814758997</v>
      </c>
      <c r="J264" s="16">
        <v>4.5</v>
      </c>
      <c r="K264" s="9">
        <v>9.3699999999999992</v>
      </c>
      <c r="L264" s="14">
        <f t="shared" si="109"/>
        <v>1.8611119311997659</v>
      </c>
      <c r="M264" s="6"/>
      <c r="N264" s="2">
        <f t="shared" si="114"/>
        <v>-7.6072747196738</v>
      </c>
      <c r="O264">
        <f t="shared" si="110"/>
        <v>1.8293123076923079</v>
      </c>
      <c r="P264">
        <f t="shared" si="113"/>
        <v>14.902341101844033</v>
      </c>
      <c r="Q264">
        <f t="shared" si="111"/>
        <v>1.9105565515184659</v>
      </c>
      <c r="R264">
        <f t="shared" si="112"/>
        <v>6.9100000000000003E-3</v>
      </c>
    </row>
    <row r="265" spans="1:18" x14ac:dyDescent="0.3">
      <c r="A265">
        <f t="shared" si="105"/>
        <v>1.6666666666666667</v>
      </c>
      <c r="B265">
        <v>30</v>
      </c>
      <c r="C265">
        <v>2</v>
      </c>
      <c r="D265" s="7">
        <v>10.4</v>
      </c>
      <c r="E265" s="3">
        <v>15.228</v>
      </c>
      <c r="F265" s="8">
        <f t="shared" si="102"/>
        <v>6.8295245600210137</v>
      </c>
      <c r="G265" s="11">
        <v>1.62</v>
      </c>
      <c r="H265" s="15">
        <v>3.4550000000000002E-3</v>
      </c>
      <c r="I265" s="11">
        <f t="shared" si="103"/>
        <v>17.131621086345334</v>
      </c>
      <c r="J265" s="16">
        <v>4.5</v>
      </c>
      <c r="K265" s="9">
        <v>15.62</v>
      </c>
      <c r="L265" s="14">
        <f t="shared" si="109"/>
        <v>-4.6457715178698802</v>
      </c>
      <c r="M265" s="6"/>
      <c r="N265" s="2">
        <f t="shared" si="114"/>
        <v>-21.140340468909272</v>
      </c>
      <c r="O265">
        <f t="shared" si="110"/>
        <v>2.2871284615384613</v>
      </c>
      <c r="P265">
        <f t="shared" si="113"/>
        <v>24.842536607342986</v>
      </c>
      <c r="Q265">
        <f t="shared" si="111"/>
        <v>2.3887054430137487</v>
      </c>
      <c r="R265">
        <f t="shared" si="112"/>
        <v>6.9100000000000003E-3</v>
      </c>
    </row>
    <row r="266" spans="1:18" x14ac:dyDescent="0.3">
      <c r="A266">
        <f t="shared" si="105"/>
        <v>1.6666666666666667</v>
      </c>
      <c r="B266">
        <v>30</v>
      </c>
      <c r="C266">
        <v>2</v>
      </c>
      <c r="D266" s="7">
        <v>13</v>
      </c>
      <c r="E266" s="3">
        <v>15.228</v>
      </c>
      <c r="F266" s="8">
        <f t="shared" si="102"/>
        <v>8.5369057000262671</v>
      </c>
      <c r="G266" s="11">
        <v>1.62</v>
      </c>
      <c r="H266" s="15">
        <v>3.4550000000000002E-3</v>
      </c>
      <c r="I266" s="11">
        <f t="shared" si="103"/>
        <v>21.414526357931667</v>
      </c>
      <c r="J266" s="16">
        <v>4.5</v>
      </c>
      <c r="K266" s="9">
        <v>22.51</v>
      </c>
      <c r="L266" s="14">
        <f t="shared" si="109"/>
        <v>-9.1015085839582053</v>
      </c>
      <c r="M266" s="6"/>
      <c r="N266" s="2">
        <f t="shared" si="114"/>
        <v>-43.903678389398578</v>
      </c>
      <c r="O266">
        <f t="shared" si="110"/>
        <v>2.6367867692307696</v>
      </c>
      <c r="P266">
        <f t="shared" si="113"/>
        <v>35.800608132605035</v>
      </c>
      <c r="Q266">
        <f t="shared" si="111"/>
        <v>2.7538929332773106</v>
      </c>
      <c r="R266">
        <f t="shared" si="112"/>
        <v>6.9100000000000003E-3</v>
      </c>
    </row>
    <row r="267" spans="1:18" x14ac:dyDescent="0.3">
      <c r="A267">
        <f t="shared" si="105"/>
        <v>1.6666666666666667</v>
      </c>
      <c r="B267">
        <v>30</v>
      </c>
      <c r="C267">
        <v>2</v>
      </c>
      <c r="D267" s="7">
        <v>15.6</v>
      </c>
      <c r="E267" s="3">
        <v>15.228</v>
      </c>
      <c r="F267" s="8">
        <f t="shared" si="102"/>
        <v>10.244286840031519</v>
      </c>
      <c r="G267" s="11">
        <v>1.62</v>
      </c>
      <c r="H267" s="15">
        <v>3.4550000000000002E-3</v>
      </c>
      <c r="I267" s="11">
        <f t="shared" si="103"/>
        <v>25.697431629517993</v>
      </c>
      <c r="J267" s="16">
        <v>4.5</v>
      </c>
      <c r="K267" s="9">
        <v>28.76</v>
      </c>
      <c r="L267" s="14">
        <f t="shared" si="109"/>
        <v>-11.511226332511249</v>
      </c>
      <c r="M267" s="6"/>
      <c r="N267" s="2">
        <f t="shared" si="114"/>
        <v>-71.66839551478084</v>
      </c>
      <c r="O267">
        <f t="shared" si="110"/>
        <v>2.8074184615384623</v>
      </c>
      <c r="P267">
        <f t="shared" si="113"/>
        <v>45.740803638103998</v>
      </c>
      <c r="Q267">
        <f t="shared" si="111"/>
        <v>2.932102797314359</v>
      </c>
      <c r="R267">
        <f t="shared" si="112"/>
        <v>6.9100000000000003E-3</v>
      </c>
    </row>
    <row r="268" spans="1:18" x14ac:dyDescent="0.3">
      <c r="A268">
        <f t="shared" si="105"/>
        <v>1.6666666666666667</v>
      </c>
      <c r="B268">
        <v>30</v>
      </c>
      <c r="C268">
        <v>2</v>
      </c>
      <c r="D268" s="7">
        <v>18.100000000000001</v>
      </c>
      <c r="E268" s="3">
        <v>15.228</v>
      </c>
      <c r="F268" s="8">
        <f t="shared" si="102"/>
        <v>11.885999474651957</v>
      </c>
      <c r="G268" s="11">
        <v>1.62</v>
      </c>
      <c r="H268" s="15">
        <v>3.4550000000000002E-3</v>
      </c>
      <c r="I268" s="11">
        <f t="shared" si="103"/>
        <v>29.815609775274087</v>
      </c>
      <c r="J268" s="16">
        <v>4.5</v>
      </c>
      <c r="K268" s="9">
        <v>33.340000000000003</v>
      </c>
      <c r="L268" s="14">
        <f t="shared" si="109"/>
        <v>-11.973365780868228</v>
      </c>
      <c r="M268" s="6"/>
      <c r="N268" s="2">
        <f t="shared" si="114"/>
        <v>-96.312156982670757</v>
      </c>
      <c r="O268">
        <f t="shared" si="110"/>
        <v>2.8049807734806631</v>
      </c>
      <c r="P268">
        <f t="shared" si="113"/>
        <v>53.024978904533633</v>
      </c>
      <c r="Q268">
        <f t="shared" si="111"/>
        <v>2.9295568455543441</v>
      </c>
      <c r="R268">
        <f t="shared" si="112"/>
        <v>6.9100000000000003E-3</v>
      </c>
    </row>
    <row r="269" spans="1:18" x14ac:dyDescent="0.3">
      <c r="A269">
        <f t="shared" si="105"/>
        <v>1.6666666666666667</v>
      </c>
      <c r="B269">
        <v>30</v>
      </c>
      <c r="C269">
        <v>4</v>
      </c>
      <c r="D269" s="7">
        <v>2.6</v>
      </c>
      <c r="E269" s="3">
        <v>15.228</v>
      </c>
      <c r="F269" s="8">
        <f t="shared" si="102"/>
        <v>1.7073811400052534</v>
      </c>
      <c r="G269" s="11">
        <v>1.62</v>
      </c>
      <c r="H269" s="15">
        <v>1.7275000000000001E-3</v>
      </c>
      <c r="I269" s="11">
        <f t="shared" si="103"/>
        <v>4.2829052715863334</v>
      </c>
      <c r="J269" s="16">
        <v>4.5</v>
      </c>
      <c r="K269" s="9">
        <v>0</v>
      </c>
      <c r="L269" s="14">
        <f t="shared" si="109"/>
        <v>67.949675222638575</v>
      </c>
      <c r="M269" s="6"/>
      <c r="N269" s="2">
        <f>-(1.7*K269^2)/19.62</f>
        <v>0</v>
      </c>
      <c r="O269">
        <f t="shared" si="110"/>
        <v>0</v>
      </c>
      <c r="P269">
        <f t="shared" si="113"/>
        <v>0</v>
      </c>
      <c r="Q269">
        <f t="shared" si="111"/>
        <v>0</v>
      </c>
      <c r="R269">
        <f t="shared" si="112"/>
        <v>6.9100000000000003E-3</v>
      </c>
    </row>
    <row r="270" spans="1:18" x14ac:dyDescent="0.3">
      <c r="A270">
        <f t="shared" si="105"/>
        <v>1.6666666666666667</v>
      </c>
      <c r="B270">
        <v>30</v>
      </c>
      <c r="C270">
        <v>4</v>
      </c>
      <c r="D270" s="7">
        <v>5.2</v>
      </c>
      <c r="E270" s="3">
        <v>15.228</v>
      </c>
      <c r="F270" s="8">
        <f t="shared" si="102"/>
        <v>3.4147622800105069</v>
      </c>
      <c r="G270" s="11">
        <v>1.62</v>
      </c>
      <c r="H270" s="15">
        <v>1.7275000000000001E-3</v>
      </c>
      <c r="I270" s="11">
        <f t="shared" si="103"/>
        <v>8.5658105431726668</v>
      </c>
      <c r="J270" s="16">
        <v>4.5</v>
      </c>
      <c r="K270" s="9">
        <v>5.18</v>
      </c>
      <c r="L270" s="14">
        <f t="shared" si="109"/>
        <v>13.075521097997399</v>
      </c>
      <c r="M270" s="6"/>
      <c r="N270" s="2">
        <f t="shared" ref="N270:N275" si="115">-(1.7*K270^2)/19.62</f>
        <v>-2.3249276248725783</v>
      </c>
      <c r="O270">
        <f t="shared" si="110"/>
        <v>1.5169430769230769</v>
      </c>
      <c r="P270">
        <f t="shared" si="113"/>
        <v>8.2384340349575336</v>
      </c>
      <c r="Q270">
        <f t="shared" si="111"/>
        <v>1.5843142374918333</v>
      </c>
      <c r="R270">
        <f t="shared" si="112"/>
        <v>6.9100000000000003E-3</v>
      </c>
    </row>
    <row r="271" spans="1:18" x14ac:dyDescent="0.3">
      <c r="A271">
        <f t="shared" si="105"/>
        <v>1.6666666666666667</v>
      </c>
      <c r="B271">
        <v>30</v>
      </c>
      <c r="C271">
        <v>4</v>
      </c>
      <c r="D271" s="7">
        <v>7.8</v>
      </c>
      <c r="E271" s="3">
        <v>15.228</v>
      </c>
      <c r="F271" s="8">
        <f t="shared" si="102"/>
        <v>5.1221434200157594</v>
      </c>
      <c r="G271" s="11">
        <v>1.62</v>
      </c>
      <c r="H271" s="15">
        <v>1.7275000000000001E-3</v>
      </c>
      <c r="I271" s="11">
        <f t="shared" si="103"/>
        <v>12.848715814758997</v>
      </c>
      <c r="J271" s="16">
        <v>4.5</v>
      </c>
      <c r="K271" s="9">
        <v>8.82</v>
      </c>
      <c r="L271" s="14">
        <f t="shared" si="109"/>
        <v>2.5093594166826048</v>
      </c>
      <c r="M271" s="6"/>
      <c r="N271" s="2">
        <f t="shared" si="115"/>
        <v>-6.7404220183486236</v>
      </c>
      <c r="O271">
        <f t="shared" si="110"/>
        <v>1.7219353846153851</v>
      </c>
      <c r="P271">
        <f t="shared" si="113"/>
        <v>14.027603897360127</v>
      </c>
      <c r="Q271">
        <f t="shared" si="111"/>
        <v>1.7984107560718112</v>
      </c>
      <c r="R271">
        <f t="shared" si="112"/>
        <v>6.9100000000000003E-3</v>
      </c>
    </row>
    <row r="272" spans="1:18" x14ac:dyDescent="0.3">
      <c r="A272">
        <f t="shared" si="105"/>
        <v>1.6666666666666667</v>
      </c>
      <c r="B272">
        <v>30</v>
      </c>
      <c r="C272">
        <v>4</v>
      </c>
      <c r="D272" s="7">
        <v>10.4</v>
      </c>
      <c r="E272" s="3">
        <v>15.228</v>
      </c>
      <c r="F272" s="8">
        <f t="shared" si="102"/>
        <v>6.8295245600210137</v>
      </c>
      <c r="G272" s="11">
        <v>1.62</v>
      </c>
      <c r="H272" s="15">
        <v>1.7275000000000001E-3</v>
      </c>
      <c r="I272" s="11">
        <f t="shared" si="103"/>
        <v>17.131621086345334</v>
      </c>
      <c r="J272" s="16">
        <v>4.5</v>
      </c>
      <c r="K272" s="9">
        <v>13.36</v>
      </c>
      <c r="L272" s="14">
        <f t="shared" si="109"/>
        <v>-2.2586485062887571</v>
      </c>
      <c r="M272" s="6"/>
      <c r="N272" s="2">
        <f t="shared" si="115"/>
        <v>-15.465459734964321</v>
      </c>
      <c r="O272">
        <f t="shared" si="110"/>
        <v>1.9562123076923077</v>
      </c>
      <c r="P272">
        <f t="shared" si="113"/>
        <v>21.248161912554565</v>
      </c>
      <c r="Q272">
        <f t="shared" si="111"/>
        <v>2.0430924915917852</v>
      </c>
      <c r="R272">
        <f t="shared" si="112"/>
        <v>6.9100000000000003E-3</v>
      </c>
    </row>
    <row r="273" spans="1:18" x14ac:dyDescent="0.3">
      <c r="A273">
        <f t="shared" si="105"/>
        <v>1.6666666666666667</v>
      </c>
      <c r="B273">
        <v>30</v>
      </c>
      <c r="C273">
        <v>4</v>
      </c>
      <c r="D273" s="7">
        <v>13</v>
      </c>
      <c r="E273" s="3">
        <v>15.228</v>
      </c>
      <c r="F273" s="8">
        <f t="shared" si="102"/>
        <v>8.5369057000262671</v>
      </c>
      <c r="G273" s="11">
        <v>1.62</v>
      </c>
      <c r="H273" s="15">
        <v>1.7275000000000001E-3</v>
      </c>
      <c r="I273" s="11">
        <f t="shared" si="103"/>
        <v>21.414526357931667</v>
      </c>
      <c r="J273" s="16">
        <v>4.5</v>
      </c>
      <c r="K273" s="9">
        <v>19.149999999999999</v>
      </c>
      <c r="L273" s="14">
        <f t="shared" si="109"/>
        <v>-5.8363333327600202</v>
      </c>
      <c r="M273" s="6"/>
      <c r="N273" s="2">
        <f t="shared" si="115"/>
        <v>-31.775140163098875</v>
      </c>
      <c r="O273">
        <f t="shared" si="110"/>
        <v>2.2432015384615385</v>
      </c>
      <c r="P273">
        <f t="shared" si="113"/>
        <v>30.45675902884879</v>
      </c>
      <c r="Q273">
        <f t="shared" si="111"/>
        <v>2.3428276176037532</v>
      </c>
      <c r="R273">
        <f t="shared" si="112"/>
        <v>6.9100000000000003E-3</v>
      </c>
    </row>
    <row r="274" spans="1:18" x14ac:dyDescent="0.3">
      <c r="A274">
        <f t="shared" si="105"/>
        <v>1.6666666666666667</v>
      </c>
      <c r="B274">
        <v>30</v>
      </c>
      <c r="C274">
        <v>4</v>
      </c>
      <c r="D274" s="7">
        <v>15.6</v>
      </c>
      <c r="E274" s="3">
        <v>15.228</v>
      </c>
      <c r="F274" s="8">
        <f t="shared" si="102"/>
        <v>10.244286840031519</v>
      </c>
      <c r="G274" s="11">
        <v>1.62</v>
      </c>
      <c r="H274" s="15">
        <v>1.7275000000000001E-3</v>
      </c>
      <c r="I274" s="11">
        <f t="shared" si="103"/>
        <v>25.697431629517993</v>
      </c>
      <c r="J274" s="16">
        <v>4.5</v>
      </c>
      <c r="K274" s="9">
        <v>23.54</v>
      </c>
      <c r="L274" s="14">
        <f t="shared" si="109"/>
        <v>-7.0888300852792918</v>
      </c>
      <c r="M274" s="6"/>
      <c r="N274" s="2">
        <f t="shared" si="115"/>
        <v>-48.01344138634046</v>
      </c>
      <c r="O274">
        <f t="shared" si="110"/>
        <v>2.2978661538461544</v>
      </c>
      <c r="P274">
        <f t="shared" si="113"/>
        <v>37.438752351911262</v>
      </c>
      <c r="Q274">
        <f t="shared" si="111"/>
        <v>2.3999200225584141</v>
      </c>
      <c r="R274">
        <f t="shared" si="112"/>
        <v>6.9100000000000003E-3</v>
      </c>
    </row>
    <row r="275" spans="1:18" x14ac:dyDescent="0.3">
      <c r="A275">
        <f t="shared" si="105"/>
        <v>1.6666666666666667</v>
      </c>
      <c r="B275">
        <v>30</v>
      </c>
      <c r="C275">
        <v>4</v>
      </c>
      <c r="D275" s="7">
        <v>18.100000000000001</v>
      </c>
      <c r="E275" s="3">
        <v>15.228</v>
      </c>
      <c r="F275" s="8">
        <f t="shared" si="102"/>
        <v>11.885999474651957</v>
      </c>
      <c r="G275" s="11">
        <v>1.62</v>
      </c>
      <c r="H275" s="15">
        <v>1.7275000000000001E-3</v>
      </c>
      <c r="I275" s="11">
        <f t="shared" si="103"/>
        <v>29.815609775274087</v>
      </c>
      <c r="J275" s="16">
        <v>4.5</v>
      </c>
      <c r="K275" s="9">
        <v>27.22</v>
      </c>
      <c r="L275" s="14">
        <f t="shared" si="109"/>
        <v>-7.5135718049511233</v>
      </c>
      <c r="M275" s="6"/>
      <c r="N275" s="2">
        <f t="shared" si="115"/>
        <v>-64.198689092762464</v>
      </c>
      <c r="O275">
        <f t="shared" si="110"/>
        <v>2.2900892817679557</v>
      </c>
      <c r="P275">
        <f t="shared" si="113"/>
        <v>43.29153946554905</v>
      </c>
      <c r="Q275">
        <f t="shared" si="111"/>
        <v>2.3917977605275715</v>
      </c>
      <c r="R275">
        <f t="shared" si="112"/>
        <v>6.9100000000000003E-3</v>
      </c>
    </row>
    <row r="276" spans="1:18" x14ac:dyDescent="0.3">
      <c r="A276">
        <f t="shared" si="105"/>
        <v>1.6666666666666667</v>
      </c>
      <c r="B276">
        <v>30</v>
      </c>
      <c r="C276">
        <v>6</v>
      </c>
      <c r="D276" s="7">
        <v>2.6</v>
      </c>
      <c r="E276" s="3">
        <v>15.228</v>
      </c>
      <c r="F276" s="8">
        <f t="shared" si="102"/>
        <v>1.7073811400052534</v>
      </c>
      <c r="G276" s="11">
        <v>1.62</v>
      </c>
      <c r="H276" s="15">
        <v>1.1517000000000001E-3</v>
      </c>
      <c r="I276" s="11">
        <f t="shared" si="103"/>
        <v>4.2829052715863334</v>
      </c>
      <c r="J276" s="16">
        <v>3</v>
      </c>
      <c r="K276" s="9">
        <v>0</v>
      </c>
      <c r="L276" s="14">
        <f t="shared" si="109"/>
        <v>67.949675222638575</v>
      </c>
      <c r="M276" s="6"/>
      <c r="N276" s="2">
        <f>-(1.7*K276^2)/19.62</f>
        <v>0</v>
      </c>
      <c r="O276">
        <f t="shared" si="110"/>
        <v>0</v>
      </c>
      <c r="P276">
        <f t="shared" si="113"/>
        <v>0</v>
      </c>
      <c r="Q276">
        <f t="shared" si="111"/>
        <v>0</v>
      </c>
      <c r="R276">
        <f t="shared" si="112"/>
        <v>6.9102E-3</v>
      </c>
    </row>
    <row r="277" spans="1:18" x14ac:dyDescent="0.3">
      <c r="A277">
        <f t="shared" si="105"/>
        <v>1.6666666666666667</v>
      </c>
      <c r="B277">
        <v>30</v>
      </c>
      <c r="C277">
        <v>6</v>
      </c>
      <c r="D277" s="7">
        <v>5.2</v>
      </c>
      <c r="E277" s="3">
        <v>15.228</v>
      </c>
      <c r="F277" s="8">
        <f t="shared" si="102"/>
        <v>3.4147622800105069</v>
      </c>
      <c r="G277" s="11">
        <v>1.62</v>
      </c>
      <c r="H277" s="15">
        <v>1.1517000000000001E-3</v>
      </c>
      <c r="I277" s="11">
        <f t="shared" si="103"/>
        <v>8.5658105431726668</v>
      </c>
      <c r="J277" s="16">
        <v>4.5</v>
      </c>
      <c r="K277" s="9">
        <v>0.85</v>
      </c>
      <c r="L277" s="14">
        <f t="shared" si="109"/>
        <v>16.882085473800178</v>
      </c>
      <c r="M277" s="6"/>
      <c r="N277" s="2">
        <f t="shared" ref="N277:N282" si="116">-(1.7*K277^2)/19.62</f>
        <v>-6.2601936799184493E-2</v>
      </c>
      <c r="O277">
        <f t="shared" si="110"/>
        <v>0.24891923076923078</v>
      </c>
      <c r="P277">
        <f t="shared" si="113"/>
        <v>1.3518665887478578</v>
      </c>
      <c r="Q277">
        <f t="shared" si="111"/>
        <v>0.25997434398997266</v>
      </c>
      <c r="R277">
        <f t="shared" si="112"/>
        <v>6.9102E-3</v>
      </c>
    </row>
    <row r="278" spans="1:18" x14ac:dyDescent="0.3">
      <c r="A278">
        <f t="shared" si="105"/>
        <v>1.6666666666666667</v>
      </c>
      <c r="B278">
        <v>30</v>
      </c>
      <c r="C278">
        <v>6</v>
      </c>
      <c r="D278" s="7">
        <v>7.8</v>
      </c>
      <c r="E278" s="3">
        <v>15.228</v>
      </c>
      <c r="F278" s="8">
        <f t="shared" si="102"/>
        <v>5.1221434200157594</v>
      </c>
      <c r="G278" s="11">
        <v>1.62</v>
      </c>
      <c r="H278" s="15">
        <v>1.1517000000000001E-3</v>
      </c>
      <c r="I278" s="11">
        <f t="shared" si="103"/>
        <v>12.848715814758997</v>
      </c>
      <c r="J278" s="16">
        <v>4.5</v>
      </c>
      <c r="K278" s="9">
        <v>8.26</v>
      </c>
      <c r="L278" s="14">
        <f t="shared" si="109"/>
        <v>3.1291162810082866</v>
      </c>
      <c r="M278" s="6"/>
      <c r="N278" s="2">
        <f t="shared" si="116"/>
        <v>-5.9116676860346571</v>
      </c>
      <c r="O278">
        <f t="shared" si="110"/>
        <v>1.6126061538461542</v>
      </c>
      <c r="P278">
        <f t="shared" si="113"/>
        <v>13.13696238006742</v>
      </c>
      <c r="Q278">
        <f t="shared" si="111"/>
        <v>1.6842259461624898</v>
      </c>
      <c r="R278">
        <f t="shared" si="112"/>
        <v>6.9102E-3</v>
      </c>
    </row>
    <row r="279" spans="1:18" x14ac:dyDescent="0.3">
      <c r="A279">
        <f t="shared" si="105"/>
        <v>1.6666666666666667</v>
      </c>
      <c r="B279">
        <v>30</v>
      </c>
      <c r="C279">
        <v>6</v>
      </c>
      <c r="D279" s="7">
        <v>10.4</v>
      </c>
      <c r="E279" s="3">
        <v>15.228</v>
      </c>
      <c r="F279" s="8">
        <f t="shared" si="102"/>
        <v>6.8295245600210137</v>
      </c>
      <c r="G279" s="11">
        <v>1.62</v>
      </c>
      <c r="H279" s="15">
        <v>1.1517000000000001E-3</v>
      </c>
      <c r="I279" s="11">
        <f t="shared" si="103"/>
        <v>17.131621086345334</v>
      </c>
      <c r="J279" s="16">
        <v>4.5</v>
      </c>
      <c r="K279" s="9">
        <v>11.6</v>
      </c>
      <c r="L279" s="14">
        <f t="shared" si="109"/>
        <v>-0.65752354599337237</v>
      </c>
      <c r="M279" s="6"/>
      <c r="N279" s="2">
        <f t="shared" si="116"/>
        <v>-11.659123343527012</v>
      </c>
      <c r="O279">
        <f t="shared" si="110"/>
        <v>1.6985076923076923</v>
      </c>
      <c r="P279">
        <f t="shared" si="113"/>
        <v>18.449002858206061</v>
      </c>
      <c r="Q279">
        <f t="shared" si="111"/>
        <v>1.7739425825198134</v>
      </c>
      <c r="R279">
        <f t="shared" si="112"/>
        <v>6.9102E-3</v>
      </c>
    </row>
    <row r="280" spans="1:18" x14ac:dyDescent="0.3">
      <c r="A280">
        <f t="shared" si="105"/>
        <v>1.6666666666666667</v>
      </c>
      <c r="B280">
        <v>30</v>
      </c>
      <c r="C280">
        <v>6</v>
      </c>
      <c r="D280" s="7">
        <v>13</v>
      </c>
      <c r="E280" s="3">
        <v>15.228</v>
      </c>
      <c r="F280" s="8">
        <f t="shared" si="102"/>
        <v>8.5369057000262671</v>
      </c>
      <c r="G280" s="11">
        <v>1.62</v>
      </c>
      <c r="H280" s="15">
        <v>1.1517000000000001E-3</v>
      </c>
      <c r="I280" s="11">
        <f t="shared" si="103"/>
        <v>21.414526357931667</v>
      </c>
      <c r="J280" s="16">
        <v>4.5</v>
      </c>
      <c r="K280" s="9">
        <v>11.44</v>
      </c>
      <c r="L280" s="14">
        <f t="shared" si="109"/>
        <v>-0.33482458205765636</v>
      </c>
      <c r="M280" s="6"/>
      <c r="N280" s="2">
        <f t="shared" si="116"/>
        <v>-11.339710499490314</v>
      </c>
      <c r="O280">
        <f t="shared" si="110"/>
        <v>1.3400639999999999</v>
      </c>
      <c r="P280">
        <f t="shared" si="113"/>
        <v>18.194533853265284</v>
      </c>
      <c r="Q280">
        <f t="shared" si="111"/>
        <v>1.3995795271742526</v>
      </c>
      <c r="R280">
        <f t="shared" si="112"/>
        <v>6.9102E-3</v>
      </c>
    </row>
    <row r="281" spans="1:18" x14ac:dyDescent="0.3">
      <c r="A281">
        <f t="shared" si="105"/>
        <v>1.6666666666666667</v>
      </c>
      <c r="B281">
        <v>30</v>
      </c>
      <c r="C281">
        <v>6</v>
      </c>
      <c r="D281" s="7">
        <v>15.6</v>
      </c>
      <c r="E281" s="3">
        <v>15.228</v>
      </c>
      <c r="F281" s="8">
        <f t="shared" si="102"/>
        <v>10.244286840031519</v>
      </c>
      <c r="G281" s="11">
        <v>1.62</v>
      </c>
      <c r="H281" s="15">
        <v>1.1517000000000001E-3</v>
      </c>
      <c r="I281" s="11">
        <f t="shared" si="103"/>
        <v>25.697431629517993</v>
      </c>
      <c r="J281" s="16">
        <v>4.5</v>
      </c>
      <c r="K281" s="9">
        <v>15.35</v>
      </c>
      <c r="L281" s="14">
        <f t="shared" si="109"/>
        <v>-1.9293337791569829</v>
      </c>
      <c r="M281" s="6"/>
      <c r="N281" s="2">
        <f t="shared" si="116"/>
        <v>-20.415812945973496</v>
      </c>
      <c r="O281">
        <f t="shared" si="110"/>
        <v>1.4983961538461541</v>
      </c>
      <c r="P281">
        <f t="shared" si="113"/>
        <v>24.413120161505429</v>
      </c>
      <c r="Q281">
        <f t="shared" si="111"/>
        <v>1.5649436000965018</v>
      </c>
      <c r="R281">
        <f t="shared" si="112"/>
        <v>6.9102E-3</v>
      </c>
    </row>
    <row r="282" spans="1:18" x14ac:dyDescent="0.3">
      <c r="A282">
        <f t="shared" si="105"/>
        <v>1.6666666666666667</v>
      </c>
      <c r="B282">
        <v>30</v>
      </c>
      <c r="C282">
        <v>6</v>
      </c>
      <c r="D282" s="7">
        <v>18.100000000000001</v>
      </c>
      <c r="E282" s="3">
        <v>15.228</v>
      </c>
      <c r="F282" s="8">
        <f t="shared" si="102"/>
        <v>11.885999474651957</v>
      </c>
      <c r="G282" s="11">
        <v>1.62</v>
      </c>
      <c r="H282" s="15">
        <v>1.1517000000000001E-3</v>
      </c>
      <c r="I282" s="11">
        <f t="shared" si="103"/>
        <v>29.815609775274087</v>
      </c>
      <c r="J282" s="16">
        <v>4.5</v>
      </c>
      <c r="K282" s="9">
        <v>19.510000000000002</v>
      </c>
      <c r="L282" s="14">
        <f t="shared" si="109"/>
        <v>-3.1781868414799801</v>
      </c>
      <c r="M282" s="6"/>
      <c r="N282" s="2">
        <f t="shared" si="116"/>
        <v>-32.981048419979615</v>
      </c>
      <c r="O282">
        <f t="shared" si="110"/>
        <v>1.6414269613259671</v>
      </c>
      <c r="P282">
        <f t="shared" si="113"/>
        <v>31.029314289965544</v>
      </c>
      <c r="Q282">
        <f t="shared" si="111"/>
        <v>1.7143267563516873</v>
      </c>
      <c r="R282">
        <f t="shared" si="112"/>
        <v>6.9102E-3</v>
      </c>
    </row>
    <row r="283" spans="1:18" x14ac:dyDescent="0.3">
      <c r="A283">
        <f t="shared" si="105"/>
        <v>1.6666666666666667</v>
      </c>
      <c r="B283">
        <v>40</v>
      </c>
      <c r="C283">
        <v>1</v>
      </c>
      <c r="D283" s="1">
        <v>3.2</v>
      </c>
      <c r="E283" s="3">
        <v>20.303999999999998</v>
      </c>
      <c r="F283" s="8">
        <f t="shared" si="102"/>
        <v>1.5760441292356187</v>
      </c>
      <c r="G283" s="11">
        <v>2.16</v>
      </c>
      <c r="H283" s="15">
        <v>8.7799999999999996E-3</v>
      </c>
      <c r="I283" s="11">
        <f t="shared" si="103"/>
        <v>3.423789015873282</v>
      </c>
      <c r="J283" s="16">
        <v>3</v>
      </c>
      <c r="K283" s="9">
        <v>0</v>
      </c>
      <c r="L283" s="14">
        <f t="shared" si="109"/>
        <v>79.746493837680006</v>
      </c>
      <c r="M283" s="6"/>
      <c r="N283" s="2">
        <f>-(1.7*K283^2)/19.62</f>
        <v>0</v>
      </c>
      <c r="O283">
        <f t="shared" si="110"/>
        <v>0</v>
      </c>
      <c r="P283">
        <f t="shared" si="113"/>
        <v>0</v>
      </c>
      <c r="Q283">
        <f t="shared" si="111"/>
        <v>0</v>
      </c>
      <c r="R283">
        <f t="shared" si="112"/>
        <v>8.7799999999999996E-3</v>
      </c>
    </row>
    <row r="284" spans="1:18" x14ac:dyDescent="0.3">
      <c r="A284">
        <f t="shared" si="105"/>
        <v>1.6666666666666667</v>
      </c>
      <c r="B284">
        <v>40</v>
      </c>
      <c r="C284">
        <v>1</v>
      </c>
      <c r="D284" s="1">
        <v>6.4</v>
      </c>
      <c r="E284" s="3">
        <v>20.303999999999998</v>
      </c>
      <c r="F284" s="8">
        <f t="shared" si="102"/>
        <v>3.1520882584712373</v>
      </c>
      <c r="G284" s="11">
        <v>2.16</v>
      </c>
      <c r="H284" s="15">
        <v>8.7799999999999996E-3</v>
      </c>
      <c r="I284" s="11">
        <f t="shared" si="103"/>
        <v>6.847578031746564</v>
      </c>
      <c r="J284" s="16">
        <v>4.5</v>
      </c>
      <c r="K284" s="9">
        <v>0</v>
      </c>
      <c r="L284" s="14">
        <f t="shared" si="109"/>
        <v>19.936623459420002</v>
      </c>
      <c r="M284" s="6"/>
      <c r="N284" s="2">
        <f t="shared" ref="N284:N289" si="117">-(1.7*K284^2)/19.62</f>
        <v>0</v>
      </c>
      <c r="O284">
        <f t="shared" si="110"/>
        <v>0</v>
      </c>
      <c r="P284">
        <f t="shared" si="113"/>
        <v>0</v>
      </c>
      <c r="Q284">
        <f t="shared" si="111"/>
        <v>0</v>
      </c>
      <c r="R284">
        <f t="shared" si="112"/>
        <v>8.7799999999999996E-3</v>
      </c>
    </row>
    <row r="285" spans="1:18" x14ac:dyDescent="0.3">
      <c r="A285">
        <f t="shared" si="105"/>
        <v>1.6666666666666667</v>
      </c>
      <c r="B285">
        <v>40</v>
      </c>
      <c r="C285">
        <v>1</v>
      </c>
      <c r="D285" s="1">
        <v>9.6</v>
      </c>
      <c r="E285" s="3">
        <v>20.303999999999998</v>
      </c>
      <c r="F285" s="8">
        <f t="shared" si="102"/>
        <v>4.7281323877068555</v>
      </c>
      <c r="G285" s="11">
        <v>2.16</v>
      </c>
      <c r="H285" s="15">
        <v>8.7799999999999996E-3</v>
      </c>
      <c r="I285" s="11">
        <f t="shared" si="103"/>
        <v>10.271367047619844</v>
      </c>
      <c r="J285" s="16">
        <v>4.5</v>
      </c>
      <c r="K285" s="9">
        <v>1.1200000000000001</v>
      </c>
      <c r="L285" s="14">
        <f t="shared" si="109"/>
        <v>8.7653309090400011</v>
      </c>
      <c r="M285" s="6"/>
      <c r="N285" s="2">
        <f t="shared" si="117"/>
        <v>-0.10868909276248725</v>
      </c>
      <c r="O285">
        <f t="shared" si="110"/>
        <v>0.23688000000000003</v>
      </c>
      <c r="P285">
        <f t="shared" si="113"/>
        <v>1.7812830345854131</v>
      </c>
      <c r="Q285">
        <f t="shared" si="111"/>
        <v>0.18555031610264722</v>
      </c>
      <c r="R285">
        <f t="shared" si="112"/>
        <v>8.7799999999999996E-3</v>
      </c>
    </row>
    <row r="286" spans="1:18" x14ac:dyDescent="0.3">
      <c r="A286">
        <f t="shared" si="105"/>
        <v>1.6666666666666667</v>
      </c>
      <c r="B286">
        <v>40</v>
      </c>
      <c r="C286">
        <v>1</v>
      </c>
      <c r="D286" s="1">
        <v>12.8</v>
      </c>
      <c r="E286" s="3">
        <v>20.303999999999998</v>
      </c>
      <c r="F286" s="8">
        <f t="shared" si="102"/>
        <v>6.3041765169424746</v>
      </c>
      <c r="G286" s="11">
        <v>2.16</v>
      </c>
      <c r="H286" s="15">
        <v>8.7799999999999996E-3</v>
      </c>
      <c r="I286" s="11">
        <f t="shared" si="103"/>
        <v>13.695156063493128</v>
      </c>
      <c r="J286" s="16">
        <v>4.5</v>
      </c>
      <c r="K286" s="9">
        <v>3.48</v>
      </c>
      <c r="L286" s="14">
        <f t="shared" si="109"/>
        <v>4.4661309124724999</v>
      </c>
      <c r="M286" s="6"/>
      <c r="N286" s="2">
        <f t="shared" si="117"/>
        <v>-1.049321100917431</v>
      </c>
      <c r="O286">
        <f t="shared" si="110"/>
        <v>0.55201500000000003</v>
      </c>
      <c r="P286">
        <f t="shared" si="113"/>
        <v>5.5347008574618179</v>
      </c>
      <c r="Q286">
        <f t="shared" si="111"/>
        <v>0.43239850448920453</v>
      </c>
      <c r="R286">
        <f t="shared" si="112"/>
        <v>8.7799999999999996E-3</v>
      </c>
    </row>
    <row r="287" spans="1:18" x14ac:dyDescent="0.3">
      <c r="A287">
        <f t="shared" si="105"/>
        <v>1.6666666666666667</v>
      </c>
      <c r="B287">
        <v>40</v>
      </c>
      <c r="C287">
        <v>1</v>
      </c>
      <c r="D287" s="1">
        <v>16</v>
      </c>
      <c r="E287" s="3">
        <v>20.303999999999998</v>
      </c>
      <c r="F287" s="8">
        <f t="shared" si="102"/>
        <v>7.8802206461780937</v>
      </c>
      <c r="G287" s="11">
        <v>2.16</v>
      </c>
      <c r="H287" s="15">
        <v>8.7799999999999996E-3</v>
      </c>
      <c r="I287" s="11">
        <f t="shared" si="103"/>
        <v>17.118945079366409</v>
      </c>
      <c r="J287" s="16">
        <v>4.5</v>
      </c>
      <c r="K287" s="9">
        <v>6.43</v>
      </c>
      <c r="L287" s="14">
        <f t="shared" si="109"/>
        <v>2.0579961068558998</v>
      </c>
      <c r="M287" s="6"/>
      <c r="N287" s="2">
        <f t="shared" si="117"/>
        <v>-3.5823817533129456</v>
      </c>
      <c r="O287">
        <f t="shared" si="110"/>
        <v>0.81596699999999989</v>
      </c>
      <c r="P287">
        <f t="shared" si="113"/>
        <v>10.226473136057324</v>
      </c>
      <c r="Q287">
        <f t="shared" si="111"/>
        <v>0.63915457100358275</v>
      </c>
      <c r="R287">
        <f t="shared" si="112"/>
        <v>8.7799999999999996E-3</v>
      </c>
    </row>
    <row r="288" spans="1:18" x14ac:dyDescent="0.3">
      <c r="A288">
        <f t="shared" si="105"/>
        <v>1.6666666666666667</v>
      </c>
      <c r="B288">
        <v>40</v>
      </c>
      <c r="C288">
        <v>1</v>
      </c>
      <c r="D288" s="1">
        <v>19.2</v>
      </c>
      <c r="E288" s="3">
        <v>20.303999999999998</v>
      </c>
      <c r="F288" s="8">
        <f t="shared" si="102"/>
        <v>9.456264775413711</v>
      </c>
      <c r="G288" s="11">
        <v>2.16</v>
      </c>
      <c r="H288" s="15">
        <v>8.7799999999999996E-3</v>
      </c>
      <c r="I288" s="11">
        <f t="shared" si="103"/>
        <v>20.542734095239688</v>
      </c>
      <c r="J288" s="16">
        <v>4.5</v>
      </c>
      <c r="K288" s="9">
        <v>12.12</v>
      </c>
      <c r="L288" s="14">
        <f t="shared" si="109"/>
        <v>-0.57745935098999968</v>
      </c>
      <c r="M288" s="6"/>
      <c r="N288" s="2">
        <f t="shared" si="117"/>
        <v>-12.727853211009172</v>
      </c>
      <c r="O288">
        <f t="shared" si="110"/>
        <v>1.28169</v>
      </c>
      <c r="P288">
        <f t="shared" si="113"/>
        <v>19.276027124263571</v>
      </c>
      <c r="Q288">
        <f t="shared" si="111"/>
        <v>1.0039597460553944</v>
      </c>
      <c r="R288">
        <f t="shared" si="112"/>
        <v>8.7799999999999996E-3</v>
      </c>
    </row>
    <row r="289" spans="1:18" x14ac:dyDescent="0.3">
      <c r="A289">
        <f t="shared" si="105"/>
        <v>1.6666666666666667</v>
      </c>
      <c r="B289">
        <v>40</v>
      </c>
      <c r="C289">
        <v>1</v>
      </c>
      <c r="D289" s="1">
        <v>22.3</v>
      </c>
      <c r="E289" s="3">
        <v>20.303999999999998</v>
      </c>
      <c r="F289" s="8">
        <f t="shared" si="102"/>
        <v>10.983057525610718</v>
      </c>
      <c r="G289" s="11">
        <v>2.16</v>
      </c>
      <c r="H289" s="15">
        <v>8.7799999999999996E-3</v>
      </c>
      <c r="I289" s="11">
        <f t="shared" si="103"/>
        <v>23.859529704366935</v>
      </c>
      <c r="J289" s="16">
        <v>4.5</v>
      </c>
      <c r="K289" s="9">
        <v>17.100000000000001</v>
      </c>
      <c r="L289" s="14">
        <f t="shared" si="109"/>
        <v>-2.4788157724178577</v>
      </c>
      <c r="M289" s="6"/>
      <c r="N289" s="2">
        <f t="shared" si="117"/>
        <v>-25.336238532110091</v>
      </c>
      <c r="O289">
        <f t="shared" si="110"/>
        <v>1.5569434977578476</v>
      </c>
      <c r="P289">
        <f t="shared" si="113"/>
        <v>27.196374903045143</v>
      </c>
      <c r="Q289">
        <f t="shared" si="111"/>
        <v>1.2195683813024727</v>
      </c>
      <c r="R289">
        <f t="shared" si="112"/>
        <v>8.7799999999999996E-3</v>
      </c>
    </row>
    <row r="290" spans="1:18" x14ac:dyDescent="0.3">
      <c r="A290">
        <f t="shared" si="105"/>
        <v>1.6666666666666667</v>
      </c>
      <c r="B290">
        <v>40</v>
      </c>
      <c r="C290">
        <v>2</v>
      </c>
      <c r="D290" s="1">
        <v>3.2</v>
      </c>
      <c r="E290" s="3">
        <v>20.303999999999998</v>
      </c>
      <c r="F290" s="8">
        <f t="shared" si="102"/>
        <v>1.5760441292356187</v>
      </c>
      <c r="G290" s="11">
        <v>2.16</v>
      </c>
      <c r="H290" s="15">
        <v>4.3899999999999998E-3</v>
      </c>
      <c r="I290" s="11">
        <f t="shared" si="103"/>
        <v>3.423789015873282</v>
      </c>
      <c r="J290" s="16">
        <v>4.5</v>
      </c>
      <c r="K290" s="9">
        <v>0</v>
      </c>
      <c r="L290" s="14">
        <f t="shared" si="109"/>
        <v>79.746493837680006</v>
      </c>
      <c r="M290" s="6"/>
      <c r="N290" s="2">
        <f>-(1.7*K290^2)/19.62</f>
        <v>0</v>
      </c>
      <c r="O290">
        <f t="shared" si="110"/>
        <v>0</v>
      </c>
      <c r="P290">
        <f t="shared" si="113"/>
        <v>0</v>
      </c>
      <c r="Q290">
        <f t="shared" si="111"/>
        <v>0</v>
      </c>
      <c r="R290">
        <f t="shared" si="112"/>
        <v>8.7799999999999996E-3</v>
      </c>
    </row>
    <row r="291" spans="1:18" x14ac:dyDescent="0.3">
      <c r="A291">
        <f t="shared" si="105"/>
        <v>1.6666666666666667</v>
      </c>
      <c r="B291">
        <v>40</v>
      </c>
      <c r="C291">
        <v>2</v>
      </c>
      <c r="D291" s="1">
        <v>6.4</v>
      </c>
      <c r="E291" s="3">
        <v>20.303999999999998</v>
      </c>
      <c r="F291" s="8">
        <f t="shared" si="102"/>
        <v>3.1520882584712373</v>
      </c>
      <c r="G291" s="11">
        <v>2.16</v>
      </c>
      <c r="H291" s="15">
        <v>4.3899999999999998E-3</v>
      </c>
      <c r="I291" s="11">
        <f t="shared" si="103"/>
        <v>6.847578031746564</v>
      </c>
      <c r="J291" s="16">
        <v>4.5</v>
      </c>
      <c r="K291" s="9">
        <v>0.4</v>
      </c>
      <c r="L291" s="14">
        <f t="shared" si="109"/>
        <v>19.909247322420001</v>
      </c>
      <c r="M291" s="6"/>
      <c r="N291" s="2">
        <f t="shared" ref="N291:N296" si="118">-(1.7*K291^2)/19.62</f>
        <v>-1.3863404689092763E-2</v>
      </c>
      <c r="O291">
        <f t="shared" si="110"/>
        <v>0.12690000000000001</v>
      </c>
      <c r="P291">
        <f t="shared" si="113"/>
        <v>0.63617251235193317</v>
      </c>
      <c r="Q291">
        <f t="shared" si="111"/>
        <v>9.9401955054989555E-2</v>
      </c>
      <c r="R291">
        <f t="shared" si="112"/>
        <v>8.7799999999999996E-3</v>
      </c>
    </row>
    <row r="292" spans="1:18" x14ac:dyDescent="0.3">
      <c r="A292">
        <f t="shared" si="105"/>
        <v>1.6666666666666667</v>
      </c>
      <c r="B292">
        <v>40</v>
      </c>
      <c r="C292">
        <v>2</v>
      </c>
      <c r="D292" s="1">
        <v>9.6</v>
      </c>
      <c r="E292" s="3">
        <v>20.303999999999998</v>
      </c>
      <c r="F292" s="8">
        <f t="shared" si="102"/>
        <v>4.7281323877068555</v>
      </c>
      <c r="G292" s="11">
        <v>2.16</v>
      </c>
      <c r="H292" s="15">
        <v>4.3899999999999998E-3</v>
      </c>
      <c r="I292" s="11">
        <f t="shared" si="103"/>
        <v>10.271367047619844</v>
      </c>
      <c r="J292" s="16">
        <v>4.5</v>
      </c>
      <c r="K292" s="9">
        <v>2.88</v>
      </c>
      <c r="L292" s="14">
        <f t="shared" si="109"/>
        <v>8.2299753410400012</v>
      </c>
      <c r="M292" s="6"/>
      <c r="N292" s="2">
        <f t="shared" si="118"/>
        <v>-0.71867889908256877</v>
      </c>
      <c r="O292">
        <f t="shared" si="110"/>
        <v>0.60911999999999999</v>
      </c>
      <c r="P292">
        <f t="shared" si="113"/>
        <v>4.5804420889339186</v>
      </c>
      <c r="Q292">
        <f t="shared" si="111"/>
        <v>0.47712938426394985</v>
      </c>
      <c r="R292">
        <f t="shared" si="112"/>
        <v>8.7799999999999996E-3</v>
      </c>
    </row>
    <row r="293" spans="1:18" x14ac:dyDescent="0.3">
      <c r="A293">
        <f t="shared" si="105"/>
        <v>1.6666666666666667</v>
      </c>
      <c r="B293">
        <v>40</v>
      </c>
      <c r="C293">
        <v>2</v>
      </c>
      <c r="D293" s="1">
        <v>12.8</v>
      </c>
      <c r="E293" s="3">
        <v>20.303999999999998</v>
      </c>
      <c r="F293" s="8">
        <f t="shared" ref="F293:F356" si="119">(D293*10^-3)/(E293*10^-4)</f>
        <v>6.3041765169424746</v>
      </c>
      <c r="G293" s="11">
        <v>2.16</v>
      </c>
      <c r="H293" s="15">
        <v>4.3899999999999998E-3</v>
      </c>
      <c r="I293" s="11">
        <f t="shared" ref="I293:I338" si="120">(F293)/((9.81*G293*10^-2))^(1/2)</f>
        <v>13.695156063493128</v>
      </c>
      <c r="J293" s="16">
        <v>4.5</v>
      </c>
      <c r="K293" s="9">
        <v>7.82</v>
      </c>
      <c r="L293" s="14">
        <f t="shared" si="109"/>
        <v>2.3683488644193749</v>
      </c>
      <c r="M293" s="6"/>
      <c r="N293" s="2">
        <f t="shared" si="118"/>
        <v>-5.2986279306829767</v>
      </c>
      <c r="O293">
        <f t="shared" si="110"/>
        <v>1.2404474999999999</v>
      </c>
      <c r="P293">
        <f t="shared" si="113"/>
        <v>12.437172616480293</v>
      </c>
      <c r="Q293">
        <f t="shared" si="111"/>
        <v>0.97165411066252283</v>
      </c>
      <c r="R293">
        <f t="shared" si="112"/>
        <v>8.7799999999999996E-3</v>
      </c>
    </row>
    <row r="294" spans="1:18" x14ac:dyDescent="0.3">
      <c r="A294">
        <f t="shared" si="105"/>
        <v>1.6666666666666667</v>
      </c>
      <c r="B294">
        <v>40</v>
      </c>
      <c r="C294">
        <v>2</v>
      </c>
      <c r="D294" s="1">
        <v>16</v>
      </c>
      <c r="E294" s="3">
        <v>20.303999999999998</v>
      </c>
      <c r="F294" s="8">
        <f t="shared" si="119"/>
        <v>7.8802206461780937</v>
      </c>
      <c r="G294" s="11">
        <v>2.16</v>
      </c>
      <c r="H294" s="15">
        <v>4.3899999999999998E-3</v>
      </c>
      <c r="I294" s="11">
        <f t="shared" si="120"/>
        <v>17.118945079366409</v>
      </c>
      <c r="J294" s="16">
        <v>4.5</v>
      </c>
      <c r="K294" s="9">
        <v>13.12</v>
      </c>
      <c r="L294" s="14">
        <f t="shared" si="109"/>
        <v>-1.5225151633055989</v>
      </c>
      <c r="M294" s="6"/>
      <c r="N294" s="2">
        <f t="shared" si="118"/>
        <v>-14.914805300713555</v>
      </c>
      <c r="O294">
        <f t="shared" si="110"/>
        <v>1.6649279999999997</v>
      </c>
      <c r="P294">
        <f t="shared" si="113"/>
        <v>20.866458405143401</v>
      </c>
      <c r="Q294">
        <f t="shared" si="111"/>
        <v>1.3041536503214626</v>
      </c>
      <c r="R294">
        <f t="shared" si="112"/>
        <v>8.7799999999999996E-3</v>
      </c>
    </row>
    <row r="295" spans="1:18" x14ac:dyDescent="0.3">
      <c r="A295">
        <f t="shared" si="105"/>
        <v>1.6666666666666667</v>
      </c>
      <c r="B295">
        <v>40</v>
      </c>
      <c r="C295">
        <v>2</v>
      </c>
      <c r="D295" s="1">
        <v>19.2</v>
      </c>
      <c r="E295" s="3">
        <v>20.303999999999998</v>
      </c>
      <c r="F295" s="8">
        <f t="shared" si="119"/>
        <v>9.456264775413711</v>
      </c>
      <c r="G295" s="11">
        <v>2.16</v>
      </c>
      <c r="H295" s="15">
        <v>4.3899999999999998E-3</v>
      </c>
      <c r="I295" s="11">
        <f t="shared" si="120"/>
        <v>20.542734095239688</v>
      </c>
      <c r="J295" s="16">
        <v>4.5</v>
      </c>
      <c r="K295" s="9">
        <v>16.89</v>
      </c>
      <c r="L295" s="14">
        <f t="shared" si="109"/>
        <v>-3.2081863460906255</v>
      </c>
      <c r="M295" s="6"/>
      <c r="N295" s="2">
        <f t="shared" si="118"/>
        <v>-24.717766055045871</v>
      </c>
      <c r="O295">
        <f t="shared" si="110"/>
        <v>1.7861175000000002</v>
      </c>
      <c r="P295">
        <f t="shared" si="113"/>
        <v>26.862384334060373</v>
      </c>
      <c r="Q295">
        <f t="shared" si="111"/>
        <v>1.3990825173989778</v>
      </c>
      <c r="R295">
        <f t="shared" si="112"/>
        <v>8.7799999999999996E-3</v>
      </c>
    </row>
    <row r="296" spans="1:18" x14ac:dyDescent="0.3">
      <c r="A296">
        <f t="shared" si="105"/>
        <v>1.6666666666666667</v>
      </c>
      <c r="B296">
        <v>40</v>
      </c>
      <c r="C296">
        <v>2</v>
      </c>
      <c r="D296" s="1">
        <v>22.3</v>
      </c>
      <c r="E296" s="3">
        <v>20.303999999999998</v>
      </c>
      <c r="F296" s="8">
        <f t="shared" si="119"/>
        <v>10.983057525610718</v>
      </c>
      <c r="G296" s="11">
        <v>2.16</v>
      </c>
      <c r="H296" s="15">
        <v>4.3899999999999998E-3</v>
      </c>
      <c r="I296" s="11">
        <f t="shared" si="120"/>
        <v>23.859529704366935</v>
      </c>
      <c r="J296" s="16">
        <v>4.5</v>
      </c>
      <c r="K296" s="9">
        <v>23.85</v>
      </c>
      <c r="L296" s="14">
        <f t="shared" si="109"/>
        <v>-6.3742877423734177</v>
      </c>
      <c r="M296" s="6"/>
      <c r="N296" s="2">
        <f t="shared" si="118"/>
        <v>-49.286353211009178</v>
      </c>
      <c r="O296">
        <f t="shared" si="110"/>
        <v>2.1715264573991031</v>
      </c>
      <c r="P296">
        <f t="shared" si="113"/>
        <v>37.931786048984016</v>
      </c>
      <c r="Q296">
        <f t="shared" si="111"/>
        <v>1.7009769528692382</v>
      </c>
      <c r="R296">
        <f t="shared" si="112"/>
        <v>8.7799999999999996E-3</v>
      </c>
    </row>
    <row r="297" spans="1:18" x14ac:dyDescent="0.3">
      <c r="A297">
        <f t="shared" si="105"/>
        <v>1.6666666666666667</v>
      </c>
      <c r="B297">
        <v>40</v>
      </c>
      <c r="C297">
        <v>4</v>
      </c>
      <c r="D297" s="1">
        <v>3.2</v>
      </c>
      <c r="E297" s="3">
        <v>20.303999999999998</v>
      </c>
      <c r="F297" s="8">
        <f t="shared" si="119"/>
        <v>1.5760441292356187</v>
      </c>
      <c r="G297" s="11">
        <v>2.16</v>
      </c>
      <c r="H297" s="15">
        <v>2.1949999999999999E-3</v>
      </c>
      <c r="I297" s="11">
        <f t="shared" si="120"/>
        <v>3.423789015873282</v>
      </c>
      <c r="J297" s="16">
        <v>4.5</v>
      </c>
      <c r="K297" s="9">
        <v>0</v>
      </c>
      <c r="L297" s="14">
        <f t="shared" si="109"/>
        <v>79.746493837680006</v>
      </c>
      <c r="M297" s="6"/>
      <c r="N297" s="2">
        <f>-(1.7*K297^2)/19.62</f>
        <v>0</v>
      </c>
      <c r="O297">
        <f t="shared" si="110"/>
        <v>0</v>
      </c>
      <c r="P297">
        <f t="shared" si="113"/>
        <v>0</v>
      </c>
      <c r="Q297">
        <f t="shared" si="111"/>
        <v>0</v>
      </c>
      <c r="R297">
        <f t="shared" si="112"/>
        <v>8.7799999999999996E-3</v>
      </c>
    </row>
    <row r="298" spans="1:18" x14ac:dyDescent="0.3">
      <c r="A298">
        <f t="shared" si="105"/>
        <v>1.6666666666666667</v>
      </c>
      <c r="B298">
        <v>40</v>
      </c>
      <c r="C298">
        <v>4</v>
      </c>
      <c r="D298" s="1">
        <v>6.4</v>
      </c>
      <c r="E298" s="3">
        <v>20.303999999999998</v>
      </c>
      <c r="F298" s="8">
        <f t="shared" si="119"/>
        <v>3.1520882584712373</v>
      </c>
      <c r="G298" s="11">
        <v>2.16</v>
      </c>
      <c r="H298" s="15">
        <v>2.1949999999999999E-3</v>
      </c>
      <c r="I298" s="11">
        <f t="shared" si="120"/>
        <v>6.847578031746564</v>
      </c>
      <c r="J298" s="16">
        <v>4.5</v>
      </c>
      <c r="K298" s="9">
        <v>0.4</v>
      </c>
      <c r="L298" s="14">
        <f t="shared" si="109"/>
        <v>19.909247322420001</v>
      </c>
      <c r="M298" s="6"/>
      <c r="N298" s="2">
        <f t="shared" ref="N298:N303" si="121">-(1.7*K298^2)/19.62</f>
        <v>-1.3863404689092763E-2</v>
      </c>
      <c r="O298">
        <f t="shared" si="110"/>
        <v>0.12690000000000001</v>
      </c>
      <c r="P298">
        <f t="shared" si="113"/>
        <v>0.63617251235193317</v>
      </c>
      <c r="Q298">
        <f t="shared" si="111"/>
        <v>9.9401955054989555E-2</v>
      </c>
      <c r="R298">
        <f t="shared" si="112"/>
        <v>8.7799999999999996E-3</v>
      </c>
    </row>
    <row r="299" spans="1:18" x14ac:dyDescent="0.3">
      <c r="A299">
        <f t="shared" si="105"/>
        <v>1.6666666666666667</v>
      </c>
      <c r="B299">
        <v>40</v>
      </c>
      <c r="C299">
        <v>4</v>
      </c>
      <c r="D299" s="1">
        <v>9.6</v>
      </c>
      <c r="E299" s="3">
        <v>20.303999999999998</v>
      </c>
      <c r="F299" s="8">
        <f t="shared" si="119"/>
        <v>4.7281323877068555</v>
      </c>
      <c r="G299" s="11">
        <v>2.16</v>
      </c>
      <c r="H299" s="15">
        <v>2.1949999999999999E-3</v>
      </c>
      <c r="I299" s="11">
        <f t="shared" si="120"/>
        <v>10.271367047619844</v>
      </c>
      <c r="J299" s="16">
        <v>4.5</v>
      </c>
      <c r="K299" s="9">
        <v>3.45</v>
      </c>
      <c r="L299" s="14">
        <f t="shared" si="109"/>
        <v>7.9555980079575006</v>
      </c>
      <c r="M299" s="6"/>
      <c r="N299" s="2">
        <f t="shared" si="121"/>
        <v>-1.0313073394495413</v>
      </c>
      <c r="O299">
        <f t="shared" si="110"/>
        <v>0.72967500000000007</v>
      </c>
      <c r="P299">
        <f t="shared" si="113"/>
        <v>5.4869879190354229</v>
      </c>
      <c r="Q299">
        <f t="shared" si="111"/>
        <v>0.57156124156618993</v>
      </c>
      <c r="R299">
        <f t="shared" si="112"/>
        <v>8.7799999999999996E-3</v>
      </c>
    </row>
    <row r="300" spans="1:18" x14ac:dyDescent="0.3">
      <c r="A300">
        <f t="shared" ref="A300:A338" si="122">100/60</f>
        <v>1.6666666666666667</v>
      </c>
      <c r="B300">
        <v>40</v>
      </c>
      <c r="C300">
        <v>4</v>
      </c>
      <c r="D300" s="1">
        <v>12.8</v>
      </c>
      <c r="E300" s="3">
        <v>20.303999999999998</v>
      </c>
      <c r="F300" s="8">
        <f t="shared" si="119"/>
        <v>6.3041765169424746</v>
      </c>
      <c r="G300" s="11">
        <v>2.16</v>
      </c>
      <c r="H300" s="15">
        <v>2.1949999999999999E-3</v>
      </c>
      <c r="I300" s="11">
        <f t="shared" si="120"/>
        <v>13.695156063493128</v>
      </c>
      <c r="J300" s="16">
        <v>4.5</v>
      </c>
      <c r="K300" s="9">
        <v>8.7200000000000006</v>
      </c>
      <c r="L300" s="14">
        <f t="shared" si="109"/>
        <v>1.7315970278849999</v>
      </c>
      <c r="M300" s="6"/>
      <c r="N300" s="2">
        <f t="shared" si="121"/>
        <v>-6.5884444444444448</v>
      </c>
      <c r="O300">
        <f t="shared" si="110"/>
        <v>1.3832100000000001</v>
      </c>
      <c r="P300">
        <f t="shared" si="113"/>
        <v>13.868560769272142</v>
      </c>
      <c r="Q300">
        <f t="shared" si="111"/>
        <v>1.0834813100993861</v>
      </c>
      <c r="R300">
        <f t="shared" si="112"/>
        <v>8.7799999999999996E-3</v>
      </c>
    </row>
    <row r="301" spans="1:18" x14ac:dyDescent="0.3">
      <c r="A301">
        <f t="shared" si="122"/>
        <v>1.6666666666666667</v>
      </c>
      <c r="B301">
        <v>40</v>
      </c>
      <c r="C301">
        <v>4</v>
      </c>
      <c r="D301" s="1">
        <v>16</v>
      </c>
      <c r="E301" s="3">
        <v>20.303999999999998</v>
      </c>
      <c r="F301" s="8">
        <f t="shared" si="119"/>
        <v>7.8802206461780937</v>
      </c>
      <c r="G301" s="11">
        <v>2.16</v>
      </c>
      <c r="H301" s="15">
        <v>2.1949999999999999E-3</v>
      </c>
      <c r="I301" s="11">
        <f t="shared" si="120"/>
        <v>17.118945079366409</v>
      </c>
      <c r="J301" s="16">
        <v>4.5</v>
      </c>
      <c r="K301" s="9">
        <v>14.12</v>
      </c>
      <c r="L301" s="14">
        <f t="shared" si="109"/>
        <v>-2.2682411351855989</v>
      </c>
      <c r="M301" s="6"/>
      <c r="N301" s="2">
        <f t="shared" si="121"/>
        <v>-17.275049949031597</v>
      </c>
      <c r="O301">
        <f t="shared" si="110"/>
        <v>1.7918279999999998</v>
      </c>
      <c r="P301">
        <f t="shared" si="113"/>
        <v>22.456889686023239</v>
      </c>
      <c r="Q301">
        <f t="shared" si="111"/>
        <v>1.4035556053764524</v>
      </c>
      <c r="R301">
        <f t="shared" si="112"/>
        <v>8.7799999999999996E-3</v>
      </c>
    </row>
    <row r="302" spans="1:18" x14ac:dyDescent="0.3">
      <c r="A302">
        <f t="shared" si="122"/>
        <v>1.6666666666666667</v>
      </c>
      <c r="B302">
        <v>40</v>
      </c>
      <c r="C302">
        <v>4</v>
      </c>
      <c r="D302" s="1">
        <v>19.2</v>
      </c>
      <c r="E302" s="3">
        <v>20.303999999999998</v>
      </c>
      <c r="F302" s="8">
        <f t="shared" si="119"/>
        <v>9.456264775413711</v>
      </c>
      <c r="G302" s="11">
        <v>2.16</v>
      </c>
      <c r="H302" s="15">
        <v>2.1949999999999999E-3</v>
      </c>
      <c r="I302" s="11">
        <f t="shared" si="120"/>
        <v>20.542734095239688</v>
      </c>
      <c r="J302" s="16">
        <v>4.5</v>
      </c>
      <c r="K302" s="9">
        <v>15.97</v>
      </c>
      <c r="L302" s="14">
        <f t="shared" si="109"/>
        <v>-2.6334547677056261</v>
      </c>
      <c r="M302" s="6"/>
      <c r="N302" s="2">
        <f t="shared" si="121"/>
        <v>-22.098345056065241</v>
      </c>
      <c r="O302">
        <f t="shared" si="110"/>
        <v>1.6888275000000001</v>
      </c>
      <c r="P302">
        <f t="shared" si="113"/>
        <v>25.399187555650933</v>
      </c>
      <c r="Q302">
        <f t="shared" si="111"/>
        <v>1.3228743518568196</v>
      </c>
      <c r="R302">
        <f t="shared" si="112"/>
        <v>8.7799999999999996E-3</v>
      </c>
    </row>
    <row r="303" spans="1:18" x14ac:dyDescent="0.3">
      <c r="A303">
        <f t="shared" si="122"/>
        <v>1.6666666666666667</v>
      </c>
      <c r="B303">
        <v>40</v>
      </c>
      <c r="C303">
        <v>4</v>
      </c>
      <c r="D303" s="1">
        <v>22.3</v>
      </c>
      <c r="E303" s="3">
        <v>20.303999999999998</v>
      </c>
      <c r="F303" s="8">
        <f t="shared" si="119"/>
        <v>10.983057525610718</v>
      </c>
      <c r="G303" s="11">
        <v>2.16</v>
      </c>
      <c r="H303" s="15">
        <v>2.1949999999999999E-3</v>
      </c>
      <c r="I303" s="11">
        <f t="shared" si="120"/>
        <v>23.859529704366935</v>
      </c>
      <c r="J303" s="16">
        <v>4.5</v>
      </c>
      <c r="K303" s="9">
        <v>18.45</v>
      </c>
      <c r="L303" s="14">
        <f t="shared" si="109"/>
        <v>-3.1551724441244269</v>
      </c>
      <c r="M303" s="6"/>
      <c r="N303" s="2">
        <f t="shared" si="121"/>
        <v>-29.494610091743112</v>
      </c>
      <c r="O303">
        <f t="shared" si="110"/>
        <v>1.6798600896860985</v>
      </c>
      <c r="P303">
        <f t="shared" si="113"/>
        <v>29.343457132232913</v>
      </c>
      <c r="Q303">
        <f t="shared" si="111"/>
        <v>1.3158500956158257</v>
      </c>
      <c r="R303">
        <f t="shared" si="112"/>
        <v>8.7799999999999996E-3</v>
      </c>
    </row>
    <row r="304" spans="1:18" x14ac:dyDescent="0.3">
      <c r="A304">
        <f t="shared" si="122"/>
        <v>1.6666666666666667</v>
      </c>
      <c r="B304">
        <v>40</v>
      </c>
      <c r="C304">
        <v>6</v>
      </c>
      <c r="D304" s="1">
        <v>3.2</v>
      </c>
      <c r="E304" s="3">
        <v>20.303999999999998</v>
      </c>
      <c r="F304" s="8">
        <f t="shared" si="119"/>
        <v>1.5760441292356187</v>
      </c>
      <c r="G304" s="11">
        <v>2.16</v>
      </c>
      <c r="H304" s="15">
        <v>1.4633000000000001E-3</v>
      </c>
      <c r="I304" s="11">
        <f t="shared" si="120"/>
        <v>3.423789015873282</v>
      </c>
      <c r="J304" s="16">
        <v>4.5</v>
      </c>
      <c r="K304" s="9">
        <v>0</v>
      </c>
      <c r="L304" s="14">
        <f t="shared" si="109"/>
        <v>79.746493837680006</v>
      </c>
      <c r="M304" s="6"/>
      <c r="N304" s="2">
        <f>-(1.7*K304^2)/19.62</f>
        <v>0</v>
      </c>
      <c r="O304">
        <f t="shared" si="110"/>
        <v>0</v>
      </c>
      <c r="P304">
        <f t="shared" si="113"/>
        <v>0</v>
      </c>
      <c r="Q304">
        <f t="shared" si="111"/>
        <v>0</v>
      </c>
      <c r="R304">
        <f t="shared" si="112"/>
        <v>8.7798000000000008E-3</v>
      </c>
    </row>
    <row r="305" spans="1:18" x14ac:dyDescent="0.3">
      <c r="A305">
        <f t="shared" si="122"/>
        <v>1.6666666666666667</v>
      </c>
      <c r="B305">
        <v>40</v>
      </c>
      <c r="C305">
        <v>6</v>
      </c>
      <c r="D305" s="1">
        <v>6.4</v>
      </c>
      <c r="E305" s="3">
        <v>20.303999999999998</v>
      </c>
      <c r="F305" s="8">
        <f t="shared" si="119"/>
        <v>3.1520882584712373</v>
      </c>
      <c r="G305" s="11">
        <v>2.16</v>
      </c>
      <c r="H305" s="15">
        <v>1.4633000000000001E-3</v>
      </c>
      <c r="I305" s="11">
        <f t="shared" si="120"/>
        <v>6.847578031746564</v>
      </c>
      <c r="J305" s="16">
        <v>4.5</v>
      </c>
      <c r="K305" s="9">
        <v>0</v>
      </c>
      <c r="L305" s="14">
        <f t="shared" si="109"/>
        <v>19.936623459420002</v>
      </c>
      <c r="M305" s="6"/>
      <c r="N305" s="2">
        <f t="shared" ref="N305:N310" si="123">-(1.7*K305^2)/19.62</f>
        <v>0</v>
      </c>
      <c r="O305">
        <f t="shared" si="110"/>
        <v>0</v>
      </c>
      <c r="P305">
        <f t="shared" si="113"/>
        <v>0</v>
      </c>
      <c r="Q305">
        <f t="shared" si="111"/>
        <v>0</v>
      </c>
      <c r="R305">
        <f t="shared" si="112"/>
        <v>8.7798000000000008E-3</v>
      </c>
    </row>
    <row r="306" spans="1:18" x14ac:dyDescent="0.3">
      <c r="A306">
        <f t="shared" si="122"/>
        <v>1.6666666666666667</v>
      </c>
      <c r="B306">
        <v>40</v>
      </c>
      <c r="C306">
        <v>6</v>
      </c>
      <c r="D306" s="1">
        <v>9.6</v>
      </c>
      <c r="E306" s="3">
        <v>20.303999999999998</v>
      </c>
      <c r="F306" s="8">
        <f t="shared" si="119"/>
        <v>4.7281323877068555</v>
      </c>
      <c r="G306" s="11">
        <v>2.16</v>
      </c>
      <c r="H306" s="15">
        <v>1.4633000000000001E-3</v>
      </c>
      <c r="I306" s="11">
        <f t="shared" si="120"/>
        <v>10.271367047619844</v>
      </c>
      <c r="J306" s="16">
        <v>4.5</v>
      </c>
      <c r="K306" s="9">
        <v>1.98</v>
      </c>
      <c r="L306" s="14">
        <f t="shared" si="109"/>
        <v>8.5625954055900024</v>
      </c>
      <c r="M306" s="6"/>
      <c r="N306" s="2">
        <f t="shared" si="123"/>
        <v>-0.33968807339449536</v>
      </c>
      <c r="O306">
        <f t="shared" si="110"/>
        <v>0.41877000000000003</v>
      </c>
      <c r="P306">
        <f t="shared" si="113"/>
        <v>3.1490539361420691</v>
      </c>
      <c r="Q306">
        <f t="shared" si="111"/>
        <v>0.32802645168146555</v>
      </c>
      <c r="R306">
        <f t="shared" si="112"/>
        <v>8.7798000000000008E-3</v>
      </c>
    </row>
    <row r="307" spans="1:18" x14ac:dyDescent="0.3">
      <c r="A307">
        <f t="shared" si="122"/>
        <v>1.6666666666666667</v>
      </c>
      <c r="B307">
        <v>40</v>
      </c>
      <c r="C307">
        <v>6</v>
      </c>
      <c r="D307" s="1">
        <v>12.8</v>
      </c>
      <c r="E307" s="3">
        <v>20.303999999999998</v>
      </c>
      <c r="F307" s="8">
        <f t="shared" si="119"/>
        <v>6.3041765169424746</v>
      </c>
      <c r="G307" s="11">
        <v>2.16</v>
      </c>
      <c r="H307" s="15">
        <v>1.4633000000000001E-3</v>
      </c>
      <c r="I307" s="11">
        <f t="shared" si="120"/>
        <v>13.695156063493128</v>
      </c>
      <c r="J307" s="16">
        <v>4.5</v>
      </c>
      <c r="K307" s="9">
        <v>5.45</v>
      </c>
      <c r="L307" s="14">
        <f t="shared" si="109"/>
        <v>3.7136250691635939</v>
      </c>
      <c r="M307" s="6"/>
      <c r="N307" s="2">
        <f t="shared" si="123"/>
        <v>-2.5736111111111111</v>
      </c>
      <c r="O307">
        <f t="shared" si="110"/>
        <v>0.86450625000000003</v>
      </c>
      <c r="P307">
        <f t="shared" si="113"/>
        <v>8.6678504807950887</v>
      </c>
      <c r="Q307">
        <f t="shared" si="111"/>
        <v>0.6771758188121163</v>
      </c>
      <c r="R307">
        <f t="shared" si="112"/>
        <v>8.7798000000000008E-3</v>
      </c>
    </row>
    <row r="308" spans="1:18" x14ac:dyDescent="0.3">
      <c r="A308">
        <f t="shared" si="122"/>
        <v>1.6666666666666667</v>
      </c>
      <c r="B308">
        <v>40</v>
      </c>
      <c r="C308">
        <v>6</v>
      </c>
      <c r="D308" s="1">
        <v>16</v>
      </c>
      <c r="E308" s="3">
        <v>20.303999999999998</v>
      </c>
      <c r="F308" s="8">
        <f t="shared" si="119"/>
        <v>7.8802206461780937</v>
      </c>
      <c r="G308" s="11">
        <v>2.16</v>
      </c>
      <c r="H308" s="15">
        <v>1.4633000000000001E-3</v>
      </c>
      <c r="I308" s="11">
        <f t="shared" si="120"/>
        <v>17.118945079366409</v>
      </c>
      <c r="J308" s="16">
        <v>4.5</v>
      </c>
      <c r="K308" s="9">
        <v>6.85</v>
      </c>
      <c r="L308" s="14">
        <f t="shared" si="109"/>
        <v>1.9053029651247002</v>
      </c>
      <c r="M308" s="6"/>
      <c r="N308" s="2">
        <f t="shared" si="123"/>
        <v>-4.0656600407747181</v>
      </c>
      <c r="O308">
        <f t="shared" si="110"/>
        <v>0.86926499999999984</v>
      </c>
      <c r="P308">
        <f t="shared" si="113"/>
        <v>10.894454274026852</v>
      </c>
      <c r="Q308">
        <f t="shared" si="111"/>
        <v>0.68090339212667828</v>
      </c>
      <c r="R308">
        <f t="shared" si="112"/>
        <v>8.7798000000000008E-3</v>
      </c>
    </row>
    <row r="309" spans="1:18" x14ac:dyDescent="0.3">
      <c r="A309">
        <f t="shared" si="122"/>
        <v>1.6666666666666667</v>
      </c>
      <c r="B309">
        <v>40</v>
      </c>
      <c r="C309">
        <v>6</v>
      </c>
      <c r="D309" s="1">
        <v>19.2</v>
      </c>
      <c r="E309" s="3">
        <v>20.303999999999998</v>
      </c>
      <c r="F309" s="8">
        <f t="shared" si="119"/>
        <v>9.456264775413711</v>
      </c>
      <c r="G309" s="11">
        <v>2.16</v>
      </c>
      <c r="H309" s="15">
        <v>1.4633000000000001E-3</v>
      </c>
      <c r="I309" s="11">
        <f t="shared" si="120"/>
        <v>20.542734095239688</v>
      </c>
      <c r="J309" s="16">
        <v>4.5</v>
      </c>
      <c r="K309" s="9">
        <v>9.27</v>
      </c>
      <c r="L309" s="14">
        <f t="shared" si="109"/>
        <v>0.58149229881937525</v>
      </c>
      <c r="M309" s="6"/>
      <c r="N309" s="2">
        <f t="shared" si="123"/>
        <v>-7.4457660550458709</v>
      </c>
      <c r="O309">
        <f t="shared" si="110"/>
        <v>0.98030249999999997</v>
      </c>
      <c r="P309">
        <f t="shared" si="113"/>
        <v>14.743297973756048</v>
      </c>
      <c r="Q309">
        <f t="shared" si="111"/>
        <v>0.76788010279979424</v>
      </c>
      <c r="R309">
        <f t="shared" si="112"/>
        <v>8.7798000000000008E-3</v>
      </c>
    </row>
    <row r="310" spans="1:18" x14ac:dyDescent="0.3">
      <c r="A310">
        <f t="shared" si="122"/>
        <v>1.6666666666666667</v>
      </c>
      <c r="B310">
        <v>40</v>
      </c>
      <c r="C310">
        <v>6</v>
      </c>
      <c r="D310" s="1">
        <v>22.3</v>
      </c>
      <c r="E310" s="3">
        <v>20.303999999999998</v>
      </c>
      <c r="F310" s="8">
        <f t="shared" si="119"/>
        <v>10.983057525610718</v>
      </c>
      <c r="G310" s="11">
        <v>2.16</v>
      </c>
      <c r="H310" s="15">
        <v>1.4633000000000001E-3</v>
      </c>
      <c r="I310" s="11">
        <f t="shared" si="120"/>
        <v>23.859529704366935</v>
      </c>
      <c r="J310" s="16">
        <v>4.5</v>
      </c>
      <c r="K310" s="9">
        <v>11.65</v>
      </c>
      <c r="L310" s="14">
        <f t="shared" si="109"/>
        <v>-0.27062415918614224</v>
      </c>
      <c r="M310" s="6"/>
      <c r="N310" s="2">
        <f t="shared" si="123"/>
        <v>-11.759849643221202</v>
      </c>
      <c r="O310">
        <f t="shared" si="110"/>
        <v>1.0607246636771299</v>
      </c>
      <c r="P310">
        <f t="shared" si="113"/>
        <v>18.528524422250051</v>
      </c>
      <c r="Q310">
        <f t="shared" si="111"/>
        <v>0.83087553463004715</v>
      </c>
      <c r="R310">
        <f t="shared" si="112"/>
        <v>8.7798000000000008E-3</v>
      </c>
    </row>
    <row r="311" spans="1:18" x14ac:dyDescent="0.3">
      <c r="A311">
        <f t="shared" si="122"/>
        <v>1.6666666666666667</v>
      </c>
      <c r="B311">
        <v>60</v>
      </c>
      <c r="C311">
        <v>1</v>
      </c>
      <c r="D311" s="7">
        <v>4.2</v>
      </c>
      <c r="E311" s="3">
        <v>30.456</v>
      </c>
      <c r="F311" s="8">
        <f t="shared" si="119"/>
        <v>1.3790386130811663</v>
      </c>
      <c r="G311" s="11">
        <v>3.24</v>
      </c>
      <c r="H311" s="15">
        <v>1.205E-2</v>
      </c>
      <c r="I311" s="11">
        <f t="shared" si="120"/>
        <v>2.4460730221186333</v>
      </c>
      <c r="J311" s="16">
        <v>3</v>
      </c>
      <c r="K311" s="9">
        <v>0</v>
      </c>
      <c r="L311" s="14">
        <f t="shared" si="109"/>
        <v>104.15868582880654</v>
      </c>
      <c r="M311" s="6"/>
      <c r="N311" s="2">
        <f>-(1.7*K311^2)/19.62</f>
        <v>0</v>
      </c>
      <c r="O311">
        <f t="shared" si="110"/>
        <v>0</v>
      </c>
      <c r="P311">
        <f t="shared" si="113"/>
        <v>0</v>
      </c>
      <c r="Q311">
        <f t="shared" si="111"/>
        <v>0</v>
      </c>
      <c r="R311">
        <f t="shared" si="112"/>
        <v>1.205E-2</v>
      </c>
    </row>
    <row r="312" spans="1:18" x14ac:dyDescent="0.3">
      <c r="A312">
        <f t="shared" si="122"/>
        <v>1.6666666666666667</v>
      </c>
      <c r="B312">
        <v>60</v>
      </c>
      <c r="C312">
        <v>1</v>
      </c>
      <c r="D312" s="7">
        <v>8.4</v>
      </c>
      <c r="E312" s="3">
        <v>30.456</v>
      </c>
      <c r="F312" s="8">
        <f t="shared" si="119"/>
        <v>2.7580772261623325</v>
      </c>
      <c r="G312" s="11">
        <v>3.24</v>
      </c>
      <c r="H312" s="15">
        <v>1.205E-2</v>
      </c>
      <c r="I312" s="11">
        <f t="shared" si="120"/>
        <v>4.8921460442372666</v>
      </c>
      <c r="J312" s="16">
        <v>4.5</v>
      </c>
      <c r="K312" s="9">
        <v>0</v>
      </c>
      <c r="L312" s="14">
        <f t="shared" si="109"/>
        <v>26.039671457201635</v>
      </c>
      <c r="M312" s="6"/>
      <c r="N312" s="2">
        <f t="shared" ref="N312:N317" si="124">-(1.7*K312^2)/19.62</f>
        <v>0</v>
      </c>
      <c r="O312">
        <f t="shared" si="110"/>
        <v>0</v>
      </c>
      <c r="P312">
        <f t="shared" si="113"/>
        <v>0</v>
      </c>
      <c r="Q312">
        <f t="shared" si="111"/>
        <v>0</v>
      </c>
      <c r="R312">
        <f t="shared" si="112"/>
        <v>1.205E-2</v>
      </c>
    </row>
    <row r="313" spans="1:18" x14ac:dyDescent="0.3">
      <c r="A313">
        <f t="shared" si="122"/>
        <v>1.6666666666666667</v>
      </c>
      <c r="B313">
        <v>60</v>
      </c>
      <c r="C313">
        <v>1</v>
      </c>
      <c r="D313" s="7">
        <v>12.6</v>
      </c>
      <c r="E313" s="3">
        <v>30.456</v>
      </c>
      <c r="F313" s="8">
        <f t="shared" si="119"/>
        <v>4.1371158392434983</v>
      </c>
      <c r="G313" s="11">
        <v>3.24</v>
      </c>
      <c r="H313" s="15">
        <v>1.205E-2</v>
      </c>
      <c r="I313" s="11">
        <f t="shared" si="120"/>
        <v>7.338219066355899</v>
      </c>
      <c r="J313" s="16">
        <v>4.5</v>
      </c>
      <c r="K313" s="9">
        <v>4.67</v>
      </c>
      <c r="L313" s="14">
        <f t="shared" si="109"/>
        <v>9.4070433352849001</v>
      </c>
      <c r="M313" s="6"/>
      <c r="N313" s="2">
        <f t="shared" si="124"/>
        <v>-1.8896600407747193</v>
      </c>
      <c r="O313">
        <f t="shared" si="110"/>
        <v>1.1288057142857144</v>
      </c>
      <c r="P313">
        <f t="shared" si="113"/>
        <v>7.4273140817088192</v>
      </c>
      <c r="Q313">
        <f t="shared" si="111"/>
        <v>0.58946937156419199</v>
      </c>
      <c r="R313">
        <f t="shared" si="112"/>
        <v>1.205E-2</v>
      </c>
    </row>
    <row r="314" spans="1:18" x14ac:dyDescent="0.3">
      <c r="A314">
        <f t="shared" si="122"/>
        <v>1.6666666666666667</v>
      </c>
      <c r="B314">
        <v>60</v>
      </c>
      <c r="C314">
        <v>1</v>
      </c>
      <c r="D314" s="7">
        <v>16.8</v>
      </c>
      <c r="E314" s="3">
        <v>30.456</v>
      </c>
      <c r="F314" s="8">
        <f t="shared" si="119"/>
        <v>5.5161544523246651</v>
      </c>
      <c r="G314" s="11">
        <v>3.24</v>
      </c>
      <c r="H314" s="15">
        <v>1.205E-2</v>
      </c>
      <c r="I314" s="11">
        <f t="shared" si="120"/>
        <v>9.7842920884745332</v>
      </c>
      <c r="J314" s="16">
        <v>4.5</v>
      </c>
      <c r="K314" s="9">
        <v>7.46</v>
      </c>
      <c r="L314" s="14">
        <f t="shared" si="109"/>
        <v>3.4006814849755109</v>
      </c>
      <c r="M314" s="6"/>
      <c r="N314" s="2">
        <f t="shared" si="124"/>
        <v>-4.8220040774719672</v>
      </c>
      <c r="O314">
        <f t="shared" si="110"/>
        <v>1.3523914285714285</v>
      </c>
      <c r="P314">
        <f t="shared" si="113"/>
        <v>11.864617355363553</v>
      </c>
      <c r="Q314">
        <f t="shared" si="111"/>
        <v>0.70622722353354472</v>
      </c>
      <c r="R314">
        <f t="shared" si="112"/>
        <v>1.205E-2</v>
      </c>
    </row>
    <row r="315" spans="1:18" x14ac:dyDescent="0.3">
      <c r="A315">
        <f t="shared" si="122"/>
        <v>1.6666666666666667</v>
      </c>
      <c r="B315">
        <v>60</v>
      </c>
      <c r="C315">
        <v>1</v>
      </c>
      <c r="D315" s="7">
        <v>21</v>
      </c>
      <c r="E315" s="3">
        <v>30.456</v>
      </c>
      <c r="F315" s="8">
        <f t="shared" si="119"/>
        <v>6.8951930654058309</v>
      </c>
      <c r="G315" s="11">
        <v>3.24</v>
      </c>
      <c r="H315" s="15">
        <v>1.205E-2</v>
      </c>
      <c r="I315" s="11">
        <f t="shared" si="120"/>
        <v>12.230365110593166</v>
      </c>
      <c r="J315" s="16">
        <v>4.5</v>
      </c>
      <c r="K315" s="9">
        <v>10.17</v>
      </c>
      <c r="L315" s="14">
        <f t="shared" si="109"/>
        <v>0.4680829614339922</v>
      </c>
      <c r="M315" s="6"/>
      <c r="N315" s="2">
        <f t="shared" si="124"/>
        <v>-8.9617293577981645</v>
      </c>
      <c r="O315">
        <f t="shared" si="110"/>
        <v>1.4749405714285715</v>
      </c>
      <c r="P315">
        <f t="shared" si="113"/>
        <v>16.1746861265479</v>
      </c>
      <c r="Q315">
        <f t="shared" si="111"/>
        <v>0.7702231488832334</v>
      </c>
      <c r="R315">
        <f t="shared" si="112"/>
        <v>1.205E-2</v>
      </c>
    </row>
    <row r="316" spans="1:18" x14ac:dyDescent="0.3">
      <c r="A316">
        <f t="shared" si="122"/>
        <v>1.6666666666666667</v>
      </c>
      <c r="B316">
        <v>60</v>
      </c>
      <c r="C316">
        <v>1</v>
      </c>
      <c r="D316" s="7">
        <v>25.2</v>
      </c>
      <c r="E316" s="3">
        <v>30.456</v>
      </c>
      <c r="F316" s="8">
        <f t="shared" si="119"/>
        <v>8.2742316784869967</v>
      </c>
      <c r="G316" s="11">
        <v>3.24</v>
      </c>
      <c r="H316" s="15">
        <v>1.205E-2</v>
      </c>
      <c r="I316" s="11">
        <f t="shared" si="120"/>
        <v>14.676438132711798</v>
      </c>
      <c r="J316" s="16">
        <v>4.5</v>
      </c>
      <c r="K316" s="9">
        <v>11.41</v>
      </c>
      <c r="L316" s="14">
        <f t="shared" si="109"/>
        <v>-0.33939910010204044</v>
      </c>
      <c r="M316" s="6"/>
      <c r="N316" s="2">
        <f t="shared" si="124"/>
        <v>-11.280314475025483</v>
      </c>
      <c r="O316">
        <f t="shared" si="110"/>
        <v>1.3789800000000001</v>
      </c>
      <c r="P316">
        <f t="shared" si="113"/>
        <v>18.146820914838891</v>
      </c>
      <c r="Q316">
        <f t="shared" si="111"/>
        <v>0.7201119410650354</v>
      </c>
      <c r="R316">
        <f t="shared" si="112"/>
        <v>1.205E-2</v>
      </c>
    </row>
    <row r="317" spans="1:18" x14ac:dyDescent="0.3">
      <c r="A317">
        <f t="shared" si="122"/>
        <v>1.6666666666666667</v>
      </c>
      <c r="B317">
        <v>60</v>
      </c>
      <c r="C317">
        <v>1</v>
      </c>
      <c r="D317" s="7">
        <v>29.5</v>
      </c>
      <c r="E317" s="3">
        <v>30.456</v>
      </c>
      <c r="F317" s="8">
        <f t="shared" si="119"/>
        <v>9.6861045442605729</v>
      </c>
      <c r="G317" s="11">
        <v>3.24</v>
      </c>
      <c r="H317" s="15">
        <v>1.205E-2</v>
      </c>
      <c r="I317" s="11">
        <f t="shared" si="120"/>
        <v>17.180750988690402</v>
      </c>
      <c r="J317" s="16">
        <v>4.5</v>
      </c>
      <c r="K317" s="9">
        <v>13.97</v>
      </c>
      <c r="L317" s="14">
        <f t="shared" si="109"/>
        <v>-1.4249533655790791</v>
      </c>
      <c r="M317" s="6"/>
      <c r="N317" s="2">
        <f t="shared" si="124"/>
        <v>-16.909965851172274</v>
      </c>
      <c r="O317">
        <f t="shared" si="110"/>
        <v>1.4422722711864406</v>
      </c>
      <c r="P317">
        <f t="shared" si="113"/>
        <v>22.218324993891265</v>
      </c>
      <c r="Q317">
        <f t="shared" si="111"/>
        <v>0.75316355911495814</v>
      </c>
      <c r="R317">
        <f t="shared" si="112"/>
        <v>1.205E-2</v>
      </c>
    </row>
    <row r="318" spans="1:18" x14ac:dyDescent="0.3">
      <c r="A318">
        <f t="shared" si="122"/>
        <v>1.6666666666666667</v>
      </c>
      <c r="B318">
        <v>60</v>
      </c>
      <c r="C318">
        <v>2</v>
      </c>
      <c r="D318" s="7">
        <v>4.2</v>
      </c>
      <c r="E318" s="3">
        <v>30.456</v>
      </c>
      <c r="F318" s="8">
        <f t="shared" si="119"/>
        <v>1.3790386130811663</v>
      </c>
      <c r="G318" s="11">
        <v>3.24</v>
      </c>
      <c r="H318" s="15">
        <v>6.025E-3</v>
      </c>
      <c r="I318" s="11">
        <f t="shared" si="120"/>
        <v>2.4460730221186333</v>
      </c>
      <c r="J318" s="16">
        <v>3</v>
      </c>
      <c r="K318" s="9">
        <v>0</v>
      </c>
      <c r="L318" s="14">
        <f t="shared" si="109"/>
        <v>104.15868582880654</v>
      </c>
      <c r="M318" s="6"/>
      <c r="N318" s="2">
        <f>-(1.7*K318^2)/19.62</f>
        <v>0</v>
      </c>
      <c r="O318">
        <f t="shared" si="110"/>
        <v>0</v>
      </c>
      <c r="P318">
        <f t="shared" si="113"/>
        <v>0</v>
      </c>
      <c r="Q318">
        <f t="shared" si="111"/>
        <v>0</v>
      </c>
      <c r="R318">
        <f t="shared" si="112"/>
        <v>1.205E-2</v>
      </c>
    </row>
    <row r="319" spans="1:18" x14ac:dyDescent="0.3">
      <c r="A319">
        <f t="shared" si="122"/>
        <v>1.6666666666666667</v>
      </c>
      <c r="B319">
        <v>60</v>
      </c>
      <c r="C319">
        <v>2</v>
      </c>
      <c r="D319" s="7">
        <v>8.4</v>
      </c>
      <c r="E319" s="3">
        <v>30.456</v>
      </c>
      <c r="F319" s="8">
        <f t="shared" si="119"/>
        <v>2.7580772261623325</v>
      </c>
      <c r="G319" s="11">
        <v>3.24</v>
      </c>
      <c r="H319" s="15">
        <v>6.025E-3</v>
      </c>
      <c r="I319" s="11">
        <f t="shared" si="120"/>
        <v>4.8921460442372666</v>
      </c>
      <c r="J319" s="16">
        <v>4.5</v>
      </c>
      <c r="K319" s="9">
        <v>0</v>
      </c>
      <c r="L319" s="14">
        <f t="shared" si="109"/>
        <v>26.039671457201635</v>
      </c>
      <c r="M319" s="6"/>
      <c r="N319" s="2">
        <f t="shared" ref="N319:N324" si="125">-(1.7*K319^2)/19.62</f>
        <v>0</v>
      </c>
      <c r="O319">
        <f t="shared" si="110"/>
        <v>0</v>
      </c>
      <c r="P319">
        <f t="shared" si="113"/>
        <v>0</v>
      </c>
      <c r="Q319">
        <f t="shared" si="111"/>
        <v>0</v>
      </c>
      <c r="R319">
        <f t="shared" si="112"/>
        <v>1.205E-2</v>
      </c>
    </row>
    <row r="320" spans="1:18" x14ac:dyDescent="0.3">
      <c r="A320">
        <f t="shared" si="122"/>
        <v>1.6666666666666667</v>
      </c>
      <c r="B320">
        <v>60</v>
      </c>
      <c r="C320">
        <v>2</v>
      </c>
      <c r="D320" s="7">
        <v>12.6</v>
      </c>
      <c r="E320" s="3">
        <v>30.456</v>
      </c>
      <c r="F320" s="8">
        <f t="shared" si="119"/>
        <v>4.1371158392434983</v>
      </c>
      <c r="G320" s="11">
        <v>3.24</v>
      </c>
      <c r="H320" s="15">
        <v>6.025E-3</v>
      </c>
      <c r="I320" s="11">
        <f t="shared" si="120"/>
        <v>7.338219066355899</v>
      </c>
      <c r="J320" s="16">
        <v>4.5</v>
      </c>
      <c r="K320" s="9">
        <v>4.7300000000000004</v>
      </c>
      <c r="L320" s="14">
        <f t="shared" si="109"/>
        <v>9.3510246821583713</v>
      </c>
      <c r="M320" s="6"/>
      <c r="N320" s="2">
        <f t="shared" si="125"/>
        <v>-1.9385285423037719</v>
      </c>
      <c r="O320">
        <f t="shared" si="110"/>
        <v>1.1433085714285716</v>
      </c>
      <c r="P320">
        <f t="shared" si="113"/>
        <v>7.5227399585616102</v>
      </c>
      <c r="Q320">
        <f t="shared" si="111"/>
        <v>0.59704285385409606</v>
      </c>
      <c r="R320">
        <f t="shared" si="112"/>
        <v>1.205E-2</v>
      </c>
    </row>
    <row r="321" spans="1:18" x14ac:dyDescent="0.3">
      <c r="A321">
        <f t="shared" si="122"/>
        <v>1.6666666666666667</v>
      </c>
      <c r="B321">
        <v>60</v>
      </c>
      <c r="C321">
        <v>2</v>
      </c>
      <c r="D321" s="7">
        <v>16.8</v>
      </c>
      <c r="E321" s="3">
        <v>30.456</v>
      </c>
      <c r="F321" s="8">
        <f t="shared" si="119"/>
        <v>5.5161544523246651</v>
      </c>
      <c r="G321" s="11">
        <v>3.24</v>
      </c>
      <c r="H321" s="15">
        <v>6.025E-3</v>
      </c>
      <c r="I321" s="11">
        <f t="shared" si="120"/>
        <v>9.7842920884745332</v>
      </c>
      <c r="J321" s="16">
        <v>4.5</v>
      </c>
      <c r="K321" s="9">
        <v>7.62</v>
      </c>
      <c r="L321" s="14">
        <f t="shared" si="109"/>
        <v>3.2658791516008168</v>
      </c>
      <c r="M321" s="6"/>
      <c r="N321" s="2">
        <f t="shared" si="125"/>
        <v>-5.0310642201834863</v>
      </c>
      <c r="O321">
        <f t="shared" si="110"/>
        <v>1.381397142857143</v>
      </c>
      <c r="P321">
        <f t="shared" si="113"/>
        <v>12.119086360304326</v>
      </c>
      <c r="Q321">
        <f t="shared" si="111"/>
        <v>0.72137418811335274</v>
      </c>
      <c r="R321">
        <f t="shared" si="112"/>
        <v>1.205E-2</v>
      </c>
    </row>
    <row r="322" spans="1:18" x14ac:dyDescent="0.3">
      <c r="A322">
        <f t="shared" si="122"/>
        <v>1.6666666666666667</v>
      </c>
      <c r="B322">
        <v>60</v>
      </c>
      <c r="C322">
        <v>2</v>
      </c>
      <c r="D322" s="7">
        <v>21</v>
      </c>
      <c r="E322" s="3">
        <v>30.456</v>
      </c>
      <c r="F322" s="8">
        <f t="shared" si="119"/>
        <v>6.8951930654058309</v>
      </c>
      <c r="G322" s="11">
        <v>3.24</v>
      </c>
      <c r="H322" s="15">
        <v>6.025E-3</v>
      </c>
      <c r="I322" s="11">
        <f t="shared" si="120"/>
        <v>12.230365110593166</v>
      </c>
      <c r="J322" s="16">
        <v>4.5</v>
      </c>
      <c r="K322" s="9">
        <v>11.24</v>
      </c>
      <c r="L322" s="14">
        <f t="shared" si="109"/>
        <v>-0.35105396551053053</v>
      </c>
      <c r="M322" s="6"/>
      <c r="N322" s="2">
        <f t="shared" si="125"/>
        <v>-10.946682976554536</v>
      </c>
      <c r="O322">
        <f t="shared" si="110"/>
        <v>1.6301211428571429</v>
      </c>
      <c r="P322">
        <f t="shared" si="113"/>
        <v>17.876447597089317</v>
      </c>
      <c r="Q322">
        <f t="shared" si="111"/>
        <v>0.85125940938520561</v>
      </c>
      <c r="R322">
        <f t="shared" si="112"/>
        <v>1.205E-2</v>
      </c>
    </row>
    <row r="323" spans="1:18" x14ac:dyDescent="0.3">
      <c r="A323">
        <f t="shared" si="122"/>
        <v>1.6666666666666667</v>
      </c>
      <c r="B323">
        <v>60</v>
      </c>
      <c r="C323">
        <v>2</v>
      </c>
      <c r="D323" s="7">
        <v>25.2</v>
      </c>
      <c r="E323" s="3">
        <v>30.456</v>
      </c>
      <c r="F323" s="8">
        <f t="shared" si="119"/>
        <v>8.2742316784869967</v>
      </c>
      <c r="G323" s="11">
        <v>3.24</v>
      </c>
      <c r="H323" s="15">
        <v>6.025E-3</v>
      </c>
      <c r="I323" s="11">
        <f t="shared" si="120"/>
        <v>14.676438132711798</v>
      </c>
      <c r="J323" s="16">
        <v>4.5</v>
      </c>
      <c r="K323" s="9">
        <v>13.45</v>
      </c>
      <c r="L323" s="14">
        <f t="shared" ref="L323:L386" si="126">(10.33+N323-0.234)/((F323^2)/19.62)</f>
        <v>-1.5986865035240807</v>
      </c>
      <c r="M323" s="6"/>
      <c r="N323" s="2">
        <f t="shared" si="125"/>
        <v>-15.674528542303767</v>
      </c>
      <c r="O323">
        <f t="shared" si="110"/>
        <v>1.6255285714285714</v>
      </c>
      <c r="P323">
        <f t="shared" si="113"/>
        <v>21.391300727833748</v>
      </c>
      <c r="Q323">
        <f t="shared" si="111"/>
        <v>0.84886113999340274</v>
      </c>
      <c r="R323">
        <f t="shared" si="112"/>
        <v>1.205E-2</v>
      </c>
    </row>
    <row r="324" spans="1:18" x14ac:dyDescent="0.3">
      <c r="A324">
        <f t="shared" si="122"/>
        <v>1.6666666666666667</v>
      </c>
      <c r="B324">
        <v>60</v>
      </c>
      <c r="C324">
        <v>2</v>
      </c>
      <c r="D324" s="7">
        <v>29.4</v>
      </c>
      <c r="E324" s="3">
        <v>30.456</v>
      </c>
      <c r="F324" s="8">
        <f t="shared" si="119"/>
        <v>9.6532702915681625</v>
      </c>
      <c r="G324" s="11">
        <v>3.24</v>
      </c>
      <c r="H324" s="15">
        <v>6.025E-3</v>
      </c>
      <c r="I324" s="11">
        <f t="shared" si="120"/>
        <v>17.122511154830431</v>
      </c>
      <c r="J324" s="16">
        <v>4.5</v>
      </c>
      <c r="K324" s="9">
        <v>17.7</v>
      </c>
      <c r="L324" s="14">
        <f t="shared" si="126"/>
        <v>-3.5897110918602588</v>
      </c>
      <c r="M324" s="6"/>
      <c r="N324" s="2">
        <f t="shared" si="125"/>
        <v>-27.145412844036695</v>
      </c>
      <c r="O324">
        <f t="shared" ref="O324:O387" si="127">K324/F324</f>
        <v>1.8335755102040818</v>
      </c>
      <c r="P324">
        <f t="shared" si="113"/>
        <v>28.150633671573036</v>
      </c>
      <c r="Q324">
        <f t="shared" ref="Q324:Q387" si="128">P324/D324</f>
        <v>0.95750454665214413</v>
      </c>
      <c r="R324">
        <f t="shared" ref="R324:R387" si="129">H324*C324</f>
        <v>1.205E-2</v>
      </c>
    </row>
    <row r="325" spans="1:18" x14ac:dyDescent="0.3">
      <c r="A325">
        <f t="shared" si="122"/>
        <v>1.6666666666666667</v>
      </c>
      <c r="B325">
        <v>60</v>
      </c>
      <c r="C325">
        <v>4</v>
      </c>
      <c r="D325" s="7">
        <v>4.2</v>
      </c>
      <c r="E325" s="3">
        <v>30.456</v>
      </c>
      <c r="F325" s="8">
        <f t="shared" si="119"/>
        <v>1.3790386130811663</v>
      </c>
      <c r="G325" s="11">
        <v>3.24</v>
      </c>
      <c r="H325" s="15">
        <v>3.0125E-3</v>
      </c>
      <c r="I325" s="11">
        <f t="shared" si="120"/>
        <v>2.4460730221186333</v>
      </c>
      <c r="J325" s="16">
        <v>3</v>
      </c>
      <c r="K325" s="9">
        <v>0</v>
      </c>
      <c r="L325" s="14">
        <f t="shared" si="126"/>
        <v>104.15868582880654</v>
      </c>
      <c r="M325" s="6"/>
      <c r="N325" s="2">
        <f>-(1.7*K325^2)/19.62</f>
        <v>0</v>
      </c>
      <c r="O325">
        <f t="shared" si="127"/>
        <v>0</v>
      </c>
      <c r="P325">
        <f t="shared" ref="P325:P388" si="130">K325*PI()*(J325^2)/40</f>
        <v>0</v>
      </c>
      <c r="Q325">
        <f t="shared" si="128"/>
        <v>0</v>
      </c>
      <c r="R325">
        <f t="shared" si="129"/>
        <v>1.205E-2</v>
      </c>
    </row>
    <row r="326" spans="1:18" x14ac:dyDescent="0.3">
      <c r="A326">
        <f t="shared" si="122"/>
        <v>1.6666666666666667</v>
      </c>
      <c r="B326">
        <v>60</v>
      </c>
      <c r="C326">
        <v>4</v>
      </c>
      <c r="D326" s="7">
        <v>8.4</v>
      </c>
      <c r="E326" s="3">
        <v>30.456</v>
      </c>
      <c r="F326" s="8">
        <f t="shared" si="119"/>
        <v>2.7580772261623325</v>
      </c>
      <c r="G326" s="11">
        <v>3.24</v>
      </c>
      <c r="H326" s="15">
        <v>3.0125E-3</v>
      </c>
      <c r="I326" s="11">
        <f t="shared" si="120"/>
        <v>4.8921460442372666</v>
      </c>
      <c r="J326" s="16">
        <v>4.5</v>
      </c>
      <c r="K326" s="9">
        <v>0</v>
      </c>
      <c r="L326" s="14">
        <f t="shared" si="126"/>
        <v>26.039671457201635</v>
      </c>
      <c r="M326" s="6"/>
      <c r="N326" s="2">
        <f t="shared" ref="N326:N331" si="131">-(1.7*K326^2)/19.62</f>
        <v>0</v>
      </c>
      <c r="O326">
        <f t="shared" si="127"/>
        <v>0</v>
      </c>
      <c r="P326">
        <f t="shared" si="130"/>
        <v>0</v>
      </c>
      <c r="Q326">
        <f t="shared" si="128"/>
        <v>0</v>
      </c>
      <c r="R326">
        <f t="shared" si="129"/>
        <v>1.205E-2</v>
      </c>
    </row>
    <row r="327" spans="1:18" x14ac:dyDescent="0.3">
      <c r="A327">
        <f t="shared" si="122"/>
        <v>1.6666666666666667</v>
      </c>
      <c r="B327">
        <v>60</v>
      </c>
      <c r="C327">
        <v>4</v>
      </c>
      <c r="D327" s="7">
        <v>12.6</v>
      </c>
      <c r="E327" s="3">
        <v>30.456</v>
      </c>
      <c r="F327" s="8">
        <f t="shared" si="119"/>
        <v>4.1371158392434983</v>
      </c>
      <c r="G327" s="11">
        <v>3.24</v>
      </c>
      <c r="H327" s="15">
        <v>3.0125E-3</v>
      </c>
      <c r="I327" s="11">
        <f t="shared" si="120"/>
        <v>7.338219066355899</v>
      </c>
      <c r="J327" s="16">
        <v>4.5</v>
      </c>
      <c r="K327" s="9">
        <v>3.7</v>
      </c>
      <c r="L327" s="14">
        <f t="shared" si="126"/>
        <v>10.213443765903676</v>
      </c>
      <c r="M327" s="6"/>
      <c r="N327" s="2">
        <f t="shared" si="131"/>
        <v>-1.1861875637104995</v>
      </c>
      <c r="O327">
        <f t="shared" si="127"/>
        <v>0.89434285714285733</v>
      </c>
      <c r="P327">
        <f t="shared" si="130"/>
        <v>5.8845957392553814</v>
      </c>
      <c r="Q327">
        <f t="shared" si="128"/>
        <v>0.46703140787741121</v>
      </c>
      <c r="R327">
        <f t="shared" si="129"/>
        <v>1.205E-2</v>
      </c>
    </row>
    <row r="328" spans="1:18" x14ac:dyDescent="0.3">
      <c r="A328">
        <f t="shared" si="122"/>
        <v>1.6666666666666667</v>
      </c>
      <c r="B328">
        <v>60</v>
      </c>
      <c r="C328">
        <v>4</v>
      </c>
      <c r="D328" s="7">
        <v>16.8</v>
      </c>
      <c r="E328" s="3">
        <v>30.456</v>
      </c>
      <c r="F328" s="8">
        <f t="shared" si="119"/>
        <v>5.5161544523246651</v>
      </c>
      <c r="G328" s="11">
        <v>3.24</v>
      </c>
      <c r="H328" s="15">
        <v>3.0125E-3</v>
      </c>
      <c r="I328" s="11">
        <f t="shared" si="120"/>
        <v>9.7842920884745332</v>
      </c>
      <c r="J328" s="16">
        <v>4.5</v>
      </c>
      <c r="K328" s="9">
        <v>3.25</v>
      </c>
      <c r="L328" s="14">
        <f t="shared" si="126"/>
        <v>5.9197945029483687</v>
      </c>
      <c r="M328" s="6"/>
      <c r="N328" s="2">
        <f t="shared" si="131"/>
        <v>-0.91520132517838937</v>
      </c>
      <c r="O328">
        <f t="shared" si="127"/>
        <v>0.58917857142857144</v>
      </c>
      <c r="P328">
        <f t="shared" si="130"/>
        <v>5.1689016628594571</v>
      </c>
      <c r="Q328">
        <f t="shared" si="128"/>
        <v>0.30767271802734864</v>
      </c>
      <c r="R328">
        <f t="shared" si="129"/>
        <v>1.205E-2</v>
      </c>
    </row>
    <row r="329" spans="1:18" x14ac:dyDescent="0.3">
      <c r="A329">
        <f t="shared" si="122"/>
        <v>1.6666666666666667</v>
      </c>
      <c r="B329">
        <v>60</v>
      </c>
      <c r="C329">
        <v>4</v>
      </c>
      <c r="D329" s="7">
        <v>21</v>
      </c>
      <c r="E329" s="3">
        <v>30.456</v>
      </c>
      <c r="F329" s="8">
        <f t="shared" si="119"/>
        <v>6.8951930654058309</v>
      </c>
      <c r="G329" s="11">
        <v>3.24</v>
      </c>
      <c r="H329" s="15">
        <v>3.0125E-3</v>
      </c>
      <c r="I329" s="11">
        <f t="shared" si="120"/>
        <v>12.230365110593166</v>
      </c>
      <c r="J329" s="16">
        <v>4.5</v>
      </c>
      <c r="K329" s="9">
        <v>5.59</v>
      </c>
      <c r="L329" s="14">
        <f t="shared" si="126"/>
        <v>3.0490220237289805</v>
      </c>
      <c r="M329" s="6"/>
      <c r="N329" s="2">
        <f t="shared" si="131"/>
        <v>-2.7075316004077465</v>
      </c>
      <c r="O329">
        <f t="shared" si="127"/>
        <v>0.81070971428571437</v>
      </c>
      <c r="P329">
        <f t="shared" si="130"/>
        <v>8.8905108601182654</v>
      </c>
      <c r="Q329">
        <f t="shared" si="128"/>
        <v>0.42335766000563169</v>
      </c>
      <c r="R329">
        <f t="shared" si="129"/>
        <v>1.205E-2</v>
      </c>
    </row>
    <row r="330" spans="1:18" x14ac:dyDescent="0.3">
      <c r="A330">
        <f t="shared" si="122"/>
        <v>1.6666666666666667</v>
      </c>
      <c r="B330">
        <v>60</v>
      </c>
      <c r="C330">
        <v>4</v>
      </c>
      <c r="D330" s="7">
        <v>25.2</v>
      </c>
      <c r="E330" s="3">
        <v>30.456</v>
      </c>
      <c r="F330" s="8">
        <f t="shared" si="119"/>
        <v>8.2742316784869967</v>
      </c>
      <c r="G330" s="11">
        <v>3.24</v>
      </c>
      <c r="H330" s="15">
        <v>3.0125E-3</v>
      </c>
      <c r="I330" s="11">
        <f t="shared" si="120"/>
        <v>14.676438132711798</v>
      </c>
      <c r="J330" s="16">
        <v>4.5</v>
      </c>
      <c r="K330" s="9">
        <v>8.09</v>
      </c>
      <c r="L330" s="14">
        <f t="shared" si="126"/>
        <v>1.2681574616938782</v>
      </c>
      <c r="M330" s="6"/>
      <c r="N330" s="2">
        <f t="shared" si="131"/>
        <v>-5.6708343527013243</v>
      </c>
      <c r="O330">
        <f t="shared" si="127"/>
        <v>0.97773428571428578</v>
      </c>
      <c r="P330">
        <f t="shared" si="130"/>
        <v>12.866589062317848</v>
      </c>
      <c r="Q330">
        <f t="shared" si="128"/>
        <v>0.51057893104435903</v>
      </c>
      <c r="R330">
        <f t="shared" si="129"/>
        <v>1.205E-2</v>
      </c>
    </row>
    <row r="331" spans="1:18" x14ac:dyDescent="0.3">
      <c r="A331">
        <f t="shared" si="122"/>
        <v>1.6666666666666667</v>
      </c>
      <c r="B331">
        <v>60</v>
      </c>
      <c r="C331">
        <v>4</v>
      </c>
      <c r="D331" s="7">
        <v>29.3</v>
      </c>
      <c r="E331" s="3">
        <v>30.456</v>
      </c>
      <c r="F331" s="8">
        <f t="shared" si="119"/>
        <v>9.6204360388757539</v>
      </c>
      <c r="G331" s="11">
        <v>3.24</v>
      </c>
      <c r="H331" s="15">
        <v>3.0125E-3</v>
      </c>
      <c r="I331" s="11">
        <f t="shared" si="120"/>
        <v>17.064271320970462</v>
      </c>
      <c r="J331" s="16">
        <v>4.5</v>
      </c>
      <c r="K331" s="9">
        <v>10.199999999999999</v>
      </c>
      <c r="L331" s="14">
        <f t="shared" si="126"/>
        <v>0.22922615403285693</v>
      </c>
      <c r="M331" s="6"/>
      <c r="N331" s="2">
        <f t="shared" si="131"/>
        <v>-9.0146788990825684</v>
      </c>
      <c r="O331">
        <f t="shared" si="127"/>
        <v>1.0602430034129693</v>
      </c>
      <c r="P331">
        <f t="shared" si="130"/>
        <v>16.22239906497429</v>
      </c>
      <c r="Q331">
        <f t="shared" si="128"/>
        <v>0.55366549709809865</v>
      </c>
      <c r="R331">
        <f t="shared" si="129"/>
        <v>1.205E-2</v>
      </c>
    </row>
    <row r="332" spans="1:18" x14ac:dyDescent="0.3">
      <c r="A332">
        <f t="shared" si="122"/>
        <v>1.6666666666666667</v>
      </c>
      <c r="B332">
        <v>60</v>
      </c>
      <c r="C332">
        <v>6</v>
      </c>
      <c r="D332" s="7">
        <v>4.2</v>
      </c>
      <c r="E332" s="3">
        <v>30.456</v>
      </c>
      <c r="F332" s="8">
        <f t="shared" si="119"/>
        <v>1.3790386130811663</v>
      </c>
      <c r="G332" s="11">
        <v>3.24</v>
      </c>
      <c r="H332" s="15">
        <v>2.0083000000000002E-3</v>
      </c>
      <c r="I332" s="11">
        <f t="shared" si="120"/>
        <v>2.4460730221186333</v>
      </c>
      <c r="J332" s="16">
        <v>3</v>
      </c>
      <c r="K332" s="9">
        <v>0</v>
      </c>
      <c r="L332" s="14">
        <f t="shared" si="126"/>
        <v>104.15868582880654</v>
      </c>
      <c r="M332" s="6"/>
      <c r="N332" s="2">
        <f>-(1.7*K332^2)/19.62</f>
        <v>0</v>
      </c>
      <c r="O332">
        <f t="shared" si="127"/>
        <v>0</v>
      </c>
      <c r="P332">
        <f t="shared" si="130"/>
        <v>0</v>
      </c>
      <c r="Q332">
        <f t="shared" si="128"/>
        <v>0</v>
      </c>
      <c r="R332">
        <f t="shared" si="129"/>
        <v>1.2049800000000001E-2</v>
      </c>
    </row>
    <row r="333" spans="1:18" x14ac:dyDescent="0.3">
      <c r="A333">
        <f t="shared" si="122"/>
        <v>1.6666666666666667</v>
      </c>
      <c r="B333">
        <v>60</v>
      </c>
      <c r="C333">
        <v>6</v>
      </c>
      <c r="D333" s="7">
        <v>8.4</v>
      </c>
      <c r="E333" s="3">
        <v>30.456</v>
      </c>
      <c r="F333" s="8">
        <f t="shared" si="119"/>
        <v>2.7580772261623325</v>
      </c>
      <c r="G333" s="11">
        <v>3.24</v>
      </c>
      <c r="H333" s="15">
        <v>2.0083000000000002E-3</v>
      </c>
      <c r="I333" s="11">
        <f t="shared" si="120"/>
        <v>4.8921460442372666</v>
      </c>
      <c r="J333" s="16">
        <v>3</v>
      </c>
      <c r="K333" s="9">
        <v>0</v>
      </c>
      <c r="L333" s="14">
        <f t="shared" si="126"/>
        <v>26.039671457201635</v>
      </c>
      <c r="M333" s="6"/>
      <c r="N333" s="2">
        <f t="shared" ref="N333:N338" si="132">-(1.7*K333^2)/19.62</f>
        <v>0</v>
      </c>
      <c r="O333">
        <f t="shared" si="127"/>
        <v>0</v>
      </c>
      <c r="P333">
        <f t="shared" si="130"/>
        <v>0</v>
      </c>
      <c r="Q333">
        <f t="shared" si="128"/>
        <v>0</v>
      </c>
      <c r="R333">
        <f t="shared" si="129"/>
        <v>1.2049800000000001E-2</v>
      </c>
    </row>
    <row r="334" spans="1:18" x14ac:dyDescent="0.3">
      <c r="A334">
        <f t="shared" si="122"/>
        <v>1.6666666666666667</v>
      </c>
      <c r="B334">
        <v>60</v>
      </c>
      <c r="C334">
        <v>6</v>
      </c>
      <c r="D334" s="7">
        <v>12.6</v>
      </c>
      <c r="E334" s="3">
        <v>30.456</v>
      </c>
      <c r="F334" s="8">
        <f t="shared" si="119"/>
        <v>4.1371158392434983</v>
      </c>
      <c r="G334" s="11">
        <v>3.24</v>
      </c>
      <c r="H334" s="15">
        <v>2.0083000000000002E-3</v>
      </c>
      <c r="I334" s="11">
        <f t="shared" si="120"/>
        <v>7.338219066355899</v>
      </c>
      <c r="J334" s="16">
        <v>3</v>
      </c>
      <c r="K334" s="9">
        <v>0</v>
      </c>
      <c r="L334" s="14">
        <f t="shared" si="126"/>
        <v>11.57318731431184</v>
      </c>
      <c r="M334" s="6"/>
      <c r="N334" s="2">
        <f t="shared" si="132"/>
        <v>0</v>
      </c>
      <c r="O334">
        <f t="shared" si="127"/>
        <v>0</v>
      </c>
      <c r="P334">
        <f t="shared" si="130"/>
        <v>0</v>
      </c>
      <c r="Q334">
        <f t="shared" si="128"/>
        <v>0</v>
      </c>
      <c r="R334">
        <f t="shared" si="129"/>
        <v>1.2049800000000001E-2</v>
      </c>
    </row>
    <row r="335" spans="1:18" x14ac:dyDescent="0.3">
      <c r="A335">
        <f t="shared" si="122"/>
        <v>1.6666666666666667</v>
      </c>
      <c r="B335">
        <v>60</v>
      </c>
      <c r="C335">
        <v>6</v>
      </c>
      <c r="D335" s="7">
        <v>16.8</v>
      </c>
      <c r="E335" s="3">
        <v>30.456</v>
      </c>
      <c r="F335" s="8">
        <f t="shared" si="119"/>
        <v>5.5161544523246651</v>
      </c>
      <c r="G335" s="11">
        <v>3.24</v>
      </c>
      <c r="H335" s="15">
        <v>2.0083000000000002E-3</v>
      </c>
      <c r="I335" s="11">
        <f t="shared" si="120"/>
        <v>9.7842920884745332</v>
      </c>
      <c r="J335" s="16">
        <v>3</v>
      </c>
      <c r="K335" s="9">
        <v>0</v>
      </c>
      <c r="L335" s="14">
        <f t="shared" si="126"/>
        <v>6.5099178643004088</v>
      </c>
      <c r="M335" s="6"/>
      <c r="N335" s="2">
        <f t="shared" si="132"/>
        <v>0</v>
      </c>
      <c r="O335">
        <f t="shared" si="127"/>
        <v>0</v>
      </c>
      <c r="P335">
        <f t="shared" si="130"/>
        <v>0</v>
      </c>
      <c r="Q335">
        <f t="shared" si="128"/>
        <v>0</v>
      </c>
      <c r="R335">
        <f t="shared" si="129"/>
        <v>1.2049800000000001E-2</v>
      </c>
    </row>
    <row r="336" spans="1:18" x14ac:dyDescent="0.3">
      <c r="A336">
        <f t="shared" si="122"/>
        <v>1.6666666666666667</v>
      </c>
      <c r="B336">
        <v>60</v>
      </c>
      <c r="C336">
        <v>6</v>
      </c>
      <c r="D336" s="7">
        <v>21</v>
      </c>
      <c r="E336" s="3">
        <v>30.456</v>
      </c>
      <c r="F336" s="8">
        <f t="shared" si="119"/>
        <v>6.8951930654058309</v>
      </c>
      <c r="G336" s="11">
        <v>3.24</v>
      </c>
      <c r="H336" s="15">
        <v>2.0083000000000002E-3</v>
      </c>
      <c r="I336" s="11">
        <f t="shared" si="120"/>
        <v>12.230365110593166</v>
      </c>
      <c r="J336" s="16">
        <v>4.5</v>
      </c>
      <c r="K336" s="9">
        <v>0.8</v>
      </c>
      <c r="L336" s="14">
        <f t="shared" si="126"/>
        <v>4.1434632174069561</v>
      </c>
      <c r="M336" s="6"/>
      <c r="N336" s="2">
        <f t="shared" si="132"/>
        <v>-5.5453618756371052E-2</v>
      </c>
      <c r="O336">
        <f t="shared" si="127"/>
        <v>0.11602285714285716</v>
      </c>
      <c r="P336">
        <f t="shared" si="130"/>
        <v>1.2723450247038663</v>
      </c>
      <c r="Q336">
        <f t="shared" si="128"/>
        <v>6.0587858319231733E-2</v>
      </c>
      <c r="R336">
        <f t="shared" si="129"/>
        <v>1.2049800000000001E-2</v>
      </c>
    </row>
    <row r="337" spans="1:18" x14ac:dyDescent="0.3">
      <c r="A337">
        <f t="shared" si="122"/>
        <v>1.6666666666666667</v>
      </c>
      <c r="B337">
        <v>60</v>
      </c>
      <c r="C337">
        <v>6</v>
      </c>
      <c r="D337" s="7">
        <v>25.2</v>
      </c>
      <c r="E337" s="3">
        <v>30.456</v>
      </c>
      <c r="F337" s="8">
        <f t="shared" si="119"/>
        <v>8.2742316784869967</v>
      </c>
      <c r="G337" s="11">
        <v>3.24</v>
      </c>
      <c r="H337" s="15">
        <v>2.0083000000000002E-3</v>
      </c>
      <c r="I337" s="11">
        <f t="shared" si="120"/>
        <v>14.676438132711798</v>
      </c>
      <c r="J337" s="16">
        <v>4.5</v>
      </c>
      <c r="K337" s="9">
        <v>1.95</v>
      </c>
      <c r="L337" s="14">
        <f t="shared" si="126"/>
        <v>2.7988770907616334</v>
      </c>
      <c r="M337" s="6"/>
      <c r="N337" s="2">
        <f t="shared" si="132"/>
        <v>-0.32947247706422017</v>
      </c>
      <c r="O337">
        <f t="shared" si="127"/>
        <v>0.23567142857142859</v>
      </c>
      <c r="P337">
        <f t="shared" si="130"/>
        <v>3.1013409977156741</v>
      </c>
      <c r="Q337">
        <f t="shared" si="128"/>
        <v>0.12306908721093945</v>
      </c>
      <c r="R337">
        <f t="shared" si="129"/>
        <v>1.2049800000000001E-2</v>
      </c>
    </row>
    <row r="338" spans="1:18" x14ac:dyDescent="0.3">
      <c r="A338">
        <f t="shared" si="122"/>
        <v>1.6666666666666667</v>
      </c>
      <c r="B338">
        <v>60</v>
      </c>
      <c r="C338">
        <v>6</v>
      </c>
      <c r="D338" s="7">
        <v>29.4</v>
      </c>
      <c r="E338" s="3">
        <v>30.456</v>
      </c>
      <c r="F338" s="8">
        <f t="shared" si="119"/>
        <v>9.6532702915681625</v>
      </c>
      <c r="G338" s="11">
        <v>3.24</v>
      </c>
      <c r="H338" s="15">
        <v>2.0083000000000002E-3</v>
      </c>
      <c r="I338" s="11">
        <f t="shared" si="120"/>
        <v>17.122511154830431</v>
      </c>
      <c r="J338" s="16">
        <v>4.5</v>
      </c>
      <c r="K338" s="9">
        <v>2.0299999999999998</v>
      </c>
      <c r="L338" s="14">
        <f t="shared" si="126"/>
        <v>2.0505092415119708</v>
      </c>
      <c r="M338" s="6"/>
      <c r="N338" s="2">
        <f t="shared" si="132"/>
        <v>-0.35706065239551465</v>
      </c>
      <c r="O338">
        <f t="shared" si="127"/>
        <v>0.21029142857142857</v>
      </c>
      <c r="P338">
        <f t="shared" si="130"/>
        <v>3.2285755001860599</v>
      </c>
      <c r="Q338">
        <f t="shared" si="128"/>
        <v>0.10981549320360748</v>
      </c>
      <c r="R338">
        <f t="shared" si="129"/>
        <v>1.2049800000000001E-2</v>
      </c>
    </row>
    <row r="339" spans="1:18" x14ac:dyDescent="0.3">
      <c r="A339">
        <v>1</v>
      </c>
      <c r="B339">
        <v>10</v>
      </c>
      <c r="C339">
        <v>1</v>
      </c>
      <c r="D339" s="16">
        <v>1</v>
      </c>
      <c r="E339" s="11">
        <v>5.1409430829999998</v>
      </c>
      <c r="F339" s="9">
        <f t="shared" si="119"/>
        <v>1.9451683939213145</v>
      </c>
      <c r="G339" s="8">
        <v>5.8784999999999998</v>
      </c>
      <c r="H339" s="15">
        <v>5.5425090000000002E-3</v>
      </c>
      <c r="I339" s="17">
        <f>F339/((E339*10^-4)/(G339*10^-2)*9.81)^(1/2)</f>
        <v>6.6410165731286011</v>
      </c>
      <c r="J339" s="16">
        <v>4.5</v>
      </c>
      <c r="K339" s="9">
        <v>0</v>
      </c>
      <c r="L339" s="14">
        <f t="shared" si="126"/>
        <v>52.35207939747584</v>
      </c>
      <c r="M339" s="6"/>
      <c r="N339" s="2">
        <f>-(1.7*K339^2)/19.62</f>
        <v>0</v>
      </c>
      <c r="O339">
        <f t="shared" si="127"/>
        <v>0</v>
      </c>
      <c r="P339">
        <f t="shared" si="130"/>
        <v>0</v>
      </c>
      <c r="Q339">
        <f t="shared" si="128"/>
        <v>0</v>
      </c>
      <c r="R339">
        <f t="shared" si="129"/>
        <v>5.5425090000000002E-3</v>
      </c>
    </row>
    <row r="340" spans="1:18" x14ac:dyDescent="0.3">
      <c r="A340">
        <v>1</v>
      </c>
      <c r="B340">
        <v>10</v>
      </c>
      <c r="C340">
        <v>1</v>
      </c>
      <c r="D340" s="16">
        <v>2</v>
      </c>
      <c r="E340" s="11">
        <v>5.1409430829999998</v>
      </c>
      <c r="F340" s="9">
        <f t="shared" si="119"/>
        <v>3.8903367878426289</v>
      </c>
      <c r="G340" s="8">
        <v>5.8784999999999998</v>
      </c>
      <c r="H340" s="15">
        <v>5.5425090000000002E-3</v>
      </c>
      <c r="I340" s="17">
        <f t="shared" ref="I340:I345" si="133">F340/((E340*10^-4)/(G340*10^-2)*9.81)^(1/2)</f>
        <v>13.282033146257202</v>
      </c>
      <c r="J340" s="16">
        <v>4.5</v>
      </c>
      <c r="K340" s="9">
        <v>2.27</v>
      </c>
      <c r="L340" s="14">
        <f t="shared" si="126"/>
        <v>12.509222896855785</v>
      </c>
      <c r="M340" s="6"/>
      <c r="N340" s="2">
        <f t="shared" ref="N340:N345" si="134">-(1.7*K340^2)/19.62</f>
        <v>-0.446479612640163</v>
      </c>
      <c r="O340">
        <f t="shared" si="127"/>
        <v>0.58349703992049995</v>
      </c>
      <c r="P340">
        <f t="shared" si="130"/>
        <v>3.61027900759722</v>
      </c>
      <c r="Q340">
        <f t="shared" si="128"/>
        <v>1.80513950379861</v>
      </c>
      <c r="R340">
        <f t="shared" si="129"/>
        <v>5.5425090000000002E-3</v>
      </c>
    </row>
    <row r="341" spans="1:18" x14ac:dyDescent="0.3">
      <c r="A341">
        <v>1</v>
      </c>
      <c r="B341">
        <v>10</v>
      </c>
      <c r="C341">
        <v>1</v>
      </c>
      <c r="D341" s="16">
        <v>3</v>
      </c>
      <c r="E341" s="11">
        <v>5.1409430829999998</v>
      </c>
      <c r="F341" s="9">
        <f t="shared" si="119"/>
        <v>5.835505181763943</v>
      </c>
      <c r="G341" s="8">
        <v>5.8784999999999998</v>
      </c>
      <c r="H341" s="15">
        <v>5.5425090000000002E-3</v>
      </c>
      <c r="I341" s="17">
        <f t="shared" si="133"/>
        <v>19.923049719385801</v>
      </c>
      <c r="J341" s="16">
        <v>4.5</v>
      </c>
      <c r="K341" s="9">
        <v>6.29</v>
      </c>
      <c r="L341" s="14">
        <f t="shared" si="126"/>
        <v>3.8417785862016682</v>
      </c>
      <c r="M341" s="6"/>
      <c r="N341" s="2">
        <f t="shared" si="134"/>
        <v>-3.4280820591233434</v>
      </c>
      <c r="O341">
        <f t="shared" si="127"/>
        <v>1.0778843997356666</v>
      </c>
      <c r="P341">
        <f t="shared" si="130"/>
        <v>10.003812756734147</v>
      </c>
      <c r="Q341">
        <f t="shared" si="128"/>
        <v>3.3346042522447159</v>
      </c>
      <c r="R341">
        <f t="shared" si="129"/>
        <v>5.5425090000000002E-3</v>
      </c>
    </row>
    <row r="342" spans="1:18" x14ac:dyDescent="0.3">
      <c r="A342">
        <v>1</v>
      </c>
      <c r="B342">
        <v>10</v>
      </c>
      <c r="C342">
        <v>1</v>
      </c>
      <c r="D342" s="16">
        <v>4</v>
      </c>
      <c r="E342" s="11">
        <v>5.1409430829999998</v>
      </c>
      <c r="F342" s="9">
        <f t="shared" si="119"/>
        <v>7.7806735756852579</v>
      </c>
      <c r="G342" s="8">
        <v>5.8784999999999998</v>
      </c>
      <c r="H342" s="15">
        <v>5.5425090000000002E-3</v>
      </c>
      <c r="I342" s="17">
        <f t="shared" si="133"/>
        <v>26.564066292514404</v>
      </c>
      <c r="J342" s="16">
        <v>4.5</v>
      </c>
      <c r="K342" s="9">
        <v>9.76</v>
      </c>
      <c r="L342" s="14">
        <f t="shared" si="126"/>
        <v>0.59706422102574574</v>
      </c>
      <c r="M342" s="6"/>
      <c r="N342" s="2">
        <f t="shared" si="134"/>
        <v>-8.2537166156982664</v>
      </c>
      <c r="O342">
        <f t="shared" si="127"/>
        <v>1.2543901122519998</v>
      </c>
      <c r="P342">
        <f t="shared" si="130"/>
        <v>15.522609301387169</v>
      </c>
      <c r="Q342">
        <f t="shared" si="128"/>
        <v>3.8806523253467922</v>
      </c>
      <c r="R342">
        <f t="shared" si="129"/>
        <v>5.5425090000000002E-3</v>
      </c>
    </row>
    <row r="343" spans="1:18" x14ac:dyDescent="0.3">
      <c r="A343">
        <v>1</v>
      </c>
      <c r="B343">
        <v>10</v>
      </c>
      <c r="C343">
        <v>1</v>
      </c>
      <c r="D343" s="16">
        <v>5</v>
      </c>
      <c r="E343" s="11">
        <v>5.1409430829999998</v>
      </c>
      <c r="F343" s="9">
        <f t="shared" si="119"/>
        <v>9.7258419696065719</v>
      </c>
      <c r="G343" s="8">
        <v>5.8784999999999998</v>
      </c>
      <c r="H343" s="15">
        <v>5.5425090000000002E-3</v>
      </c>
      <c r="I343" s="17">
        <f t="shared" si="133"/>
        <v>33.205082865643007</v>
      </c>
      <c r="J343" s="16">
        <v>4.5</v>
      </c>
      <c r="K343" s="9">
        <v>11.35</v>
      </c>
      <c r="L343" s="14">
        <f t="shared" si="126"/>
        <v>-0.22110463415366771</v>
      </c>
      <c r="M343" s="6"/>
      <c r="N343" s="2">
        <f t="shared" si="134"/>
        <v>-11.161990316004076</v>
      </c>
      <c r="O343">
        <f t="shared" si="127"/>
        <v>1.1669940798409999</v>
      </c>
      <c r="P343">
        <f t="shared" si="130"/>
        <v>18.051395037986101</v>
      </c>
      <c r="Q343">
        <f t="shared" si="128"/>
        <v>3.61027900759722</v>
      </c>
      <c r="R343">
        <f t="shared" si="129"/>
        <v>5.5425090000000002E-3</v>
      </c>
    </row>
    <row r="344" spans="1:18" x14ac:dyDescent="0.3">
      <c r="A344">
        <v>1</v>
      </c>
      <c r="B344">
        <v>10</v>
      </c>
      <c r="C344">
        <v>1</v>
      </c>
      <c r="D344" s="16">
        <v>6</v>
      </c>
      <c r="E344" s="11">
        <v>5.1409430829999998</v>
      </c>
      <c r="F344" s="9">
        <f t="shared" si="119"/>
        <v>11.671010363527886</v>
      </c>
      <c r="G344" s="8">
        <v>5.8784999999999998</v>
      </c>
      <c r="H344" s="15">
        <v>5.5425090000000002E-3</v>
      </c>
      <c r="I344" s="17">
        <f t="shared" si="133"/>
        <v>39.846099438771603</v>
      </c>
      <c r="J344" s="16">
        <v>4.5</v>
      </c>
      <c r="K344" s="9">
        <v>14.29</v>
      </c>
      <c r="L344" s="14">
        <f t="shared" si="126"/>
        <v>-1.0943450028976647</v>
      </c>
      <c r="M344" s="6"/>
      <c r="N344" s="2">
        <f t="shared" si="134"/>
        <v>-17.693525484199792</v>
      </c>
      <c r="O344">
        <f t="shared" si="127"/>
        <v>1.2244012776011666</v>
      </c>
      <c r="P344">
        <f t="shared" si="130"/>
        <v>22.727263003772809</v>
      </c>
      <c r="Q344">
        <f t="shared" si="128"/>
        <v>3.7878771672954681</v>
      </c>
      <c r="R344">
        <f t="shared" si="129"/>
        <v>5.5425090000000002E-3</v>
      </c>
    </row>
    <row r="345" spans="1:18" x14ac:dyDescent="0.3">
      <c r="A345">
        <v>1</v>
      </c>
      <c r="B345">
        <v>10</v>
      </c>
      <c r="C345">
        <v>1</v>
      </c>
      <c r="D345" s="16">
        <v>7.2</v>
      </c>
      <c r="E345" s="11">
        <v>5.1409430829999998</v>
      </c>
      <c r="F345" s="9">
        <f t="shared" si="119"/>
        <v>14.005212436233464</v>
      </c>
      <c r="G345" s="8">
        <v>5.8784999999999998</v>
      </c>
      <c r="H345" s="15">
        <v>5.5425090000000002E-3</v>
      </c>
      <c r="I345" s="17">
        <f t="shared" si="133"/>
        <v>47.81531932652593</v>
      </c>
      <c r="J345" s="16">
        <v>4.5</v>
      </c>
      <c r="K345" s="9">
        <v>17.5</v>
      </c>
      <c r="L345" s="14">
        <f t="shared" si="126"/>
        <v>-1.6443950958897089</v>
      </c>
      <c r="M345" s="6"/>
      <c r="N345" s="2">
        <f t="shared" si="134"/>
        <v>-26.535423037716615</v>
      </c>
      <c r="O345">
        <f t="shared" si="127"/>
        <v>1.2495347771180554</v>
      </c>
      <c r="P345">
        <f t="shared" si="130"/>
        <v>27.832547415397073</v>
      </c>
      <c r="Q345">
        <f t="shared" si="128"/>
        <v>3.8656315854718155</v>
      </c>
      <c r="R345">
        <f t="shared" si="129"/>
        <v>5.5425090000000002E-3</v>
      </c>
    </row>
    <row r="346" spans="1:18" x14ac:dyDescent="0.3">
      <c r="A346">
        <v>1</v>
      </c>
      <c r="B346">
        <v>10</v>
      </c>
      <c r="C346">
        <v>2</v>
      </c>
      <c r="D346" s="16">
        <v>1</v>
      </c>
      <c r="E346" s="11">
        <v>5.1409430829999998</v>
      </c>
      <c r="F346" s="9">
        <f t="shared" si="119"/>
        <v>1.9451683939213145</v>
      </c>
      <c r="G346" s="8">
        <v>5.8784999999999998</v>
      </c>
      <c r="H346" s="15">
        <v>2.7712549999999998E-3</v>
      </c>
      <c r="I346" s="17">
        <f>F346/((E346*10^-4)/(G346*10^-2)*9.81)^(1/2)</f>
        <v>6.6410165731286011</v>
      </c>
      <c r="J346" s="16">
        <v>3</v>
      </c>
      <c r="K346" s="9">
        <v>0.6</v>
      </c>
      <c r="L346" s="14">
        <f t="shared" si="126"/>
        <v>52.190332107286046</v>
      </c>
      <c r="M346" s="6"/>
      <c r="N346" s="2">
        <f>-(1.7*K346^2)/19.62</f>
        <v>-3.1192660550458714E-2</v>
      </c>
      <c r="O346">
        <f t="shared" si="127"/>
        <v>0.30845658497999995</v>
      </c>
      <c r="P346">
        <f t="shared" si="130"/>
        <v>0.42411500823462206</v>
      </c>
      <c r="Q346">
        <f t="shared" si="128"/>
        <v>0.42411500823462206</v>
      </c>
      <c r="R346">
        <f t="shared" si="129"/>
        <v>5.5425099999999996E-3</v>
      </c>
    </row>
    <row r="347" spans="1:18" x14ac:dyDescent="0.3">
      <c r="A347">
        <v>1</v>
      </c>
      <c r="B347">
        <v>10</v>
      </c>
      <c r="C347">
        <v>2</v>
      </c>
      <c r="D347" s="16">
        <v>2</v>
      </c>
      <c r="E347" s="11">
        <v>5.1409430829999998</v>
      </c>
      <c r="F347" s="9">
        <f t="shared" si="119"/>
        <v>3.8903367878426289</v>
      </c>
      <c r="G347" s="8">
        <v>5.8784999999999998</v>
      </c>
      <c r="H347" s="15">
        <v>2.7712549999999998E-3</v>
      </c>
      <c r="I347" s="17">
        <f t="shared" ref="I347:I352" si="135">F347/((E347*10^-4)/(G347*10^-2)*9.81)^(1/2)</f>
        <v>13.282033146257202</v>
      </c>
      <c r="J347" s="16">
        <v>4.5</v>
      </c>
      <c r="K347" s="9">
        <v>1.96</v>
      </c>
      <c r="L347" s="14">
        <f t="shared" si="126"/>
        <v>12.656514022984865</v>
      </c>
      <c r="M347" s="6"/>
      <c r="N347" s="2">
        <f t="shared" ref="N347:N352" si="136">-(1.7*K347^2)/19.62</f>
        <v>-0.33286034658511721</v>
      </c>
      <c r="O347">
        <f t="shared" si="127"/>
        <v>0.5038124221339999</v>
      </c>
      <c r="P347">
        <f t="shared" si="130"/>
        <v>3.117245310524472</v>
      </c>
      <c r="Q347">
        <f t="shared" si="128"/>
        <v>1.558622655262236</v>
      </c>
      <c r="R347">
        <f t="shared" si="129"/>
        <v>5.5425099999999996E-3</v>
      </c>
    </row>
    <row r="348" spans="1:18" x14ac:dyDescent="0.3">
      <c r="A348">
        <v>1</v>
      </c>
      <c r="B348">
        <v>10</v>
      </c>
      <c r="C348">
        <v>2</v>
      </c>
      <c r="D348" s="16">
        <v>3</v>
      </c>
      <c r="E348" s="11">
        <v>5.1409430829999998</v>
      </c>
      <c r="F348" s="9">
        <f t="shared" si="119"/>
        <v>5.835505181763943</v>
      </c>
      <c r="G348" s="8">
        <v>5.8784999999999998</v>
      </c>
      <c r="H348" s="15">
        <v>2.7712549999999998E-3</v>
      </c>
      <c r="I348" s="17">
        <f t="shared" si="135"/>
        <v>19.923049719385801</v>
      </c>
      <c r="J348" s="16">
        <v>4.5</v>
      </c>
      <c r="K348" s="9">
        <v>7.06</v>
      </c>
      <c r="L348" s="14">
        <f t="shared" si="126"/>
        <v>3.3286053548726704</v>
      </c>
      <c r="M348" s="6"/>
      <c r="N348" s="2">
        <f t="shared" si="136"/>
        <v>-4.3187624872578994</v>
      </c>
      <c r="O348">
        <f t="shared" si="127"/>
        <v>1.2098352721993333</v>
      </c>
      <c r="P348">
        <f t="shared" si="130"/>
        <v>11.228444843011619</v>
      </c>
      <c r="Q348">
        <f t="shared" si="128"/>
        <v>3.7428149476705399</v>
      </c>
      <c r="R348">
        <f t="shared" si="129"/>
        <v>5.5425099999999996E-3</v>
      </c>
    </row>
    <row r="349" spans="1:18" x14ac:dyDescent="0.3">
      <c r="A349">
        <v>1</v>
      </c>
      <c r="B349">
        <v>10</v>
      </c>
      <c r="C349">
        <v>2</v>
      </c>
      <c r="D349" s="16">
        <v>4</v>
      </c>
      <c r="E349" s="11">
        <v>5.1409430829999998</v>
      </c>
      <c r="F349" s="9">
        <f t="shared" si="119"/>
        <v>7.7806735756852579</v>
      </c>
      <c r="G349" s="8">
        <v>5.8784999999999998</v>
      </c>
      <c r="H349" s="15">
        <v>2.7712549999999998E-3</v>
      </c>
      <c r="I349" s="17">
        <f t="shared" si="135"/>
        <v>26.564066292514404</v>
      </c>
      <c r="J349" s="16">
        <v>4.5</v>
      </c>
      <c r="K349" s="9">
        <v>13.29</v>
      </c>
      <c r="L349" s="14">
        <f t="shared" si="126"/>
        <v>-1.6877987802290459</v>
      </c>
      <c r="M349" s="6"/>
      <c r="N349" s="2">
        <f t="shared" si="136"/>
        <v>-15.303821100917427</v>
      </c>
      <c r="O349">
        <f t="shared" si="127"/>
        <v>1.7080783393267498</v>
      </c>
      <c r="P349">
        <f t="shared" si="130"/>
        <v>21.136831722892978</v>
      </c>
      <c r="Q349">
        <f t="shared" si="128"/>
        <v>5.2842079307232446</v>
      </c>
      <c r="R349">
        <f t="shared" si="129"/>
        <v>5.5425099999999996E-3</v>
      </c>
    </row>
    <row r="350" spans="1:18" x14ac:dyDescent="0.3">
      <c r="A350">
        <v>1</v>
      </c>
      <c r="B350">
        <v>10</v>
      </c>
      <c r="C350">
        <v>2</v>
      </c>
      <c r="D350" s="16">
        <v>5</v>
      </c>
      <c r="E350" s="11">
        <v>5.1409430829999998</v>
      </c>
      <c r="F350" s="9">
        <f t="shared" si="119"/>
        <v>9.7258419696065719</v>
      </c>
      <c r="G350" s="8">
        <v>5.8784999999999998</v>
      </c>
      <c r="H350" s="15">
        <v>2.7712549999999998E-3</v>
      </c>
      <c r="I350" s="17">
        <f t="shared" si="135"/>
        <v>33.205082865643007</v>
      </c>
      <c r="J350" s="16">
        <v>4.5</v>
      </c>
      <c r="K350" s="9">
        <v>18.18</v>
      </c>
      <c r="L350" s="14">
        <f t="shared" si="126"/>
        <v>-3.8458596101147653</v>
      </c>
      <c r="M350" s="6"/>
      <c r="N350" s="2">
        <f t="shared" si="136"/>
        <v>-28.637669724770642</v>
      </c>
      <c r="O350">
        <f t="shared" si="127"/>
        <v>1.8692469049787999</v>
      </c>
      <c r="P350">
        <f t="shared" si="130"/>
        <v>28.91404068639536</v>
      </c>
      <c r="Q350">
        <f t="shared" si="128"/>
        <v>5.7828081372790718</v>
      </c>
      <c r="R350">
        <f t="shared" si="129"/>
        <v>5.5425099999999996E-3</v>
      </c>
    </row>
    <row r="351" spans="1:18" x14ac:dyDescent="0.3">
      <c r="A351">
        <v>1</v>
      </c>
      <c r="B351">
        <v>10</v>
      </c>
      <c r="C351">
        <v>2</v>
      </c>
      <c r="D351" s="16">
        <v>6</v>
      </c>
      <c r="E351" s="11">
        <v>5.1409430829999998</v>
      </c>
      <c r="F351" s="9">
        <f t="shared" si="119"/>
        <v>11.671010363527886</v>
      </c>
      <c r="G351" s="8">
        <v>5.8784999999999998</v>
      </c>
      <c r="H351" s="15">
        <v>2.7712549999999998E-3</v>
      </c>
      <c r="I351" s="17">
        <f t="shared" si="135"/>
        <v>39.846099438771603</v>
      </c>
      <c r="J351" s="16">
        <v>4.5</v>
      </c>
      <c r="K351" s="9">
        <v>21.63</v>
      </c>
      <c r="L351" s="14">
        <f t="shared" si="126"/>
        <v>-4.3848639805944902</v>
      </c>
      <c r="M351" s="6"/>
      <c r="N351" s="2">
        <f t="shared" si="136"/>
        <v>-40.538059633027515</v>
      </c>
      <c r="O351">
        <f t="shared" si="127"/>
        <v>1.8533099814214999</v>
      </c>
      <c r="P351">
        <f t="shared" si="130"/>
        <v>34.401028605430774</v>
      </c>
      <c r="Q351">
        <f t="shared" si="128"/>
        <v>5.7335047675717954</v>
      </c>
      <c r="R351">
        <f t="shared" si="129"/>
        <v>5.5425099999999996E-3</v>
      </c>
    </row>
    <row r="352" spans="1:18" x14ac:dyDescent="0.3">
      <c r="A352">
        <v>1</v>
      </c>
      <c r="B352">
        <v>10</v>
      </c>
      <c r="C352">
        <v>2</v>
      </c>
      <c r="D352" s="16">
        <v>7.1</v>
      </c>
      <c r="E352" s="11">
        <v>5.1409430829999998</v>
      </c>
      <c r="F352" s="9">
        <f t="shared" si="119"/>
        <v>13.810695596841331</v>
      </c>
      <c r="G352" s="8">
        <v>5.8784999999999998</v>
      </c>
      <c r="H352" s="15">
        <v>2.7712549999999998E-3</v>
      </c>
      <c r="I352" s="17">
        <f t="shared" si="135"/>
        <v>47.151217669213061</v>
      </c>
      <c r="J352" s="16">
        <v>4.5</v>
      </c>
      <c r="K352" s="9">
        <v>25.68</v>
      </c>
      <c r="L352" s="14">
        <f t="shared" si="126"/>
        <v>-4.8391802551833054</v>
      </c>
      <c r="M352" s="6"/>
      <c r="N352" s="2">
        <f t="shared" si="136"/>
        <v>-57.139963302752292</v>
      </c>
      <c r="O352">
        <f t="shared" si="127"/>
        <v>1.8594284277667605</v>
      </c>
      <c r="P352">
        <f t="shared" si="130"/>
        <v>40.842275292994103</v>
      </c>
      <c r="Q352">
        <f t="shared" si="128"/>
        <v>5.7524331398583248</v>
      </c>
      <c r="R352">
        <f t="shared" si="129"/>
        <v>5.5425099999999996E-3</v>
      </c>
    </row>
    <row r="353" spans="1:18" x14ac:dyDescent="0.3">
      <c r="A353">
        <v>1</v>
      </c>
      <c r="B353">
        <v>10</v>
      </c>
      <c r="C353">
        <v>4</v>
      </c>
      <c r="D353" s="16">
        <v>1</v>
      </c>
      <c r="E353" s="11">
        <v>5.1409430829999998</v>
      </c>
      <c r="F353" s="9">
        <f t="shared" si="119"/>
        <v>1.9451683939213145</v>
      </c>
      <c r="G353" s="8">
        <v>5.8784999999999998</v>
      </c>
      <c r="H353" s="15">
        <v>1.385627E-3</v>
      </c>
      <c r="I353" s="17">
        <f>F353/((E353*10^-4)/(G353*10^-2)*9.81)^(1/2)</f>
        <v>6.6410165731286011</v>
      </c>
      <c r="J353" s="16">
        <v>4.5</v>
      </c>
      <c r="K353" s="9">
        <v>0.54</v>
      </c>
      <c r="L353" s="14">
        <f t="shared" si="126"/>
        <v>52.221064092422111</v>
      </c>
      <c r="M353" s="6"/>
      <c r="N353" s="2">
        <f>-(1.7*K353^2)/19.62</f>
        <v>-2.5266055045871563E-2</v>
      </c>
      <c r="O353">
        <f t="shared" si="127"/>
        <v>0.27761092648199998</v>
      </c>
      <c r="P353">
        <f t="shared" si="130"/>
        <v>0.85883289167510968</v>
      </c>
      <c r="Q353">
        <f t="shared" si="128"/>
        <v>0.85883289167510968</v>
      </c>
      <c r="R353">
        <f t="shared" si="129"/>
        <v>5.5425079999999998E-3</v>
      </c>
    </row>
    <row r="354" spans="1:18" x14ac:dyDescent="0.3">
      <c r="A354">
        <v>1</v>
      </c>
      <c r="B354">
        <v>10</v>
      </c>
      <c r="C354">
        <v>4</v>
      </c>
      <c r="D354" s="16">
        <v>2</v>
      </c>
      <c r="E354" s="11">
        <v>5.1409430829999998</v>
      </c>
      <c r="F354" s="9">
        <f t="shared" si="119"/>
        <v>3.8903367878426289</v>
      </c>
      <c r="G354" s="8">
        <v>5.8784999999999998</v>
      </c>
      <c r="H354" s="15">
        <v>1.385627E-3</v>
      </c>
      <c r="I354" s="17">
        <f t="shared" ref="I354:I359" si="137">F354/((E354*10^-4)/(G354*10^-2)*9.81)^(1/2)</f>
        <v>13.282033146257202</v>
      </c>
      <c r="J354" s="16">
        <v>4.5</v>
      </c>
      <c r="K354" s="9">
        <v>2.3199999999999998</v>
      </c>
      <c r="L354" s="14">
        <f t="shared" si="126"/>
        <v>12.483444422481787</v>
      </c>
      <c r="M354" s="6"/>
      <c r="N354" s="2">
        <f t="shared" ref="N354:N359" si="138">-(1.7*K354^2)/19.62</f>
        <v>-0.46636493374108046</v>
      </c>
      <c r="O354">
        <f t="shared" si="127"/>
        <v>0.59634939762799988</v>
      </c>
      <c r="P354">
        <f t="shared" si="130"/>
        <v>3.6898005716412117</v>
      </c>
      <c r="Q354">
        <f t="shared" si="128"/>
        <v>1.8449002858206058</v>
      </c>
      <c r="R354">
        <f t="shared" si="129"/>
        <v>5.5425079999999998E-3</v>
      </c>
    </row>
    <row r="355" spans="1:18" x14ac:dyDescent="0.3">
      <c r="A355">
        <v>1</v>
      </c>
      <c r="B355">
        <v>10</v>
      </c>
      <c r="C355">
        <v>4</v>
      </c>
      <c r="D355" s="16">
        <v>3</v>
      </c>
      <c r="E355" s="11">
        <v>5.1409430829999998</v>
      </c>
      <c r="F355" s="9">
        <f t="shared" si="119"/>
        <v>5.835505181763943</v>
      </c>
      <c r="G355" s="8">
        <v>5.8784999999999998</v>
      </c>
      <c r="H355" s="15">
        <v>1.385627E-3</v>
      </c>
      <c r="I355" s="17">
        <f t="shared" si="137"/>
        <v>19.923049719385801</v>
      </c>
      <c r="J355" s="16">
        <v>4.5</v>
      </c>
      <c r="K355" s="9">
        <v>7.27</v>
      </c>
      <c r="L355" s="14">
        <f t="shared" si="126"/>
        <v>3.1783750708084306</v>
      </c>
      <c r="M355" s="6"/>
      <c r="N355" s="2">
        <f t="shared" si="138"/>
        <v>-4.579507135575942</v>
      </c>
      <c r="O355">
        <f t="shared" si="127"/>
        <v>1.2458218737803333</v>
      </c>
      <c r="P355">
        <f t="shared" si="130"/>
        <v>11.562435411996383</v>
      </c>
      <c r="Q355">
        <f t="shared" si="128"/>
        <v>3.8541451373321274</v>
      </c>
      <c r="R355">
        <f t="shared" si="129"/>
        <v>5.5425079999999998E-3</v>
      </c>
    </row>
    <row r="356" spans="1:18" x14ac:dyDescent="0.3">
      <c r="A356">
        <v>1</v>
      </c>
      <c r="B356">
        <v>10</v>
      </c>
      <c r="C356">
        <v>4</v>
      </c>
      <c r="D356" s="16">
        <v>4</v>
      </c>
      <c r="E356" s="11">
        <v>5.1409430829999998</v>
      </c>
      <c r="F356" s="9">
        <f t="shared" si="119"/>
        <v>7.7806735756852579</v>
      </c>
      <c r="G356" s="8">
        <v>5.8784999999999998</v>
      </c>
      <c r="H356" s="15">
        <v>1.385627E-3</v>
      </c>
      <c r="I356" s="17">
        <f t="shared" si="137"/>
        <v>26.564066292514404</v>
      </c>
      <c r="J356" s="16">
        <v>4.5</v>
      </c>
      <c r="K356" s="9">
        <v>13.03</v>
      </c>
      <c r="L356" s="14">
        <f t="shared" si="126"/>
        <v>-1.4956340135230084</v>
      </c>
      <c r="M356" s="6"/>
      <c r="N356" s="2">
        <f t="shared" si="138"/>
        <v>-14.710883282364929</v>
      </c>
      <c r="O356">
        <f t="shared" si="127"/>
        <v>1.6746622092872498</v>
      </c>
      <c r="P356">
        <f t="shared" si="130"/>
        <v>20.723319589864222</v>
      </c>
      <c r="Q356">
        <f t="shared" si="128"/>
        <v>5.1808298974660554</v>
      </c>
      <c r="R356">
        <f t="shared" si="129"/>
        <v>5.5425079999999998E-3</v>
      </c>
    </row>
    <row r="357" spans="1:18" x14ac:dyDescent="0.3">
      <c r="A357">
        <v>1</v>
      </c>
      <c r="B357">
        <v>10</v>
      </c>
      <c r="C357">
        <v>4</v>
      </c>
      <c r="D357" s="16">
        <v>5</v>
      </c>
      <c r="E357" s="11">
        <v>5.1409430829999998</v>
      </c>
      <c r="F357" s="9">
        <f t="shared" ref="F357:F420" si="139">(D357*10^-3)/(E357*10^-4)</f>
        <v>9.7258419696065719</v>
      </c>
      <c r="G357" s="8">
        <v>5.8784999999999998</v>
      </c>
      <c r="H357" s="15">
        <v>1.385627E-3</v>
      </c>
      <c r="I357" s="17">
        <f t="shared" si="137"/>
        <v>33.205082865643007</v>
      </c>
      <c r="J357" s="16">
        <v>4.5</v>
      </c>
      <c r="K357" s="9">
        <v>19.239999999999998</v>
      </c>
      <c r="L357" s="14">
        <f t="shared" si="126"/>
        <v>-4.5587194562076627</v>
      </c>
      <c r="M357" s="6"/>
      <c r="N357" s="2">
        <f t="shared" si="138"/>
        <v>-32.074511722731899</v>
      </c>
      <c r="O357">
        <f t="shared" si="127"/>
        <v>1.9782348983383997</v>
      </c>
      <c r="P357">
        <f t="shared" si="130"/>
        <v>30.59989784412798</v>
      </c>
      <c r="Q357">
        <f t="shared" si="128"/>
        <v>6.1199795688255962</v>
      </c>
      <c r="R357">
        <f t="shared" si="129"/>
        <v>5.5425079999999998E-3</v>
      </c>
    </row>
    <row r="358" spans="1:18" x14ac:dyDescent="0.3">
      <c r="A358">
        <v>1</v>
      </c>
      <c r="B358">
        <v>10</v>
      </c>
      <c r="C358">
        <v>4</v>
      </c>
      <c r="D358" s="16">
        <v>6</v>
      </c>
      <c r="E358" s="11">
        <v>5.1409430829999998</v>
      </c>
      <c r="F358" s="9">
        <f t="shared" si="139"/>
        <v>11.671010363527886</v>
      </c>
      <c r="G358" s="8">
        <v>5.8784999999999998</v>
      </c>
      <c r="H358" s="15">
        <v>1.385627E-3</v>
      </c>
      <c r="I358" s="17">
        <f t="shared" si="137"/>
        <v>39.846099438771603</v>
      </c>
      <c r="J358" s="16">
        <v>4.5</v>
      </c>
      <c r="K358" s="9">
        <v>24.18</v>
      </c>
      <c r="L358" s="14">
        <f t="shared" si="126"/>
        <v>-5.8427799201905941</v>
      </c>
      <c r="M358" s="6"/>
      <c r="N358" s="2">
        <f t="shared" si="138"/>
        <v>-50.659688073394491</v>
      </c>
      <c r="O358">
        <f t="shared" si="127"/>
        <v>2.0718000624489998</v>
      </c>
      <c r="P358">
        <f t="shared" si="130"/>
        <v>38.456628371674356</v>
      </c>
      <c r="Q358">
        <f t="shared" si="128"/>
        <v>6.4094380619457256</v>
      </c>
      <c r="R358">
        <f t="shared" si="129"/>
        <v>5.5425079999999998E-3</v>
      </c>
    </row>
    <row r="359" spans="1:18" x14ac:dyDescent="0.3">
      <c r="A359">
        <v>1</v>
      </c>
      <c r="B359">
        <v>10</v>
      </c>
      <c r="C359">
        <v>4</v>
      </c>
      <c r="D359" s="16">
        <v>7.2</v>
      </c>
      <c r="E359" s="11">
        <v>5.1409430829999998</v>
      </c>
      <c r="F359" s="9">
        <f t="shared" si="139"/>
        <v>14.005212436233464</v>
      </c>
      <c r="G359" s="8">
        <v>5.8784999999999998</v>
      </c>
      <c r="H359" s="15">
        <v>1.385627E-3</v>
      </c>
      <c r="I359" s="17">
        <f t="shared" si="137"/>
        <v>47.81531932652593</v>
      </c>
      <c r="J359" s="16">
        <v>4.5</v>
      </c>
      <c r="K359" s="9">
        <v>29.58</v>
      </c>
      <c r="L359" s="14">
        <f t="shared" si="126"/>
        <v>-6.573555014195767</v>
      </c>
      <c r="M359" s="6"/>
      <c r="N359" s="2">
        <f t="shared" si="138"/>
        <v>-75.813449541284399</v>
      </c>
      <c r="O359">
        <f t="shared" si="127"/>
        <v>2.1120707832658332</v>
      </c>
      <c r="P359">
        <f t="shared" si="130"/>
        <v>47.044957288425451</v>
      </c>
      <c r="Q359">
        <f t="shared" si="128"/>
        <v>6.5340218456146459</v>
      </c>
      <c r="R359">
        <f t="shared" si="129"/>
        <v>5.5425079999999998E-3</v>
      </c>
    </row>
    <row r="360" spans="1:18" x14ac:dyDescent="0.3">
      <c r="A360">
        <v>1</v>
      </c>
      <c r="B360">
        <v>10</v>
      </c>
      <c r="C360">
        <v>6</v>
      </c>
      <c r="D360" s="16">
        <v>1</v>
      </c>
      <c r="E360" s="11">
        <v>5.1409430829999998</v>
      </c>
      <c r="F360" s="9">
        <f t="shared" si="139"/>
        <v>1.9451683939213145</v>
      </c>
      <c r="G360" s="8">
        <v>5.8784999999999998</v>
      </c>
      <c r="H360" s="15">
        <v>9.2375200000000001E-4</v>
      </c>
      <c r="I360" s="17">
        <f>F360/((E360*10^-4)/(G360*10^-2)*9.81)^(1/2)</f>
        <v>6.6410165731286011</v>
      </c>
      <c r="J360" s="16">
        <v>4.5</v>
      </c>
      <c r="K360" s="9">
        <v>0.6</v>
      </c>
      <c r="L360" s="14">
        <f t="shared" si="126"/>
        <v>52.190332107286046</v>
      </c>
      <c r="M360" s="6"/>
      <c r="N360" s="2">
        <f>-(1.7*K360^2)/19.62</f>
        <v>-3.1192660550458714E-2</v>
      </c>
      <c r="O360">
        <f t="shared" si="127"/>
        <v>0.30845658497999995</v>
      </c>
      <c r="P360">
        <f t="shared" si="130"/>
        <v>0.9542587685278997</v>
      </c>
      <c r="Q360">
        <f t="shared" si="128"/>
        <v>0.9542587685278997</v>
      </c>
      <c r="R360">
        <f t="shared" si="129"/>
        <v>5.5425120000000003E-3</v>
      </c>
    </row>
    <row r="361" spans="1:18" x14ac:dyDescent="0.3">
      <c r="A361">
        <v>1</v>
      </c>
      <c r="B361">
        <v>10</v>
      </c>
      <c r="C361">
        <v>6</v>
      </c>
      <c r="D361" s="16">
        <v>2</v>
      </c>
      <c r="E361" s="11">
        <v>5.1409430829999998</v>
      </c>
      <c r="F361" s="9">
        <f t="shared" si="139"/>
        <v>3.8903367878426289</v>
      </c>
      <c r="G361" s="8">
        <v>5.8784999999999998</v>
      </c>
      <c r="H361" s="15">
        <v>9.2375200000000001E-4</v>
      </c>
      <c r="I361" s="17">
        <f t="shared" ref="I361:I366" si="140">F361/((E361*10^-4)/(G361*10^-2)*9.81)^(1/2)</f>
        <v>13.282033146257202</v>
      </c>
      <c r="J361" s="16">
        <v>4.5</v>
      </c>
      <c r="K361" s="9">
        <v>2.19</v>
      </c>
      <c r="L361" s="14">
        <f t="shared" si="126"/>
        <v>12.54930028098059</v>
      </c>
      <c r="M361" s="6"/>
      <c r="N361" s="2">
        <f t="shared" ref="N361:N366" si="141">-(1.7*K361^2)/19.62</f>
        <v>-0.41556422018348627</v>
      </c>
      <c r="O361">
        <f t="shared" si="127"/>
        <v>0.56293326758849993</v>
      </c>
      <c r="P361">
        <f t="shared" si="130"/>
        <v>3.4830445051268342</v>
      </c>
      <c r="Q361">
        <f t="shared" si="128"/>
        <v>1.7415222525634171</v>
      </c>
      <c r="R361">
        <f t="shared" si="129"/>
        <v>5.5425120000000003E-3</v>
      </c>
    </row>
    <row r="362" spans="1:18" x14ac:dyDescent="0.3">
      <c r="A362">
        <v>1</v>
      </c>
      <c r="B362">
        <v>10</v>
      </c>
      <c r="C362">
        <v>6</v>
      </c>
      <c r="D362" s="16">
        <v>3</v>
      </c>
      <c r="E362" s="11">
        <v>5.1409430829999998</v>
      </c>
      <c r="F362" s="9">
        <f t="shared" si="139"/>
        <v>5.835505181763943</v>
      </c>
      <c r="G362" s="8">
        <v>5.8784999999999998</v>
      </c>
      <c r="H362" s="15">
        <v>9.2375200000000001E-4</v>
      </c>
      <c r="I362" s="17">
        <f t="shared" si="140"/>
        <v>19.923049719385801</v>
      </c>
      <c r="J362" s="16">
        <v>4.5</v>
      </c>
      <c r="K362" s="9">
        <v>6.1</v>
      </c>
      <c r="L362" s="14">
        <f t="shared" si="126"/>
        <v>3.9592999738053063</v>
      </c>
      <c r="M362" s="6"/>
      <c r="N362" s="2">
        <f t="shared" si="141"/>
        <v>-3.2241080530071349</v>
      </c>
      <c r="O362">
        <f t="shared" si="127"/>
        <v>1.0453250935433334</v>
      </c>
      <c r="P362">
        <f t="shared" si="130"/>
        <v>9.7016308133669789</v>
      </c>
      <c r="Q362">
        <f t="shared" si="128"/>
        <v>3.2338769377889931</v>
      </c>
      <c r="R362">
        <f t="shared" si="129"/>
        <v>5.5425120000000003E-3</v>
      </c>
    </row>
    <row r="363" spans="1:18" x14ac:dyDescent="0.3">
      <c r="A363">
        <v>1</v>
      </c>
      <c r="B363">
        <v>10</v>
      </c>
      <c r="C363">
        <v>6</v>
      </c>
      <c r="D363" s="16">
        <v>4</v>
      </c>
      <c r="E363" s="11">
        <v>5.1409430829999998</v>
      </c>
      <c r="F363" s="9">
        <f t="shared" si="139"/>
        <v>7.7806735756852579</v>
      </c>
      <c r="G363" s="8">
        <v>5.8784999999999998</v>
      </c>
      <c r="H363" s="15">
        <v>9.2375200000000001E-4</v>
      </c>
      <c r="I363" s="17">
        <f t="shared" si="140"/>
        <v>26.564066292514404</v>
      </c>
      <c r="J363" s="16">
        <v>4.5</v>
      </c>
      <c r="K363" s="9">
        <v>14.3</v>
      </c>
      <c r="L363" s="14">
        <f t="shared" si="126"/>
        <v>-2.4703046506630213</v>
      </c>
      <c r="M363" s="6"/>
      <c r="N363" s="2">
        <f t="shared" si="141"/>
        <v>-17.718297655453618</v>
      </c>
      <c r="O363">
        <f t="shared" si="127"/>
        <v>1.8378871521725</v>
      </c>
      <c r="P363">
        <f t="shared" si="130"/>
        <v>22.743167316581612</v>
      </c>
      <c r="Q363">
        <f t="shared" si="128"/>
        <v>5.685791829145403</v>
      </c>
      <c r="R363">
        <f t="shared" si="129"/>
        <v>5.5425120000000003E-3</v>
      </c>
    </row>
    <row r="364" spans="1:18" x14ac:dyDescent="0.3">
      <c r="A364">
        <v>1</v>
      </c>
      <c r="B364">
        <v>10</v>
      </c>
      <c r="C364">
        <v>6</v>
      </c>
      <c r="D364" s="16">
        <v>5</v>
      </c>
      <c r="E364" s="11">
        <v>5.1409430829999998</v>
      </c>
      <c r="F364" s="9">
        <f t="shared" si="139"/>
        <v>9.7258419696065719</v>
      </c>
      <c r="G364" s="8">
        <v>5.8784999999999998</v>
      </c>
      <c r="H364" s="15">
        <v>9.2375200000000001E-4</v>
      </c>
      <c r="I364" s="17">
        <f t="shared" si="140"/>
        <v>33.205082865643007</v>
      </c>
      <c r="J364" s="16">
        <v>4.5</v>
      </c>
      <c r="K364" s="9">
        <v>19.87</v>
      </c>
      <c r="L364" s="14">
        <f t="shared" si="126"/>
        <v>-5.0015350125602547</v>
      </c>
      <c r="M364" s="6"/>
      <c r="N364" s="2">
        <f t="shared" si="141"/>
        <v>-34.209415392456677</v>
      </c>
      <c r="O364">
        <f t="shared" si="127"/>
        <v>2.0430107811842002</v>
      </c>
      <c r="P364">
        <f t="shared" si="130"/>
        <v>31.601869551082281</v>
      </c>
      <c r="Q364">
        <f t="shared" si="128"/>
        <v>6.320373910216456</v>
      </c>
      <c r="R364">
        <f t="shared" si="129"/>
        <v>5.5425120000000003E-3</v>
      </c>
    </row>
    <row r="365" spans="1:18" x14ac:dyDescent="0.3">
      <c r="A365">
        <v>1</v>
      </c>
      <c r="B365">
        <v>10</v>
      </c>
      <c r="C365">
        <v>6</v>
      </c>
      <c r="D365" s="16">
        <v>6</v>
      </c>
      <c r="E365" s="11">
        <v>5.1409430829999998</v>
      </c>
      <c r="F365" s="9">
        <f t="shared" si="139"/>
        <v>11.671010363527886</v>
      </c>
      <c r="G365" s="8">
        <v>5.8784999999999998</v>
      </c>
      <c r="H365" s="15">
        <v>9.2375200000000001E-4</v>
      </c>
      <c r="I365" s="17">
        <f t="shared" si="140"/>
        <v>39.846099438771603</v>
      </c>
      <c r="J365" s="16">
        <v>4.5</v>
      </c>
      <c r="K365" s="9">
        <v>24.58</v>
      </c>
      <c r="L365" s="14">
        <f t="shared" si="126"/>
        <v>-6.0861996075256002</v>
      </c>
      <c r="M365" s="6"/>
      <c r="N365" s="2">
        <f t="shared" si="141"/>
        <v>-52.349637104994898</v>
      </c>
      <c r="O365">
        <f t="shared" si="127"/>
        <v>2.1060730163356665</v>
      </c>
      <c r="P365">
        <f t="shared" si="130"/>
        <v>39.092800884026289</v>
      </c>
      <c r="Q365">
        <f t="shared" si="128"/>
        <v>6.5154668140043812</v>
      </c>
      <c r="R365">
        <f t="shared" si="129"/>
        <v>5.5425120000000003E-3</v>
      </c>
    </row>
    <row r="366" spans="1:18" x14ac:dyDescent="0.3">
      <c r="A366">
        <v>1</v>
      </c>
      <c r="B366">
        <v>10</v>
      </c>
      <c r="C366">
        <v>6</v>
      </c>
      <c r="D366" s="16">
        <v>7</v>
      </c>
      <c r="E366" s="11">
        <v>5.1409430829999998</v>
      </c>
      <c r="F366" s="9">
        <f t="shared" si="139"/>
        <v>13.6161787574492</v>
      </c>
      <c r="G366" s="8">
        <v>5.8784999999999998</v>
      </c>
      <c r="H366" s="15">
        <v>9.2375200000000001E-4</v>
      </c>
      <c r="I366" s="17">
        <f t="shared" si="140"/>
        <v>46.487116011900206</v>
      </c>
      <c r="J366" s="16">
        <v>4.5</v>
      </c>
      <c r="K366" s="9">
        <v>28.59</v>
      </c>
      <c r="L366" s="14">
        <f t="shared" si="126"/>
        <v>-6.4265057610708851</v>
      </c>
      <c r="M366" s="6"/>
      <c r="N366" s="2">
        <f t="shared" si="141"/>
        <v>-70.823637614678901</v>
      </c>
      <c r="O366">
        <f t="shared" si="127"/>
        <v>2.0997080391852858</v>
      </c>
      <c r="P366">
        <f t="shared" si="130"/>
        <v>45.470430320354417</v>
      </c>
      <c r="Q366">
        <f t="shared" si="128"/>
        <v>6.4957757600506314</v>
      </c>
      <c r="R366">
        <f t="shared" si="129"/>
        <v>5.5425120000000003E-3</v>
      </c>
    </row>
    <row r="367" spans="1:18" x14ac:dyDescent="0.3">
      <c r="A367">
        <v>1</v>
      </c>
      <c r="B367">
        <v>15</v>
      </c>
      <c r="C367">
        <v>1</v>
      </c>
      <c r="D367" s="16">
        <v>1.4</v>
      </c>
      <c r="E367" s="11">
        <v>7.7104226310000001</v>
      </c>
      <c r="F367" s="9">
        <f t="shared" si="139"/>
        <v>1.8157240750607566</v>
      </c>
      <c r="G367" s="8">
        <v>6.5609999999999999</v>
      </c>
      <c r="H367" s="15">
        <v>6.6530699999999996E-3</v>
      </c>
      <c r="I367" s="17">
        <f>F367/((E367*10^-4)/(G367*10^-2)*9.81)^(1/2)</f>
        <v>5.3476290687550607</v>
      </c>
      <c r="J367" s="16">
        <v>4.5</v>
      </c>
      <c r="K367" s="9">
        <v>0</v>
      </c>
      <c r="L367" s="14">
        <f t="shared" si="126"/>
        <v>60.082589341705983</v>
      </c>
      <c r="M367" s="6"/>
      <c r="N367" s="2">
        <f>-(1.7*K367^2)/19.62</f>
        <v>0</v>
      </c>
      <c r="O367">
        <f t="shared" si="127"/>
        <v>0</v>
      </c>
      <c r="P367">
        <f t="shared" si="130"/>
        <v>0</v>
      </c>
      <c r="Q367">
        <f t="shared" si="128"/>
        <v>0</v>
      </c>
      <c r="R367">
        <f t="shared" si="129"/>
        <v>6.6530699999999996E-3</v>
      </c>
    </row>
    <row r="368" spans="1:18" x14ac:dyDescent="0.3">
      <c r="A368">
        <v>1</v>
      </c>
      <c r="B368">
        <v>15</v>
      </c>
      <c r="C368">
        <v>1</v>
      </c>
      <c r="D368" s="16">
        <v>2.8</v>
      </c>
      <c r="E368" s="11">
        <v>7.7104226310000001</v>
      </c>
      <c r="F368" s="9">
        <f t="shared" si="139"/>
        <v>3.6314481501215132</v>
      </c>
      <c r="G368" s="8">
        <v>6.5609999999999999</v>
      </c>
      <c r="H368" s="15">
        <v>6.6530699999999996E-3</v>
      </c>
      <c r="I368" s="17">
        <f t="shared" ref="I368:I373" si="142">F368/((E368*10^-4)/(G368*10^-2)*9.81)^(1/2)</f>
        <v>10.695258137510121</v>
      </c>
      <c r="J368" s="16">
        <v>4.5</v>
      </c>
      <c r="K368" s="9">
        <v>1.58</v>
      </c>
      <c r="L368" s="14">
        <f t="shared" si="126"/>
        <v>14.698834471772468</v>
      </c>
      <c r="M368" s="6"/>
      <c r="N368" s="2">
        <f t="shared" ref="N368:N373" si="143">-(1.7*K368^2)/19.62</f>
        <v>-0.21630377166156986</v>
      </c>
      <c r="O368">
        <f t="shared" si="127"/>
        <v>0.43508813417785713</v>
      </c>
      <c r="P368">
        <f t="shared" si="130"/>
        <v>2.512881423790136</v>
      </c>
      <c r="Q368">
        <f t="shared" si="128"/>
        <v>0.8974576513536201</v>
      </c>
      <c r="R368">
        <f t="shared" si="129"/>
        <v>6.6530699999999996E-3</v>
      </c>
    </row>
    <row r="369" spans="1:18" x14ac:dyDescent="0.3">
      <c r="A369">
        <v>1</v>
      </c>
      <c r="B369">
        <v>15</v>
      </c>
      <c r="C369">
        <v>1</v>
      </c>
      <c r="D369" s="16">
        <v>4.2</v>
      </c>
      <c r="E369" s="11">
        <v>7.7104226310000001</v>
      </c>
      <c r="F369" s="9">
        <f t="shared" si="139"/>
        <v>5.4471722251822703</v>
      </c>
      <c r="G369" s="8">
        <v>6.5609999999999999</v>
      </c>
      <c r="H369" s="15">
        <v>6.6530699999999996E-3</v>
      </c>
      <c r="I369" s="17">
        <f t="shared" si="142"/>
        <v>16.042887206265185</v>
      </c>
      <c r="J369" s="16">
        <v>4.5</v>
      </c>
      <c r="K369" s="9">
        <v>5.92</v>
      </c>
      <c r="L369" s="14">
        <f t="shared" si="126"/>
        <v>4.6679060804704013</v>
      </c>
      <c r="M369" s="6"/>
      <c r="N369" s="2">
        <f t="shared" si="143"/>
        <v>-3.0366401630988786</v>
      </c>
      <c r="O369">
        <f t="shared" si="127"/>
        <v>1.0868024279885713</v>
      </c>
      <c r="P369">
        <f t="shared" si="130"/>
        <v>9.4153531828086106</v>
      </c>
      <c r="Q369">
        <f t="shared" si="128"/>
        <v>2.2417507578115741</v>
      </c>
      <c r="R369">
        <f t="shared" si="129"/>
        <v>6.6530699999999996E-3</v>
      </c>
    </row>
    <row r="370" spans="1:18" x14ac:dyDescent="0.3">
      <c r="A370">
        <v>1</v>
      </c>
      <c r="B370">
        <v>15</v>
      </c>
      <c r="C370">
        <v>1</v>
      </c>
      <c r="D370" s="16">
        <v>5.6</v>
      </c>
      <c r="E370" s="11">
        <v>7.7104226310000001</v>
      </c>
      <c r="F370" s="9">
        <f t="shared" si="139"/>
        <v>7.2628963002430265</v>
      </c>
      <c r="G370" s="8">
        <v>6.5609999999999999</v>
      </c>
      <c r="H370" s="15">
        <v>6.6530699999999996E-3</v>
      </c>
      <c r="I370" s="17">
        <f t="shared" si="142"/>
        <v>21.390516275020243</v>
      </c>
      <c r="J370" s="16">
        <v>4.5</v>
      </c>
      <c r="K370" s="9">
        <v>10.93</v>
      </c>
      <c r="L370" s="14">
        <f t="shared" si="126"/>
        <v>-9.4916436366698623E-2</v>
      </c>
      <c r="M370" s="6"/>
      <c r="N370" s="2">
        <f t="shared" si="143"/>
        <v>-10.351189092762487</v>
      </c>
      <c r="O370">
        <f t="shared" si="127"/>
        <v>1.504909274229107</v>
      </c>
      <c r="P370">
        <f t="shared" si="130"/>
        <v>17.383413900016571</v>
      </c>
      <c r="Q370">
        <f t="shared" si="128"/>
        <v>3.1041810535743877</v>
      </c>
      <c r="R370">
        <f t="shared" si="129"/>
        <v>6.6530699999999996E-3</v>
      </c>
    </row>
    <row r="371" spans="1:18" x14ac:dyDescent="0.3">
      <c r="A371">
        <v>1</v>
      </c>
      <c r="B371">
        <v>15</v>
      </c>
      <c r="C371">
        <v>1</v>
      </c>
      <c r="D371" s="16">
        <v>7</v>
      </c>
      <c r="E371" s="11">
        <v>7.7104226310000001</v>
      </c>
      <c r="F371" s="9">
        <f t="shared" si="139"/>
        <v>9.0786203753037835</v>
      </c>
      <c r="G371" s="8">
        <v>6.5609999999999999</v>
      </c>
      <c r="H371" s="15">
        <v>6.6530699999999996E-3</v>
      </c>
      <c r="I371" s="17">
        <f t="shared" si="142"/>
        <v>26.738145343775308</v>
      </c>
      <c r="J371" s="16">
        <v>4.5</v>
      </c>
      <c r="K371" s="9">
        <v>14.87</v>
      </c>
      <c r="L371" s="14">
        <f t="shared" si="126"/>
        <v>-2.1573926475335665</v>
      </c>
      <c r="M371" s="6"/>
      <c r="N371" s="2">
        <f t="shared" si="143"/>
        <v>-19.158956676860342</v>
      </c>
      <c r="O371">
        <f t="shared" si="127"/>
        <v>1.637914064613857</v>
      </c>
      <c r="P371">
        <f t="shared" si="130"/>
        <v>23.649713146683112</v>
      </c>
      <c r="Q371">
        <f t="shared" si="128"/>
        <v>3.378530449526159</v>
      </c>
      <c r="R371">
        <f t="shared" si="129"/>
        <v>6.6530699999999996E-3</v>
      </c>
    </row>
    <row r="372" spans="1:18" x14ac:dyDescent="0.3">
      <c r="A372">
        <v>1</v>
      </c>
      <c r="B372">
        <v>15</v>
      </c>
      <c r="C372">
        <v>1</v>
      </c>
      <c r="D372" s="16">
        <v>8.4</v>
      </c>
      <c r="E372" s="11">
        <v>7.7104226310000001</v>
      </c>
      <c r="F372" s="9">
        <f t="shared" si="139"/>
        <v>10.894344450364541</v>
      </c>
      <c r="G372" s="8">
        <v>6.5609999999999999</v>
      </c>
      <c r="H372" s="15">
        <v>6.6530699999999996E-3</v>
      </c>
      <c r="I372" s="17">
        <f t="shared" si="142"/>
        <v>32.08577441253037</v>
      </c>
      <c r="J372" s="16">
        <v>4.5</v>
      </c>
      <c r="K372" s="9">
        <v>18.93</v>
      </c>
      <c r="L372" s="14">
        <f t="shared" si="126"/>
        <v>-3.463763572284416</v>
      </c>
      <c r="M372" s="6"/>
      <c r="N372" s="2">
        <f t="shared" si="143"/>
        <v>-31.049252293577979</v>
      </c>
      <c r="O372">
        <f t="shared" si="127"/>
        <v>1.7375988143432139</v>
      </c>
      <c r="P372">
        <f t="shared" si="130"/>
        <v>30.106864147055234</v>
      </c>
      <c r="Q372">
        <f t="shared" si="128"/>
        <v>3.5841504936970514</v>
      </c>
      <c r="R372">
        <f t="shared" si="129"/>
        <v>6.6530699999999996E-3</v>
      </c>
    </row>
    <row r="373" spans="1:18" x14ac:dyDescent="0.3">
      <c r="A373">
        <v>1</v>
      </c>
      <c r="B373">
        <v>15</v>
      </c>
      <c r="C373">
        <v>1</v>
      </c>
      <c r="D373" s="16">
        <v>9.9</v>
      </c>
      <c r="E373" s="11">
        <v>7.7104226310000001</v>
      </c>
      <c r="F373" s="9">
        <f t="shared" si="139"/>
        <v>12.83976310221535</v>
      </c>
      <c r="G373" s="8">
        <v>6.5609999999999999</v>
      </c>
      <c r="H373" s="15">
        <v>6.6530699999999996E-3</v>
      </c>
      <c r="I373" s="17">
        <f t="shared" si="142"/>
        <v>37.815376986196505</v>
      </c>
      <c r="J373" s="16">
        <v>4.5</v>
      </c>
      <c r="K373" s="9">
        <v>23.04</v>
      </c>
      <c r="L373" s="14">
        <f t="shared" si="126"/>
        <v>-4.2724085018788314</v>
      </c>
      <c r="M373" s="6"/>
      <c r="N373" s="2">
        <f t="shared" si="143"/>
        <v>-45.995449541284401</v>
      </c>
      <c r="O373">
        <f t="shared" si="127"/>
        <v>1.7944256304872725</v>
      </c>
      <c r="P373">
        <f t="shared" si="130"/>
        <v>36.643536711471349</v>
      </c>
      <c r="Q373">
        <f t="shared" si="128"/>
        <v>3.7013673445930655</v>
      </c>
      <c r="R373">
        <f t="shared" si="129"/>
        <v>6.6530699999999996E-3</v>
      </c>
    </row>
    <row r="374" spans="1:18" x14ac:dyDescent="0.3">
      <c r="A374">
        <v>1</v>
      </c>
      <c r="B374">
        <v>15</v>
      </c>
      <c r="C374">
        <v>2</v>
      </c>
      <c r="D374" s="16">
        <v>1.4</v>
      </c>
      <c r="E374" s="11">
        <v>7.7104226310000001</v>
      </c>
      <c r="F374" s="9">
        <f t="shared" si="139"/>
        <v>1.8157240750607566</v>
      </c>
      <c r="G374" s="8">
        <v>6.5609999999999999</v>
      </c>
      <c r="H374" s="15">
        <v>3.3265349999999998E-3</v>
      </c>
      <c r="I374" s="17">
        <f>F374/((E374*10^-4)/(G374*10^-2)*9.81)^(1/2)</f>
        <v>5.3476290687550607</v>
      </c>
      <c r="J374" s="16">
        <v>4.5</v>
      </c>
      <c r="K374" s="9">
        <v>0.43</v>
      </c>
      <c r="L374" s="14">
        <f t="shared" si="126"/>
        <v>59.987246931051232</v>
      </c>
      <c r="M374" s="6"/>
      <c r="N374" s="2">
        <f>-(1.7*K374^2)/19.62</f>
        <v>-1.6020897043832819E-2</v>
      </c>
      <c r="O374">
        <f t="shared" si="127"/>
        <v>0.23682012366642857</v>
      </c>
      <c r="P374">
        <f t="shared" si="130"/>
        <v>0.68388545077832807</v>
      </c>
      <c r="Q374">
        <f t="shared" si="128"/>
        <v>0.48848960769880578</v>
      </c>
      <c r="R374">
        <f t="shared" si="129"/>
        <v>6.6530699999999996E-3</v>
      </c>
    </row>
    <row r="375" spans="1:18" x14ac:dyDescent="0.3">
      <c r="A375">
        <v>1</v>
      </c>
      <c r="B375">
        <v>15</v>
      </c>
      <c r="C375">
        <v>2</v>
      </c>
      <c r="D375" s="16">
        <v>2.8</v>
      </c>
      <c r="E375" s="11">
        <v>7.7104226310000001</v>
      </c>
      <c r="F375" s="9">
        <f t="shared" si="139"/>
        <v>3.6314481501215132</v>
      </c>
      <c r="G375" s="8">
        <v>6.5609999999999999</v>
      </c>
      <c r="H375" s="15">
        <v>3.3265349999999998E-3</v>
      </c>
      <c r="I375" s="17">
        <f t="shared" ref="I375:I380" si="144">F375/((E375*10^-4)/(G375*10^-2)*9.81)^(1/2)</f>
        <v>10.695258137510121</v>
      </c>
      <c r="J375" s="16">
        <v>4.5</v>
      </c>
      <c r="K375" s="9">
        <v>2.25</v>
      </c>
      <c r="L375" s="14">
        <f t="shared" si="126"/>
        <v>14.368036526962904</v>
      </c>
      <c r="M375" s="6"/>
      <c r="N375" s="2">
        <f t="shared" ref="N375:N380" si="145">-(1.7*K375^2)/19.62</f>
        <v>-0.43864678899082565</v>
      </c>
      <c r="O375">
        <f t="shared" si="127"/>
        <v>0.61958753284821422</v>
      </c>
      <c r="P375">
        <f t="shared" si="130"/>
        <v>3.5784703819796233</v>
      </c>
      <c r="Q375">
        <f t="shared" si="128"/>
        <v>1.2780251364212942</v>
      </c>
      <c r="R375">
        <f t="shared" si="129"/>
        <v>6.6530699999999996E-3</v>
      </c>
    </row>
    <row r="376" spans="1:18" x14ac:dyDescent="0.3">
      <c r="A376">
        <v>1</v>
      </c>
      <c r="B376">
        <v>15</v>
      </c>
      <c r="C376">
        <v>2</v>
      </c>
      <c r="D376" s="16">
        <v>4.2</v>
      </c>
      <c r="E376" s="11">
        <v>7.7104226310000001</v>
      </c>
      <c r="F376" s="9">
        <f t="shared" si="139"/>
        <v>5.4471722251822703</v>
      </c>
      <c r="G376" s="8">
        <v>6.5609999999999999</v>
      </c>
      <c r="H376" s="15">
        <v>3.3265349999999998E-3</v>
      </c>
      <c r="I376" s="17">
        <f t="shared" si="144"/>
        <v>16.042887206265185</v>
      </c>
      <c r="J376" s="16">
        <v>4.5</v>
      </c>
      <c r="K376" s="9">
        <v>8.08</v>
      </c>
      <c r="L376" s="14">
        <f t="shared" si="126"/>
        <v>2.9353452378529816</v>
      </c>
      <c r="M376" s="6"/>
      <c r="N376" s="2">
        <f t="shared" si="145"/>
        <v>-5.6568236493374107</v>
      </c>
      <c r="O376">
        <f t="shared" si="127"/>
        <v>1.4833384490114283</v>
      </c>
      <c r="P376">
        <f t="shared" si="130"/>
        <v>12.850684749509048</v>
      </c>
      <c r="Q376">
        <f t="shared" si="128"/>
        <v>3.0596868451212016</v>
      </c>
      <c r="R376">
        <f t="shared" si="129"/>
        <v>6.6530699999999996E-3</v>
      </c>
    </row>
    <row r="377" spans="1:18" x14ac:dyDescent="0.3">
      <c r="A377">
        <v>1</v>
      </c>
      <c r="B377">
        <v>15</v>
      </c>
      <c r="C377">
        <v>2</v>
      </c>
      <c r="D377" s="16">
        <v>5.6</v>
      </c>
      <c r="E377" s="11">
        <v>7.7104226310000001</v>
      </c>
      <c r="F377" s="9">
        <f t="shared" si="139"/>
        <v>7.2628963002430265</v>
      </c>
      <c r="G377" s="8">
        <v>6.5609999999999999</v>
      </c>
      <c r="H377" s="15">
        <v>3.3265349999999998E-3</v>
      </c>
      <c r="I377" s="17">
        <f t="shared" si="144"/>
        <v>21.390516275020243</v>
      </c>
      <c r="J377" s="16">
        <v>4.5</v>
      </c>
      <c r="K377" s="9">
        <v>15.53</v>
      </c>
      <c r="L377" s="14">
        <f t="shared" si="126"/>
        <v>-4.0175424691052006</v>
      </c>
      <c r="M377" s="6"/>
      <c r="N377" s="2">
        <f t="shared" si="145"/>
        <v>-20.897427624872577</v>
      </c>
      <c r="O377">
        <f t="shared" si="127"/>
        <v>2.1382654189183925</v>
      </c>
      <c r="P377">
        <f t="shared" si="130"/>
        <v>24.699397792063799</v>
      </c>
      <c r="Q377">
        <f t="shared" si="128"/>
        <v>4.4106067485828211</v>
      </c>
      <c r="R377">
        <f t="shared" si="129"/>
        <v>6.6530699999999996E-3</v>
      </c>
    </row>
    <row r="378" spans="1:18" x14ac:dyDescent="0.3">
      <c r="A378">
        <v>1</v>
      </c>
      <c r="B378">
        <v>15</v>
      </c>
      <c r="C378">
        <v>2</v>
      </c>
      <c r="D378" s="16">
        <v>7</v>
      </c>
      <c r="E378" s="11">
        <v>7.7104226310000001</v>
      </c>
      <c r="F378" s="9">
        <f t="shared" si="139"/>
        <v>9.0786203753037835</v>
      </c>
      <c r="G378" s="8">
        <v>6.5609999999999999</v>
      </c>
      <c r="H378" s="15">
        <v>3.3265349999999998E-3</v>
      </c>
      <c r="I378" s="17">
        <f t="shared" si="144"/>
        <v>26.738145343775308</v>
      </c>
      <c r="J378" s="16">
        <v>4.5</v>
      </c>
      <c r="K378" s="9">
        <v>22.61</v>
      </c>
      <c r="L378" s="14">
        <f t="shared" si="126"/>
        <v>-8.1408162683820056</v>
      </c>
      <c r="M378" s="6"/>
      <c r="N378" s="2">
        <f t="shared" si="145"/>
        <v>-44.294626401630978</v>
      </c>
      <c r="O378">
        <f t="shared" si="127"/>
        <v>2.4904665098129999</v>
      </c>
      <c r="P378">
        <f t="shared" si="130"/>
        <v>35.959651260693022</v>
      </c>
      <c r="Q378">
        <f t="shared" si="128"/>
        <v>5.1370930372418604</v>
      </c>
      <c r="R378">
        <f t="shared" si="129"/>
        <v>6.6530699999999996E-3</v>
      </c>
    </row>
    <row r="379" spans="1:18" x14ac:dyDescent="0.3">
      <c r="A379">
        <v>1</v>
      </c>
      <c r="B379">
        <v>15</v>
      </c>
      <c r="C379">
        <v>2</v>
      </c>
      <c r="D379" s="16">
        <v>8.4</v>
      </c>
      <c r="E379" s="11">
        <v>7.7104226310000001</v>
      </c>
      <c r="F379" s="9">
        <f t="shared" si="139"/>
        <v>10.894344450364541</v>
      </c>
      <c r="G379" s="8">
        <v>6.5609999999999999</v>
      </c>
      <c r="H379" s="15">
        <v>3.3265349999999998E-3</v>
      </c>
      <c r="I379" s="17">
        <f t="shared" si="144"/>
        <v>32.08577441253037</v>
      </c>
      <c r="J379" s="16">
        <v>4.5</v>
      </c>
      <c r="K379" s="9">
        <v>26.39</v>
      </c>
      <c r="L379" s="14">
        <f t="shared" si="126"/>
        <v>-8.3063284210787618</v>
      </c>
      <c r="M379" s="6"/>
      <c r="N379" s="2">
        <f t="shared" si="145"/>
        <v>-60.34325025484199</v>
      </c>
      <c r="O379">
        <f t="shared" si="127"/>
        <v>2.4223577765725</v>
      </c>
      <c r="P379">
        <f t="shared" si="130"/>
        <v>41.97148150241879</v>
      </c>
      <c r="Q379">
        <f t="shared" si="128"/>
        <v>4.9966049407641417</v>
      </c>
      <c r="R379">
        <f t="shared" si="129"/>
        <v>6.6530699999999996E-3</v>
      </c>
    </row>
    <row r="380" spans="1:18" x14ac:dyDescent="0.3">
      <c r="A380">
        <v>1</v>
      </c>
      <c r="B380">
        <v>15</v>
      </c>
      <c r="C380">
        <v>2</v>
      </c>
      <c r="D380" s="16">
        <v>9.9</v>
      </c>
      <c r="E380" s="11">
        <v>7.7104226310000001</v>
      </c>
      <c r="F380" s="9">
        <f t="shared" si="139"/>
        <v>12.83976310221535</v>
      </c>
      <c r="G380" s="8">
        <v>6.5609999999999999</v>
      </c>
      <c r="H380" s="15">
        <v>3.3265349999999998E-3</v>
      </c>
      <c r="I380" s="17">
        <f t="shared" si="144"/>
        <v>37.815376986196505</v>
      </c>
      <c r="J380" s="16">
        <v>4.5</v>
      </c>
      <c r="K380" s="9">
        <v>31.68</v>
      </c>
      <c r="L380" s="14">
        <f t="shared" si="126"/>
        <v>-9.1476342514191522</v>
      </c>
      <c r="M380" s="6"/>
      <c r="N380" s="2">
        <f t="shared" si="145"/>
        <v>-86.960146788990812</v>
      </c>
      <c r="O380">
        <f t="shared" si="127"/>
        <v>2.4673352419199999</v>
      </c>
      <c r="P380">
        <f t="shared" si="130"/>
        <v>50.384862978273105</v>
      </c>
      <c r="Q380">
        <f t="shared" si="128"/>
        <v>5.0893800988154654</v>
      </c>
      <c r="R380">
        <f t="shared" si="129"/>
        <v>6.6530699999999996E-3</v>
      </c>
    </row>
    <row r="381" spans="1:18" x14ac:dyDescent="0.3">
      <c r="A381">
        <v>1</v>
      </c>
      <c r="B381">
        <v>15</v>
      </c>
      <c r="C381">
        <v>4</v>
      </c>
      <c r="D381" s="16">
        <v>1.4</v>
      </c>
      <c r="E381" s="11">
        <v>7.7104226310000001</v>
      </c>
      <c r="F381" s="9">
        <f t="shared" si="139"/>
        <v>1.8157240750607566</v>
      </c>
      <c r="G381" s="8">
        <v>6.5609999999999999</v>
      </c>
      <c r="H381" s="15">
        <v>1.6632680000000001E-3</v>
      </c>
      <c r="I381" s="17">
        <f>F381/((E381*10^-4)/(G381*10^-2)*9.81)^(1/2)</f>
        <v>5.3476290687550607</v>
      </c>
      <c r="J381" s="16">
        <v>4.5</v>
      </c>
      <c r="K381" s="9">
        <v>0.66</v>
      </c>
      <c r="L381" s="14">
        <f t="shared" si="126"/>
        <v>59.857975203895222</v>
      </c>
      <c r="M381" s="6"/>
      <c r="N381" s="2">
        <f>-(1.7*K381^2)/19.62</f>
        <v>-3.7743119266055045E-2</v>
      </c>
      <c r="O381">
        <f t="shared" si="127"/>
        <v>0.36349135260428572</v>
      </c>
      <c r="P381">
        <f t="shared" si="130"/>
        <v>1.0496846453806898</v>
      </c>
      <c r="Q381">
        <f t="shared" si="128"/>
        <v>0.74977474670049282</v>
      </c>
      <c r="R381">
        <f t="shared" si="129"/>
        <v>6.6530720000000003E-3</v>
      </c>
    </row>
    <row r="382" spans="1:18" x14ac:dyDescent="0.3">
      <c r="A382">
        <v>1</v>
      </c>
      <c r="B382">
        <v>15</v>
      </c>
      <c r="C382">
        <v>4</v>
      </c>
      <c r="D382" s="16">
        <v>2.8</v>
      </c>
      <c r="E382" s="11">
        <v>7.7104226310000001</v>
      </c>
      <c r="F382" s="9">
        <f t="shared" si="139"/>
        <v>3.6314481501215132</v>
      </c>
      <c r="G382" s="8">
        <v>6.5609999999999999</v>
      </c>
      <c r="H382" s="15">
        <v>1.6632680000000001E-3</v>
      </c>
      <c r="I382" s="17">
        <f t="shared" ref="I382:I387" si="146">F382/((E382*10^-4)/(G382*10^-2)*9.81)^(1/2)</f>
        <v>10.695258137510121</v>
      </c>
      <c r="J382" s="16">
        <v>4.5</v>
      </c>
      <c r="K382" s="9">
        <v>2.58</v>
      </c>
      <c r="L382" s="14">
        <f t="shared" si="126"/>
        <v>14.162565639533742</v>
      </c>
      <c r="M382" s="6"/>
      <c r="N382" s="2">
        <f t="shared" ref="N382:N387" si="147">-(1.7*K382^2)/19.62</f>
        <v>-0.57675229357798163</v>
      </c>
      <c r="O382">
        <f t="shared" si="127"/>
        <v>0.71046037099928572</v>
      </c>
      <c r="P382">
        <f t="shared" si="130"/>
        <v>4.1033127046699693</v>
      </c>
      <c r="Q382">
        <f t="shared" si="128"/>
        <v>1.4654688230964177</v>
      </c>
      <c r="R382">
        <f t="shared" si="129"/>
        <v>6.6530720000000003E-3</v>
      </c>
    </row>
    <row r="383" spans="1:18" x14ac:dyDescent="0.3">
      <c r="A383">
        <v>1</v>
      </c>
      <c r="B383">
        <v>15</v>
      </c>
      <c r="C383">
        <v>4</v>
      </c>
      <c r="D383" s="16">
        <v>4.2</v>
      </c>
      <c r="E383" s="11">
        <v>7.7104226310000001</v>
      </c>
      <c r="F383" s="9">
        <f t="shared" si="139"/>
        <v>5.4471722251822703</v>
      </c>
      <c r="G383" s="8">
        <v>6.5609999999999999</v>
      </c>
      <c r="H383" s="15">
        <v>1.6632680000000001E-3</v>
      </c>
      <c r="I383" s="17">
        <f t="shared" si="146"/>
        <v>16.042887206265185</v>
      </c>
      <c r="J383" s="16">
        <v>4.5</v>
      </c>
      <c r="K383" s="9">
        <v>8.0500000000000007</v>
      </c>
      <c r="L383" s="14">
        <f t="shared" si="126"/>
        <v>2.9630696489555794</v>
      </c>
      <c r="M383" s="6"/>
      <c r="N383" s="2">
        <f t="shared" si="147"/>
        <v>-5.6148955147808364</v>
      </c>
      <c r="O383">
        <f t="shared" si="127"/>
        <v>1.477831004275</v>
      </c>
      <c r="P383">
        <f t="shared" si="130"/>
        <v>12.802971811082653</v>
      </c>
      <c r="Q383">
        <f t="shared" si="128"/>
        <v>3.0483266216863458</v>
      </c>
      <c r="R383">
        <f t="shared" si="129"/>
        <v>6.6530720000000003E-3</v>
      </c>
    </row>
    <row r="384" spans="1:18" x14ac:dyDescent="0.3">
      <c r="A384">
        <v>1</v>
      </c>
      <c r="B384">
        <v>15</v>
      </c>
      <c r="C384">
        <v>4</v>
      </c>
      <c r="D384" s="16">
        <v>5.6</v>
      </c>
      <c r="E384" s="11">
        <v>7.7104226310000001</v>
      </c>
      <c r="F384" s="9">
        <f t="shared" si="139"/>
        <v>7.2628963002430265</v>
      </c>
      <c r="G384" s="8">
        <v>6.5609999999999999</v>
      </c>
      <c r="H384" s="15">
        <v>1.6632680000000001E-3</v>
      </c>
      <c r="I384" s="17">
        <f t="shared" si="146"/>
        <v>21.390516275020243</v>
      </c>
      <c r="J384" s="16">
        <v>4.5</v>
      </c>
      <c r="K384" s="9">
        <v>16.28</v>
      </c>
      <c r="L384" s="14">
        <f t="shared" si="126"/>
        <v>-4.7864146845580491</v>
      </c>
      <c r="M384" s="6"/>
      <c r="N384" s="2">
        <f t="shared" si="147"/>
        <v>-22.964591233435272</v>
      </c>
      <c r="O384">
        <f t="shared" si="127"/>
        <v>2.2415300077264289</v>
      </c>
      <c r="P384">
        <f t="shared" si="130"/>
        <v>25.892221252723679</v>
      </c>
      <c r="Q384">
        <f t="shared" si="128"/>
        <v>4.6236109379863715</v>
      </c>
      <c r="R384">
        <f t="shared" si="129"/>
        <v>6.6530720000000003E-3</v>
      </c>
    </row>
    <row r="385" spans="1:18" x14ac:dyDescent="0.3">
      <c r="A385">
        <v>1</v>
      </c>
      <c r="B385">
        <v>15</v>
      </c>
      <c r="C385">
        <v>4</v>
      </c>
      <c r="D385" s="16">
        <v>7</v>
      </c>
      <c r="E385" s="11">
        <v>7.7104226310000001</v>
      </c>
      <c r="F385" s="9">
        <f t="shared" si="139"/>
        <v>9.0786203753037835</v>
      </c>
      <c r="G385" s="8">
        <v>6.5609999999999999</v>
      </c>
      <c r="H385" s="15">
        <v>1.6632680000000001E-3</v>
      </c>
      <c r="I385" s="17">
        <f t="shared" si="146"/>
        <v>26.738145343775308</v>
      </c>
      <c r="J385" s="16">
        <v>4.5</v>
      </c>
      <c r="K385" s="9">
        <v>21.82</v>
      </c>
      <c r="L385" s="14">
        <f t="shared" si="126"/>
        <v>-7.416859532577023</v>
      </c>
      <c r="M385" s="6"/>
      <c r="N385" s="2">
        <f t="shared" si="147"/>
        <v>-41.253367991845053</v>
      </c>
      <c r="O385">
        <f t="shared" si="127"/>
        <v>2.4034488829774285</v>
      </c>
      <c r="P385">
        <f t="shared" si="130"/>
        <v>34.703210548797955</v>
      </c>
      <c r="Q385">
        <f t="shared" si="128"/>
        <v>4.9576015069711366</v>
      </c>
      <c r="R385">
        <f t="shared" si="129"/>
        <v>6.6530720000000003E-3</v>
      </c>
    </row>
    <row r="386" spans="1:18" x14ac:dyDescent="0.3">
      <c r="A386">
        <v>1</v>
      </c>
      <c r="B386">
        <v>15</v>
      </c>
      <c r="C386">
        <v>4</v>
      </c>
      <c r="D386" s="16">
        <v>8.4</v>
      </c>
      <c r="E386" s="11">
        <v>7.7104226310000001</v>
      </c>
      <c r="F386" s="9">
        <f t="shared" si="139"/>
        <v>10.894344450364541</v>
      </c>
      <c r="G386" s="8">
        <v>6.5609999999999999</v>
      </c>
      <c r="H386" s="15">
        <v>1.6632680000000001E-3</v>
      </c>
      <c r="I386" s="17">
        <f t="shared" si="146"/>
        <v>32.08577441253037</v>
      </c>
      <c r="J386" s="16">
        <v>4.5</v>
      </c>
      <c r="K386" s="9">
        <v>27.43</v>
      </c>
      <c r="L386" s="14">
        <f t="shared" si="126"/>
        <v>-9.1080503252756557</v>
      </c>
      <c r="M386" s="6"/>
      <c r="N386" s="2">
        <f t="shared" si="147"/>
        <v>-65.193085117227312</v>
      </c>
      <c r="O386">
        <f t="shared" si="127"/>
        <v>2.5178201520039281</v>
      </c>
      <c r="P386">
        <f t="shared" si="130"/>
        <v>43.62553003453381</v>
      </c>
      <c r="Q386">
        <f t="shared" si="128"/>
        <v>5.1935154803016434</v>
      </c>
      <c r="R386">
        <f t="shared" si="129"/>
        <v>6.6530720000000003E-3</v>
      </c>
    </row>
    <row r="387" spans="1:18" x14ac:dyDescent="0.3">
      <c r="A387">
        <v>1</v>
      </c>
      <c r="B387">
        <v>15</v>
      </c>
      <c r="C387">
        <v>4</v>
      </c>
      <c r="D387" s="16">
        <v>9.9</v>
      </c>
      <c r="E387" s="11">
        <v>7.7104226310000001</v>
      </c>
      <c r="F387" s="9">
        <f t="shared" si="139"/>
        <v>12.83976310221535</v>
      </c>
      <c r="G387" s="8">
        <v>6.5609999999999999</v>
      </c>
      <c r="H387" s="15">
        <v>1.6632680000000001E-3</v>
      </c>
      <c r="I387" s="17">
        <f t="shared" si="146"/>
        <v>37.815376986196505</v>
      </c>
      <c r="J387" s="16">
        <v>4.5</v>
      </c>
      <c r="K387" s="9">
        <v>34.71</v>
      </c>
      <c r="L387" s="14">
        <f t="shared" ref="L387:L450" si="148">(10.33+N387-0.234)/((F387^2)/19.62)</f>
        <v>-11.221975467604974</v>
      </c>
      <c r="M387" s="6"/>
      <c r="N387" s="2">
        <f t="shared" si="147"/>
        <v>-104.39005963302752</v>
      </c>
      <c r="O387">
        <f t="shared" si="127"/>
        <v>2.7033209042627271</v>
      </c>
      <c r="P387">
        <f t="shared" si="130"/>
        <v>55.203869759339</v>
      </c>
      <c r="Q387">
        <f t="shared" si="128"/>
        <v>5.5761484605392928</v>
      </c>
      <c r="R387">
        <f t="shared" si="129"/>
        <v>6.6530720000000003E-3</v>
      </c>
    </row>
    <row r="388" spans="1:18" x14ac:dyDescent="0.3">
      <c r="A388">
        <v>1</v>
      </c>
      <c r="B388">
        <v>15</v>
      </c>
      <c r="C388">
        <v>6</v>
      </c>
      <c r="D388" s="16">
        <v>1.4</v>
      </c>
      <c r="E388" s="11">
        <v>7.7104226310000001</v>
      </c>
      <c r="F388" s="9">
        <f t="shared" si="139"/>
        <v>1.8157240750607566</v>
      </c>
      <c r="G388" s="8">
        <v>6.5609999999999999</v>
      </c>
      <c r="H388" s="15">
        <v>1.108845E-3</v>
      </c>
      <c r="I388" s="17">
        <f>F388/((E388*10^-4)/(G388*10^-2)*9.81)^(1/2)</f>
        <v>5.3476290687550607</v>
      </c>
      <c r="J388" s="16">
        <v>4.5</v>
      </c>
      <c r="K388" s="9">
        <v>0.5</v>
      </c>
      <c r="L388" s="14">
        <f t="shared" si="148"/>
        <v>59.953678564725521</v>
      </c>
      <c r="M388" s="6"/>
      <c r="N388" s="2">
        <f>-(1.7*K388^2)/19.62</f>
        <v>-2.1661569826707441E-2</v>
      </c>
      <c r="O388">
        <f t="shared" ref="O388:O451" si="149">K388/F388</f>
        <v>0.27537223682142858</v>
      </c>
      <c r="P388">
        <f t="shared" si="130"/>
        <v>0.79521564043991633</v>
      </c>
      <c r="Q388">
        <f t="shared" ref="Q388:Q451" si="150">P388/D388</f>
        <v>0.56801117174279736</v>
      </c>
      <c r="R388">
        <f t="shared" ref="R388:R451" si="151">H388*C388</f>
        <v>6.6530700000000005E-3</v>
      </c>
    </row>
    <row r="389" spans="1:18" x14ac:dyDescent="0.3">
      <c r="A389">
        <v>1</v>
      </c>
      <c r="B389">
        <v>15</v>
      </c>
      <c r="C389">
        <v>6</v>
      </c>
      <c r="D389" s="16">
        <v>2.8</v>
      </c>
      <c r="E389" s="11">
        <v>7.7104226310000001</v>
      </c>
      <c r="F389" s="9">
        <f t="shared" si="139"/>
        <v>3.6314481501215132</v>
      </c>
      <c r="G389" s="8">
        <v>6.5609999999999999</v>
      </c>
      <c r="H389" s="15">
        <v>1.108845E-3</v>
      </c>
      <c r="I389" s="17">
        <f t="shared" ref="I389:I394" si="152">F389/((E389*10^-4)/(G389*10^-2)*9.81)^(1/2)</f>
        <v>10.695258137510121</v>
      </c>
      <c r="J389" s="16">
        <v>4.5</v>
      </c>
      <c r="K389" s="9">
        <v>2.72</v>
      </c>
      <c r="L389" s="14">
        <f t="shared" si="148"/>
        <v>14.066913843014239</v>
      </c>
      <c r="M389" s="6"/>
      <c r="N389" s="2">
        <f t="shared" ref="N389:N394" si="153">-(1.7*K389^2)/19.62</f>
        <v>-0.64104383282364941</v>
      </c>
      <c r="O389">
        <f t="shared" si="149"/>
        <v>0.74901248415428578</v>
      </c>
      <c r="P389">
        <f t="shared" ref="P389:P452" si="154">K389*PI()*(J389^2)/40</f>
        <v>4.3259730839931461</v>
      </c>
      <c r="Q389">
        <f t="shared" si="150"/>
        <v>1.5449903871404094</v>
      </c>
      <c r="R389">
        <f t="shared" si="151"/>
        <v>6.6530700000000005E-3</v>
      </c>
    </row>
    <row r="390" spans="1:18" x14ac:dyDescent="0.3">
      <c r="A390">
        <v>1</v>
      </c>
      <c r="B390">
        <v>15</v>
      </c>
      <c r="C390">
        <v>6</v>
      </c>
      <c r="D390" s="16">
        <v>4.2</v>
      </c>
      <c r="E390" s="11">
        <v>7.7104226310000001</v>
      </c>
      <c r="F390" s="9">
        <f t="shared" si="139"/>
        <v>5.4471722251822703</v>
      </c>
      <c r="G390" s="8">
        <v>6.5609999999999999</v>
      </c>
      <c r="H390" s="15">
        <v>1.108845E-3</v>
      </c>
      <c r="I390" s="17">
        <f t="shared" si="152"/>
        <v>16.042887206265185</v>
      </c>
      <c r="J390" s="16">
        <v>4.5</v>
      </c>
      <c r="K390" s="9">
        <v>9</v>
      </c>
      <c r="L390" s="14">
        <f t="shared" si="148"/>
        <v>2.035055288892893</v>
      </c>
      <c r="M390" s="6"/>
      <c r="N390" s="2">
        <f t="shared" si="153"/>
        <v>-7.0183486238532105</v>
      </c>
      <c r="O390">
        <f t="shared" si="149"/>
        <v>1.6522334209285712</v>
      </c>
      <c r="P390">
        <f t="shared" si="154"/>
        <v>14.313881527918493</v>
      </c>
      <c r="Q390">
        <f t="shared" si="150"/>
        <v>3.4080670304567842</v>
      </c>
      <c r="R390">
        <f t="shared" si="151"/>
        <v>6.6530700000000005E-3</v>
      </c>
    </row>
    <row r="391" spans="1:18" x14ac:dyDescent="0.3">
      <c r="A391">
        <v>1</v>
      </c>
      <c r="B391">
        <v>15</v>
      </c>
      <c r="C391">
        <v>6</v>
      </c>
      <c r="D391" s="16">
        <v>5.6</v>
      </c>
      <c r="E391" s="11">
        <v>7.7104226310000001</v>
      </c>
      <c r="F391" s="9">
        <f t="shared" si="139"/>
        <v>7.2628963002430265</v>
      </c>
      <c r="G391" s="8">
        <v>6.5609999999999999</v>
      </c>
      <c r="H391" s="15">
        <v>1.108845E-3</v>
      </c>
      <c r="I391" s="17">
        <f t="shared" si="152"/>
        <v>21.390516275020243</v>
      </c>
      <c r="J391" s="16">
        <v>4.5</v>
      </c>
      <c r="K391" s="9">
        <v>15.3</v>
      </c>
      <c r="L391" s="14">
        <f t="shared" si="148"/>
        <v>-3.7890191119825096</v>
      </c>
      <c r="M391" s="6"/>
      <c r="N391" s="2">
        <f t="shared" si="153"/>
        <v>-20.283027522935779</v>
      </c>
      <c r="O391">
        <f t="shared" si="149"/>
        <v>2.1065976116839287</v>
      </c>
      <c r="P391">
        <f t="shared" si="154"/>
        <v>24.333598597461442</v>
      </c>
      <c r="Q391">
        <f t="shared" si="150"/>
        <v>4.3452854638324006</v>
      </c>
      <c r="R391">
        <f t="shared" si="151"/>
        <v>6.6530700000000005E-3</v>
      </c>
    </row>
    <row r="392" spans="1:18" x14ac:dyDescent="0.3">
      <c r="A392">
        <v>1</v>
      </c>
      <c r="B392">
        <v>15</v>
      </c>
      <c r="C392">
        <v>6</v>
      </c>
      <c r="D392" s="16">
        <v>7</v>
      </c>
      <c r="E392" s="11">
        <v>7.7104226310000001</v>
      </c>
      <c r="F392" s="9">
        <f t="shared" si="139"/>
        <v>9.0786203753037835</v>
      </c>
      <c r="G392" s="8">
        <v>6.5609999999999999</v>
      </c>
      <c r="H392" s="15">
        <v>1.108845E-3</v>
      </c>
      <c r="I392" s="17">
        <f t="shared" si="152"/>
        <v>26.738145343775308</v>
      </c>
      <c r="J392" s="16">
        <v>4.5</v>
      </c>
      <c r="K392" s="9">
        <v>19.88</v>
      </c>
      <c r="L392" s="14">
        <f t="shared" si="148"/>
        <v>-5.7482796867905464</v>
      </c>
      <c r="M392" s="6"/>
      <c r="N392" s="2">
        <f t="shared" si="153"/>
        <v>-34.243857288481138</v>
      </c>
      <c r="O392">
        <f t="shared" si="149"/>
        <v>2.1897600272039996</v>
      </c>
      <c r="P392">
        <f t="shared" si="154"/>
        <v>31.617773863891074</v>
      </c>
      <c r="Q392">
        <f t="shared" si="150"/>
        <v>4.5168248376987252</v>
      </c>
      <c r="R392">
        <f t="shared" si="151"/>
        <v>6.6530700000000005E-3</v>
      </c>
    </row>
    <row r="393" spans="1:18" x14ac:dyDescent="0.3">
      <c r="A393">
        <v>1</v>
      </c>
      <c r="B393">
        <v>15</v>
      </c>
      <c r="C393">
        <v>6</v>
      </c>
      <c r="D393" s="16">
        <v>8.4</v>
      </c>
      <c r="E393" s="11">
        <v>7.7104226310000001</v>
      </c>
      <c r="F393" s="9">
        <f t="shared" si="139"/>
        <v>10.894344450364541</v>
      </c>
      <c r="G393" s="8">
        <v>6.5609999999999999</v>
      </c>
      <c r="H393" s="15">
        <v>1.108845E-3</v>
      </c>
      <c r="I393" s="17">
        <f t="shared" si="152"/>
        <v>32.08577441253037</v>
      </c>
      <c r="J393" s="16">
        <v>4.5</v>
      </c>
      <c r="K393" s="9">
        <v>23.66</v>
      </c>
      <c r="L393" s="14">
        <f t="shared" si="148"/>
        <v>-6.3492264900908735</v>
      </c>
      <c r="M393" s="6"/>
      <c r="N393" s="2">
        <f t="shared" si="153"/>
        <v>-48.504205912334349</v>
      </c>
      <c r="O393">
        <f t="shared" si="149"/>
        <v>2.1717690410649997</v>
      </c>
      <c r="P393">
        <f t="shared" si="154"/>
        <v>37.629604105616849</v>
      </c>
      <c r="Q393">
        <f t="shared" si="150"/>
        <v>4.4797147744781958</v>
      </c>
      <c r="R393">
        <f t="shared" si="151"/>
        <v>6.6530700000000005E-3</v>
      </c>
    </row>
    <row r="394" spans="1:18" x14ac:dyDescent="0.3">
      <c r="A394">
        <v>1</v>
      </c>
      <c r="B394">
        <v>15</v>
      </c>
      <c r="C394">
        <v>6</v>
      </c>
      <c r="D394" s="16">
        <v>9.9</v>
      </c>
      <c r="E394" s="11">
        <v>7.7104226310000001</v>
      </c>
      <c r="F394" s="9">
        <f t="shared" si="139"/>
        <v>12.83976310221535</v>
      </c>
      <c r="G394" s="8">
        <v>6.5609999999999999</v>
      </c>
      <c r="H394" s="15">
        <v>1.108845E-3</v>
      </c>
      <c r="I394" s="17">
        <f t="shared" si="152"/>
        <v>37.815376986196505</v>
      </c>
      <c r="J394" s="16">
        <v>4.5</v>
      </c>
      <c r="K394" s="9">
        <v>25.91</v>
      </c>
      <c r="L394" s="14">
        <f t="shared" si="148"/>
        <v>-5.7210785880219168</v>
      </c>
      <c r="M394" s="6"/>
      <c r="N394" s="2">
        <f t="shared" si="153"/>
        <v>-58.16808205912335</v>
      </c>
      <c r="O394">
        <f t="shared" si="149"/>
        <v>2.017950003729394</v>
      </c>
      <c r="P394">
        <f t="shared" si="154"/>
        <v>41.20807448759647</v>
      </c>
      <c r="Q394">
        <f t="shared" si="150"/>
        <v>4.1624317664238859</v>
      </c>
      <c r="R394">
        <f t="shared" si="151"/>
        <v>6.6530700000000005E-3</v>
      </c>
    </row>
    <row r="395" spans="1:18" x14ac:dyDescent="0.3">
      <c r="A395">
        <v>1</v>
      </c>
      <c r="B395">
        <v>20</v>
      </c>
      <c r="C395">
        <v>1</v>
      </c>
      <c r="D395" s="16">
        <v>1.8</v>
      </c>
      <c r="E395" s="11">
        <v>7.7104226310000001</v>
      </c>
      <c r="F395" s="9">
        <f t="shared" si="139"/>
        <v>2.3345023822209727</v>
      </c>
      <c r="G395" s="8">
        <v>7.0444000000000004</v>
      </c>
      <c r="H395" s="15">
        <v>7.5770359999999997E-3</v>
      </c>
      <c r="I395" s="17">
        <f>F395/((E395*10^-4)/(G395*10^-2)*9.81)^(1/2)</f>
        <v>7.1243087117233248</v>
      </c>
      <c r="J395" s="16">
        <v>3</v>
      </c>
      <c r="K395" s="9">
        <v>0.5</v>
      </c>
      <c r="L395" s="14">
        <f t="shared" si="148"/>
        <v>36.268274687303098</v>
      </c>
      <c r="M395" s="6"/>
      <c r="N395" s="2">
        <f>-(1.7*K395^2)/19.62</f>
        <v>-2.1661569826707441E-2</v>
      </c>
      <c r="O395">
        <f t="shared" si="149"/>
        <v>0.21417840641666666</v>
      </c>
      <c r="P395">
        <f t="shared" si="154"/>
        <v>0.35342917352885173</v>
      </c>
      <c r="Q395">
        <f t="shared" si="150"/>
        <v>0.19634954084936207</v>
      </c>
      <c r="R395">
        <f t="shared" si="151"/>
        <v>7.5770359999999997E-3</v>
      </c>
    </row>
    <row r="396" spans="1:18" x14ac:dyDescent="0.3">
      <c r="A396">
        <v>1</v>
      </c>
      <c r="B396">
        <v>20</v>
      </c>
      <c r="C396">
        <v>1</v>
      </c>
      <c r="D396" s="16">
        <v>3.6</v>
      </c>
      <c r="E396" s="11">
        <v>7.7104226310000001</v>
      </c>
      <c r="F396" s="9">
        <f t="shared" si="139"/>
        <v>4.6690047644419455</v>
      </c>
      <c r="G396" s="8">
        <v>7.0444000000000004</v>
      </c>
      <c r="H396" s="15">
        <v>7.5770359999999997E-3</v>
      </c>
      <c r="I396" s="17">
        <f t="shared" ref="I396:I401" si="155">F396/((E396*10^-4)/(G396*10^-2)*9.81)^(1/2)</f>
        <v>14.24861742344665</v>
      </c>
      <c r="J396" s="16">
        <v>4.5</v>
      </c>
      <c r="K396" s="9">
        <v>1.85</v>
      </c>
      <c r="L396" s="14">
        <f t="shared" si="148"/>
        <v>8.8196674056707689</v>
      </c>
      <c r="M396" s="6"/>
      <c r="N396" s="2">
        <f t="shared" ref="N396:N401" si="156">-(1.7*K396^2)/19.62</f>
        <v>-0.29654689092762487</v>
      </c>
      <c r="O396">
        <f t="shared" si="149"/>
        <v>0.39623005187083332</v>
      </c>
      <c r="P396">
        <f t="shared" si="154"/>
        <v>2.9422978696276907</v>
      </c>
      <c r="Q396">
        <f t="shared" si="150"/>
        <v>0.81730496378546957</v>
      </c>
      <c r="R396">
        <f t="shared" si="151"/>
        <v>7.5770359999999997E-3</v>
      </c>
    </row>
    <row r="397" spans="1:18" x14ac:dyDescent="0.3">
      <c r="A397">
        <v>1</v>
      </c>
      <c r="B397">
        <v>20</v>
      </c>
      <c r="C397">
        <v>1</v>
      </c>
      <c r="D397" s="16">
        <v>5.4</v>
      </c>
      <c r="E397" s="11">
        <v>7.7104226310000001</v>
      </c>
      <c r="F397" s="9">
        <f t="shared" si="139"/>
        <v>7.0035071466629182</v>
      </c>
      <c r="G397" s="8">
        <v>7.0444000000000004</v>
      </c>
      <c r="H397" s="15">
        <v>7.5770359999999997E-3</v>
      </c>
      <c r="I397" s="17">
        <f t="shared" si="155"/>
        <v>21.372926135169976</v>
      </c>
      <c r="J397" s="16">
        <v>4.5</v>
      </c>
      <c r="K397" s="9">
        <v>5.85</v>
      </c>
      <c r="L397" s="14">
        <f t="shared" si="148"/>
        <v>2.852350700907643</v>
      </c>
      <c r="M397" s="6"/>
      <c r="N397" s="2">
        <f t="shared" si="156"/>
        <v>-2.965252293577981</v>
      </c>
      <c r="O397">
        <f t="shared" si="149"/>
        <v>0.8352957850249999</v>
      </c>
      <c r="P397">
        <f t="shared" si="154"/>
        <v>9.3040229931470204</v>
      </c>
      <c r="Q397">
        <f t="shared" si="150"/>
        <v>1.7229672209531519</v>
      </c>
      <c r="R397">
        <f t="shared" si="151"/>
        <v>7.5770359999999997E-3</v>
      </c>
    </row>
    <row r="398" spans="1:18" x14ac:dyDescent="0.3">
      <c r="A398">
        <v>1</v>
      </c>
      <c r="B398">
        <v>20</v>
      </c>
      <c r="C398">
        <v>1</v>
      </c>
      <c r="D398" s="16">
        <v>7.2</v>
      </c>
      <c r="E398" s="11">
        <v>7.7104226310000001</v>
      </c>
      <c r="F398" s="9">
        <f t="shared" si="139"/>
        <v>9.3380095288838909</v>
      </c>
      <c r="G398" s="8">
        <v>7.0444000000000004</v>
      </c>
      <c r="H398" s="15">
        <v>7.5770359999999997E-3</v>
      </c>
      <c r="I398" s="17">
        <f t="shared" si="155"/>
        <v>28.497234846893299</v>
      </c>
      <c r="J398" s="16">
        <v>4.5</v>
      </c>
      <c r="K398" s="9">
        <v>9.83</v>
      </c>
      <c r="L398" s="14">
        <f t="shared" si="148"/>
        <v>0.38778671952251154</v>
      </c>
      <c r="M398" s="6"/>
      <c r="N398" s="2">
        <f t="shared" si="156"/>
        <v>-8.3725346585117215</v>
      </c>
      <c r="O398">
        <f t="shared" si="149"/>
        <v>1.0526868675379166</v>
      </c>
      <c r="P398">
        <f t="shared" si="154"/>
        <v>15.633939491048755</v>
      </c>
      <c r="Q398">
        <f t="shared" si="150"/>
        <v>2.1713804848678828</v>
      </c>
      <c r="R398">
        <f t="shared" si="151"/>
        <v>7.5770359999999997E-3</v>
      </c>
    </row>
    <row r="399" spans="1:18" x14ac:dyDescent="0.3">
      <c r="A399">
        <v>1</v>
      </c>
      <c r="B399">
        <v>20</v>
      </c>
      <c r="C399">
        <v>1</v>
      </c>
      <c r="D399" s="16">
        <v>9</v>
      </c>
      <c r="E399" s="11">
        <v>7.7104226310000001</v>
      </c>
      <c r="F399" s="9">
        <f t="shared" si="139"/>
        <v>11.672511911104865</v>
      </c>
      <c r="G399" s="8">
        <v>7.0444000000000004</v>
      </c>
      <c r="H399" s="15">
        <v>7.5770359999999997E-3</v>
      </c>
      <c r="I399" s="17">
        <f t="shared" si="155"/>
        <v>35.621543558616629</v>
      </c>
      <c r="J399" s="16">
        <v>4.5</v>
      </c>
      <c r="K399" s="9">
        <v>13.62</v>
      </c>
      <c r="L399" s="14">
        <f t="shared" si="148"/>
        <v>-0.86074188857587142</v>
      </c>
      <c r="M399" s="6"/>
      <c r="N399" s="2">
        <f t="shared" si="156"/>
        <v>-16.073266055045867</v>
      </c>
      <c r="O399">
        <f t="shared" si="149"/>
        <v>1.1668439581579999</v>
      </c>
      <c r="P399">
        <f t="shared" si="154"/>
        <v>21.661674045583318</v>
      </c>
      <c r="Q399">
        <f t="shared" si="150"/>
        <v>2.40685267173148</v>
      </c>
      <c r="R399">
        <f t="shared" si="151"/>
        <v>7.5770359999999997E-3</v>
      </c>
    </row>
    <row r="400" spans="1:18" x14ac:dyDescent="0.3">
      <c r="A400">
        <v>1</v>
      </c>
      <c r="B400">
        <v>20</v>
      </c>
      <c r="C400">
        <v>1</v>
      </c>
      <c r="D400" s="16">
        <v>10.8</v>
      </c>
      <c r="E400" s="11">
        <v>7.7104226310000001</v>
      </c>
      <c r="F400" s="9">
        <f t="shared" si="139"/>
        <v>14.007014293325836</v>
      </c>
      <c r="G400" s="8">
        <v>7.0444000000000004</v>
      </c>
      <c r="H400" s="15">
        <v>7.5770359999999997E-3</v>
      </c>
      <c r="I400" s="17">
        <f t="shared" si="155"/>
        <v>42.745852270339952</v>
      </c>
      <c r="J400" s="16">
        <v>4.5</v>
      </c>
      <c r="K400" s="9">
        <v>16.920000000000002</v>
      </c>
      <c r="L400" s="14">
        <f t="shared" si="148"/>
        <v>-1.4709917578163796</v>
      </c>
      <c r="M400" s="6"/>
      <c r="N400" s="2">
        <f t="shared" si="156"/>
        <v>-24.805651376146791</v>
      </c>
      <c r="O400">
        <f t="shared" si="149"/>
        <v>1.2079662121900001</v>
      </c>
      <c r="P400">
        <f t="shared" si="154"/>
        <v>26.910097272486773</v>
      </c>
      <c r="Q400">
        <f t="shared" si="150"/>
        <v>2.4916756733784049</v>
      </c>
      <c r="R400">
        <f t="shared" si="151"/>
        <v>7.5770359999999997E-3</v>
      </c>
    </row>
    <row r="401" spans="1:18" x14ac:dyDescent="0.3">
      <c r="A401">
        <v>1</v>
      </c>
      <c r="B401">
        <v>20</v>
      </c>
      <c r="C401">
        <v>1</v>
      </c>
      <c r="D401" s="16">
        <v>12.8</v>
      </c>
      <c r="E401" s="11">
        <v>7.7104226310000001</v>
      </c>
      <c r="F401" s="9">
        <f t="shared" si="139"/>
        <v>16.600905829126919</v>
      </c>
      <c r="G401" s="8">
        <v>7.0444000000000004</v>
      </c>
      <c r="H401" s="15">
        <v>7.5770359999999997E-3</v>
      </c>
      <c r="I401" s="17">
        <f t="shared" si="155"/>
        <v>50.661750838921428</v>
      </c>
      <c r="J401" s="16">
        <v>4.5</v>
      </c>
      <c r="K401" s="9">
        <v>22.62</v>
      </c>
      <c r="L401" s="14">
        <f t="shared" si="148"/>
        <v>-2.4374824151064209</v>
      </c>
      <c r="M401" s="6"/>
      <c r="N401" s="2">
        <f t="shared" si="156"/>
        <v>-44.333816513761469</v>
      </c>
      <c r="O401">
        <f t="shared" si="149"/>
        <v>1.362576249322031</v>
      </c>
      <c r="P401">
        <f t="shared" si="154"/>
        <v>35.975555573501822</v>
      </c>
      <c r="Q401">
        <f t="shared" si="150"/>
        <v>2.8105902791798298</v>
      </c>
      <c r="R401">
        <f t="shared" si="151"/>
        <v>7.5770359999999997E-3</v>
      </c>
    </row>
    <row r="402" spans="1:18" x14ac:dyDescent="0.3">
      <c r="A402">
        <v>1</v>
      </c>
      <c r="B402">
        <v>20</v>
      </c>
      <c r="C402">
        <v>2</v>
      </c>
      <c r="D402" s="16">
        <v>1.8</v>
      </c>
      <c r="E402" s="11">
        <v>7.7104226310000001</v>
      </c>
      <c r="F402" s="9">
        <f t="shared" si="139"/>
        <v>2.3345023822209727</v>
      </c>
      <c r="G402" s="8">
        <v>7.0444000000000004</v>
      </c>
      <c r="H402" s="15">
        <v>3.7885179999999998E-3</v>
      </c>
      <c r="I402" s="17">
        <f>F402/((E402*10^-4)/(G402*10^-2)*9.81)^(1/2)</f>
        <v>7.1243087117233248</v>
      </c>
      <c r="J402" s="16">
        <v>4.5</v>
      </c>
      <c r="K402" s="9">
        <v>0.42</v>
      </c>
      <c r="L402" s="14">
        <f t="shared" si="148"/>
        <v>36.291232900937779</v>
      </c>
      <c r="M402" s="6"/>
      <c r="N402" s="2">
        <f>-(1.7*K402^2)/19.62</f>
        <v>-1.5284403669724765E-2</v>
      </c>
      <c r="O402">
        <f t="shared" si="149"/>
        <v>0.17990986138999998</v>
      </c>
      <c r="P402">
        <f t="shared" si="154"/>
        <v>0.66798113796952974</v>
      </c>
      <c r="Q402">
        <f t="shared" si="150"/>
        <v>0.37110063220529427</v>
      </c>
      <c r="R402">
        <f t="shared" si="151"/>
        <v>7.5770359999999997E-3</v>
      </c>
    </row>
    <row r="403" spans="1:18" x14ac:dyDescent="0.3">
      <c r="A403">
        <v>1</v>
      </c>
      <c r="B403">
        <v>20</v>
      </c>
      <c r="C403">
        <v>2</v>
      </c>
      <c r="D403" s="16">
        <v>3.6</v>
      </c>
      <c r="E403" s="11">
        <v>7.7104226310000001</v>
      </c>
      <c r="F403" s="9">
        <f t="shared" si="139"/>
        <v>4.6690047644419455</v>
      </c>
      <c r="G403" s="8">
        <v>7.0444000000000004</v>
      </c>
      <c r="H403" s="15">
        <v>3.7885179999999998E-3</v>
      </c>
      <c r="I403" s="17">
        <f t="shared" ref="I403:I408" si="157">F403/((E403*10^-4)/(G403*10^-2)*9.81)^(1/2)</f>
        <v>14.24861742344665</v>
      </c>
      <c r="J403" s="16">
        <v>4.5</v>
      </c>
      <c r="K403" s="9">
        <v>2.21</v>
      </c>
      <c r="L403" s="14">
        <f t="shared" si="148"/>
        <v>8.705687361348577</v>
      </c>
      <c r="M403" s="6"/>
      <c r="N403" s="2">
        <f t="shared" ref="N403:N408" si="158">-(1.7*K403^2)/19.62</f>
        <v>-0.42318909276248723</v>
      </c>
      <c r="O403">
        <f t="shared" si="149"/>
        <v>0.47333427818083335</v>
      </c>
      <c r="P403">
        <f t="shared" si="154"/>
        <v>3.51485313074443</v>
      </c>
      <c r="Q403">
        <f t="shared" si="150"/>
        <v>0.97634809187345273</v>
      </c>
      <c r="R403">
        <f t="shared" si="151"/>
        <v>7.5770359999999997E-3</v>
      </c>
    </row>
    <row r="404" spans="1:18" x14ac:dyDescent="0.3">
      <c r="A404">
        <v>1</v>
      </c>
      <c r="B404">
        <v>20</v>
      </c>
      <c r="C404">
        <v>2</v>
      </c>
      <c r="D404" s="16">
        <v>5.4</v>
      </c>
      <c r="E404" s="11">
        <v>7.7104226310000001</v>
      </c>
      <c r="F404" s="9">
        <f t="shared" si="139"/>
        <v>7.0035071466629182</v>
      </c>
      <c r="G404" s="8">
        <v>7.0444000000000004</v>
      </c>
      <c r="H404" s="15">
        <v>3.7885179999999998E-3</v>
      </c>
      <c r="I404" s="17">
        <f t="shared" si="157"/>
        <v>21.372926135169976</v>
      </c>
      <c r="J404" s="16">
        <v>4.5</v>
      </c>
      <c r="K404" s="9">
        <v>7.47</v>
      </c>
      <c r="L404" s="14">
        <f t="shared" si="148"/>
        <v>2.1044619371777897</v>
      </c>
      <c r="M404" s="6"/>
      <c r="N404" s="2">
        <f t="shared" si="158"/>
        <v>-4.8349403669724769</v>
      </c>
      <c r="O404">
        <f t="shared" si="149"/>
        <v>1.066608463955</v>
      </c>
      <c r="P404">
        <f t="shared" si="154"/>
        <v>11.880521668172351</v>
      </c>
      <c r="Q404">
        <f t="shared" si="150"/>
        <v>2.200096605217102</v>
      </c>
      <c r="R404">
        <f t="shared" si="151"/>
        <v>7.5770359999999997E-3</v>
      </c>
    </row>
    <row r="405" spans="1:18" x14ac:dyDescent="0.3">
      <c r="A405">
        <v>1</v>
      </c>
      <c r="B405">
        <v>20</v>
      </c>
      <c r="C405">
        <v>2</v>
      </c>
      <c r="D405" s="16">
        <v>7.2</v>
      </c>
      <c r="E405" s="11">
        <v>7.7104226310000001</v>
      </c>
      <c r="F405" s="9">
        <f t="shared" si="139"/>
        <v>9.3380095288838909</v>
      </c>
      <c r="G405" s="8">
        <v>7.0444000000000004</v>
      </c>
      <c r="H405" s="15">
        <v>3.7885179999999998E-3</v>
      </c>
      <c r="I405" s="17">
        <f t="shared" si="157"/>
        <v>28.497234846893299</v>
      </c>
      <c r="J405" s="16">
        <v>4.5</v>
      </c>
      <c r="K405" s="9">
        <v>12.04</v>
      </c>
      <c r="L405" s="14">
        <f t="shared" si="148"/>
        <v>-0.55449627312445415</v>
      </c>
      <c r="M405" s="6"/>
      <c r="N405" s="2">
        <f t="shared" si="158"/>
        <v>-12.56038328236493</v>
      </c>
      <c r="O405">
        <f t="shared" si="149"/>
        <v>1.2893540066283333</v>
      </c>
      <c r="P405">
        <f t="shared" si="154"/>
        <v>19.148792621793184</v>
      </c>
      <c r="Q405">
        <f t="shared" si="150"/>
        <v>2.6595545308046087</v>
      </c>
      <c r="R405">
        <f t="shared" si="151"/>
        <v>7.5770359999999997E-3</v>
      </c>
    </row>
    <row r="406" spans="1:18" x14ac:dyDescent="0.3">
      <c r="A406">
        <v>1</v>
      </c>
      <c r="B406">
        <v>20</v>
      </c>
      <c r="C406">
        <v>2</v>
      </c>
      <c r="D406" s="16">
        <v>9</v>
      </c>
      <c r="E406" s="11">
        <v>7.7104226310000001</v>
      </c>
      <c r="F406" s="9">
        <f t="shared" si="139"/>
        <v>11.672511911104865</v>
      </c>
      <c r="G406" s="8">
        <v>7.0444000000000004</v>
      </c>
      <c r="H406" s="15">
        <v>3.7885179999999998E-3</v>
      </c>
      <c r="I406" s="17">
        <f t="shared" si="157"/>
        <v>35.621543558616629</v>
      </c>
      <c r="J406" s="16">
        <v>4.5</v>
      </c>
      <c r="K406" s="9">
        <v>17.61</v>
      </c>
      <c r="L406" s="14">
        <f t="shared" si="148"/>
        <v>-2.4155083000576933</v>
      </c>
      <c r="M406" s="6"/>
      <c r="N406" s="2">
        <f t="shared" si="158"/>
        <v>-26.87005963302752</v>
      </c>
      <c r="O406">
        <f t="shared" si="149"/>
        <v>1.5086726947989999</v>
      </c>
      <c r="P406">
        <f t="shared" si="154"/>
        <v>28.007494856293857</v>
      </c>
      <c r="Q406">
        <f t="shared" si="150"/>
        <v>3.1119438729215396</v>
      </c>
      <c r="R406">
        <f t="shared" si="151"/>
        <v>7.5770359999999997E-3</v>
      </c>
    </row>
    <row r="407" spans="1:18" x14ac:dyDescent="0.3">
      <c r="A407">
        <v>1</v>
      </c>
      <c r="B407">
        <v>20</v>
      </c>
      <c r="C407">
        <v>2</v>
      </c>
      <c r="D407" s="16">
        <v>10.8</v>
      </c>
      <c r="E407" s="11">
        <v>7.7104226310000001</v>
      </c>
      <c r="F407" s="9">
        <f t="shared" si="139"/>
        <v>14.007014293325836</v>
      </c>
      <c r="G407" s="8">
        <v>7.0444000000000004</v>
      </c>
      <c r="H407" s="15">
        <v>3.7885179999999998E-3</v>
      </c>
      <c r="I407" s="17">
        <f t="shared" si="157"/>
        <v>42.745852270339952</v>
      </c>
      <c r="J407" s="16">
        <v>4.5</v>
      </c>
      <c r="K407" s="9">
        <v>25.91</v>
      </c>
      <c r="L407" s="14">
        <f t="shared" si="148"/>
        <v>-4.8072952024350846</v>
      </c>
      <c r="M407" s="6"/>
      <c r="N407" s="2">
        <f t="shared" si="158"/>
        <v>-58.16808205912335</v>
      </c>
      <c r="O407">
        <f t="shared" si="149"/>
        <v>1.8497875034186111</v>
      </c>
      <c r="P407">
        <f t="shared" si="154"/>
        <v>41.20807448759647</v>
      </c>
      <c r="Q407">
        <f t="shared" si="150"/>
        <v>3.8155624525552283</v>
      </c>
      <c r="R407">
        <f t="shared" si="151"/>
        <v>7.5770359999999997E-3</v>
      </c>
    </row>
    <row r="408" spans="1:18" x14ac:dyDescent="0.3">
      <c r="A408">
        <v>1</v>
      </c>
      <c r="B408">
        <v>20</v>
      </c>
      <c r="C408">
        <v>2</v>
      </c>
      <c r="D408" s="16">
        <v>12.9</v>
      </c>
      <c r="E408" s="11">
        <v>7.7104226310000001</v>
      </c>
      <c r="F408" s="9">
        <f t="shared" si="139"/>
        <v>16.73060040591697</v>
      </c>
      <c r="G408" s="8">
        <v>7.0444000000000004</v>
      </c>
      <c r="H408" s="15">
        <v>3.7885179999999998E-3</v>
      </c>
      <c r="I408" s="17">
        <f t="shared" si="157"/>
        <v>51.05754576735049</v>
      </c>
      <c r="J408" s="16">
        <v>4.5</v>
      </c>
      <c r="K408" s="9">
        <v>31.4</v>
      </c>
      <c r="L408" s="14">
        <f t="shared" si="148"/>
        <v>-5.2803854522928182</v>
      </c>
      <c r="M408" s="6"/>
      <c r="N408" s="2">
        <f t="shared" si="158"/>
        <v>-85.42976554536186</v>
      </c>
      <c r="O408">
        <f t="shared" si="149"/>
        <v>1.8768005473906977</v>
      </c>
      <c r="P408">
        <f t="shared" si="154"/>
        <v>49.939542219626745</v>
      </c>
      <c r="Q408">
        <f t="shared" si="150"/>
        <v>3.8712823426067242</v>
      </c>
      <c r="R408">
        <f t="shared" si="151"/>
        <v>7.5770359999999997E-3</v>
      </c>
    </row>
    <row r="409" spans="1:18" x14ac:dyDescent="0.3">
      <c r="A409">
        <v>1</v>
      </c>
      <c r="B409">
        <v>20</v>
      </c>
      <c r="C409">
        <v>4</v>
      </c>
      <c r="D409" s="16">
        <v>1.8</v>
      </c>
      <c r="E409" s="11">
        <v>7.7104226310000001</v>
      </c>
      <c r="F409" s="9">
        <f t="shared" si="139"/>
        <v>2.3345023822209727</v>
      </c>
      <c r="G409" s="8">
        <v>7.0444000000000004</v>
      </c>
      <c r="H409" s="15">
        <v>1.8942589999999999E-3</v>
      </c>
      <c r="I409" s="17">
        <f>F409/((E409*10^-4)/(G409*10^-2)*9.81)^(1/2)</f>
        <v>7.1243087117233248</v>
      </c>
      <c r="J409" s="16">
        <v>4.5</v>
      </c>
      <c r="K409" s="9">
        <v>0.67</v>
      </c>
      <c r="L409" s="14">
        <f t="shared" si="148"/>
        <v>36.206231362684363</v>
      </c>
      <c r="M409" s="6"/>
      <c r="N409" s="2">
        <f>-(1.7*K409^2)/19.62</f>
        <v>-3.8895514780835881E-2</v>
      </c>
      <c r="O409">
        <f t="shared" si="149"/>
        <v>0.28699906459833335</v>
      </c>
      <c r="P409">
        <f t="shared" si="154"/>
        <v>1.065588958189488</v>
      </c>
      <c r="Q409">
        <f t="shared" si="150"/>
        <v>0.59199386566082668</v>
      </c>
      <c r="R409">
        <f t="shared" si="151"/>
        <v>7.5770359999999997E-3</v>
      </c>
    </row>
    <row r="410" spans="1:18" x14ac:dyDescent="0.3">
      <c r="A410">
        <v>1</v>
      </c>
      <c r="B410">
        <v>20</v>
      </c>
      <c r="C410">
        <v>4</v>
      </c>
      <c r="D410" s="16">
        <v>3.6</v>
      </c>
      <c r="E410" s="11">
        <v>7.7104226310000001</v>
      </c>
      <c r="F410" s="9">
        <f t="shared" si="139"/>
        <v>4.6690047644419455</v>
      </c>
      <c r="G410" s="8">
        <v>7.0444000000000004</v>
      </c>
      <c r="H410" s="15">
        <v>1.8942589999999999E-3</v>
      </c>
      <c r="I410" s="17">
        <f t="shared" ref="I410:I415" si="159">F410/((E410*10^-4)/(G410*10^-2)*9.81)^(1/2)</f>
        <v>14.24861742344665</v>
      </c>
      <c r="J410" s="16">
        <v>4.5</v>
      </c>
      <c r="K410" s="9">
        <v>2.94</v>
      </c>
      <c r="L410" s="14">
        <f t="shared" si="148"/>
        <v>8.4125100374369168</v>
      </c>
      <c r="M410" s="6"/>
      <c r="N410" s="2">
        <f t="shared" ref="N410:N415" si="160">-(1.7*K410^2)/19.62</f>
        <v>-0.7489357798165136</v>
      </c>
      <c r="O410">
        <f t="shared" si="149"/>
        <v>0.62968451486499999</v>
      </c>
      <c r="P410">
        <f t="shared" si="154"/>
        <v>4.6758679657867077</v>
      </c>
      <c r="Q410">
        <f t="shared" si="150"/>
        <v>1.2988522127185298</v>
      </c>
      <c r="R410">
        <f t="shared" si="151"/>
        <v>7.5770359999999997E-3</v>
      </c>
    </row>
    <row r="411" spans="1:18" x14ac:dyDescent="0.3">
      <c r="A411">
        <v>1</v>
      </c>
      <c r="B411">
        <v>20</v>
      </c>
      <c r="C411">
        <v>4</v>
      </c>
      <c r="D411" s="16">
        <v>5.4</v>
      </c>
      <c r="E411" s="11">
        <v>7.7104226310000001</v>
      </c>
      <c r="F411" s="9">
        <f t="shared" si="139"/>
        <v>7.0035071466629182</v>
      </c>
      <c r="G411" s="8">
        <v>7.0444000000000004</v>
      </c>
      <c r="H411" s="15">
        <v>1.8942589999999999E-3</v>
      </c>
      <c r="I411" s="17">
        <f t="shared" si="159"/>
        <v>21.372926135169976</v>
      </c>
      <c r="J411" s="16">
        <v>4.5</v>
      </c>
      <c r="K411" s="9">
        <v>7.65</v>
      </c>
      <c r="L411" s="14">
        <f t="shared" si="148"/>
        <v>2.0101336246352854</v>
      </c>
      <c r="M411" s="6"/>
      <c r="N411" s="2">
        <f t="shared" si="160"/>
        <v>-5.0707568807339447</v>
      </c>
      <c r="O411">
        <f t="shared" si="149"/>
        <v>1.092309872725</v>
      </c>
      <c r="P411">
        <f t="shared" si="154"/>
        <v>12.166799298730721</v>
      </c>
      <c r="Q411">
        <f t="shared" si="150"/>
        <v>2.2531109812464298</v>
      </c>
      <c r="R411">
        <f t="shared" si="151"/>
        <v>7.5770359999999997E-3</v>
      </c>
    </row>
    <row r="412" spans="1:18" x14ac:dyDescent="0.3">
      <c r="A412">
        <v>1</v>
      </c>
      <c r="B412">
        <v>20</v>
      </c>
      <c r="C412">
        <v>4</v>
      </c>
      <c r="D412" s="16">
        <v>7.2</v>
      </c>
      <c r="E412" s="11">
        <v>7.7104226310000001</v>
      </c>
      <c r="F412" s="9">
        <f t="shared" si="139"/>
        <v>9.3380095288838909</v>
      </c>
      <c r="G412" s="8">
        <v>7.0444000000000004</v>
      </c>
      <c r="H412" s="15">
        <v>1.8942589999999999E-3</v>
      </c>
      <c r="I412" s="17">
        <f t="shared" si="159"/>
        <v>28.497234846893299</v>
      </c>
      <c r="J412" s="16">
        <v>4.5</v>
      </c>
      <c r="K412" s="9">
        <v>12.53</v>
      </c>
      <c r="L412" s="14">
        <f t="shared" si="148"/>
        <v>-0.78921164456810666</v>
      </c>
      <c r="M412" s="6"/>
      <c r="N412" s="2">
        <f t="shared" si="160"/>
        <v>-13.603543832823645</v>
      </c>
      <c r="O412">
        <f t="shared" si="149"/>
        <v>1.3418277162004166</v>
      </c>
      <c r="P412">
        <f t="shared" si="154"/>
        <v>19.928103949424305</v>
      </c>
      <c r="Q412">
        <f t="shared" si="150"/>
        <v>2.76779221519782</v>
      </c>
      <c r="R412">
        <f t="shared" si="151"/>
        <v>7.5770359999999997E-3</v>
      </c>
    </row>
    <row r="413" spans="1:18" x14ac:dyDescent="0.3">
      <c r="A413">
        <v>1</v>
      </c>
      <c r="B413">
        <v>20</v>
      </c>
      <c r="C413">
        <v>4</v>
      </c>
      <c r="D413" s="16">
        <v>9</v>
      </c>
      <c r="E413" s="11">
        <v>7.7104226310000001</v>
      </c>
      <c r="F413" s="9">
        <f t="shared" si="139"/>
        <v>11.672511911104865</v>
      </c>
      <c r="G413" s="8">
        <v>7.0444000000000004</v>
      </c>
      <c r="H413" s="15">
        <v>1.8942589999999999E-3</v>
      </c>
      <c r="I413" s="17">
        <f t="shared" si="159"/>
        <v>35.621543558616629</v>
      </c>
      <c r="J413" s="16">
        <v>4.5</v>
      </c>
      <c r="K413" s="9">
        <v>19.02</v>
      </c>
      <c r="L413" s="14">
        <f t="shared" si="148"/>
        <v>-3.0599391181382498</v>
      </c>
      <c r="M413" s="6"/>
      <c r="N413" s="2">
        <f t="shared" si="160"/>
        <v>-31.345192660550456</v>
      </c>
      <c r="O413">
        <f t="shared" si="149"/>
        <v>1.6294693160179998</v>
      </c>
      <c r="P413">
        <f t="shared" si="154"/>
        <v>30.250002962334417</v>
      </c>
      <c r="Q413">
        <f t="shared" si="150"/>
        <v>3.3611114402593798</v>
      </c>
      <c r="R413">
        <f t="shared" si="151"/>
        <v>7.5770359999999997E-3</v>
      </c>
    </row>
    <row r="414" spans="1:18" x14ac:dyDescent="0.3">
      <c r="A414">
        <v>1</v>
      </c>
      <c r="B414">
        <v>20</v>
      </c>
      <c r="C414">
        <v>4</v>
      </c>
      <c r="D414" s="16">
        <v>10.8</v>
      </c>
      <c r="E414" s="11">
        <v>7.7104226310000001</v>
      </c>
      <c r="F414" s="9">
        <f t="shared" si="139"/>
        <v>14.007014293325836</v>
      </c>
      <c r="G414" s="8">
        <v>7.0444000000000004</v>
      </c>
      <c r="H414" s="15">
        <v>1.8942589999999999E-3</v>
      </c>
      <c r="I414" s="17">
        <f t="shared" si="159"/>
        <v>42.745852270339952</v>
      </c>
      <c r="J414" s="16">
        <v>4.5</v>
      </c>
      <c r="K414" s="9">
        <v>26.24</v>
      </c>
      <c r="L414" s="14">
        <f t="shared" si="148"/>
        <v>-4.9564118153374404</v>
      </c>
      <c r="M414" s="6"/>
      <c r="N414" s="2">
        <f t="shared" si="160"/>
        <v>-59.659221202854219</v>
      </c>
      <c r="O414">
        <f t="shared" si="149"/>
        <v>1.8733471281244443</v>
      </c>
      <c r="P414">
        <f t="shared" si="154"/>
        <v>41.732916810286802</v>
      </c>
      <c r="Q414">
        <f t="shared" si="150"/>
        <v>3.8641589639154446</v>
      </c>
      <c r="R414">
        <f t="shared" si="151"/>
        <v>7.5770359999999997E-3</v>
      </c>
    </row>
    <row r="415" spans="1:18" x14ac:dyDescent="0.3">
      <c r="A415">
        <v>1</v>
      </c>
      <c r="B415">
        <v>20</v>
      </c>
      <c r="C415">
        <v>4</v>
      </c>
      <c r="D415" s="16">
        <v>12.8</v>
      </c>
      <c r="E415" s="11">
        <v>7.7104226310000001</v>
      </c>
      <c r="F415" s="9">
        <f t="shared" si="139"/>
        <v>16.600905829126919</v>
      </c>
      <c r="G415" s="8">
        <v>7.0444000000000004</v>
      </c>
      <c r="H415" s="15">
        <v>1.8942589999999999E-3</v>
      </c>
      <c r="I415" s="17">
        <f t="shared" si="159"/>
        <v>50.661750838921428</v>
      </c>
      <c r="J415" s="16">
        <v>4.5</v>
      </c>
      <c r="K415" s="9">
        <v>32.369999999999997</v>
      </c>
      <c r="L415" s="14">
        <f t="shared" si="148"/>
        <v>-5.7447831303367511</v>
      </c>
      <c r="M415" s="6"/>
      <c r="N415" s="2">
        <f t="shared" si="160"/>
        <v>-90.789435779816486</v>
      </c>
      <c r="O415">
        <f t="shared" si="149"/>
        <v>1.9498935981677339</v>
      </c>
      <c r="P415">
        <f t="shared" si="154"/>
        <v>51.482260562080185</v>
      </c>
      <c r="Q415">
        <f t="shared" si="150"/>
        <v>4.0220516064125142</v>
      </c>
      <c r="R415">
        <f t="shared" si="151"/>
        <v>7.5770359999999997E-3</v>
      </c>
    </row>
    <row r="416" spans="1:18" x14ac:dyDescent="0.3">
      <c r="A416">
        <v>1</v>
      </c>
      <c r="B416">
        <v>20</v>
      </c>
      <c r="C416">
        <v>6</v>
      </c>
      <c r="D416" s="16">
        <v>1.8</v>
      </c>
      <c r="E416" s="11">
        <v>7.7104226310000001</v>
      </c>
      <c r="F416" s="9">
        <f t="shared" si="139"/>
        <v>2.3345023822209727</v>
      </c>
      <c r="G416" s="8">
        <v>7.0444000000000004</v>
      </c>
      <c r="H416" s="15">
        <v>1.262839E-3</v>
      </c>
      <c r="I416" s="17">
        <f>F416/((E416*10^-4)/(G416*10^-2)*9.81)^(1/2)</f>
        <v>7.1243087117233248</v>
      </c>
      <c r="J416" s="16">
        <v>4.5</v>
      </c>
      <c r="K416" s="9">
        <v>0.73</v>
      </c>
      <c r="L416" s="14">
        <f t="shared" si="148"/>
        <v>36.18002905364478</v>
      </c>
      <c r="M416" s="6"/>
      <c r="N416" s="2">
        <f>-(1.7*K416^2)/19.62</f>
        <v>-4.6173802242609578E-2</v>
      </c>
      <c r="O416">
        <f t="shared" si="149"/>
        <v>0.31270047336833334</v>
      </c>
      <c r="P416">
        <f t="shared" si="154"/>
        <v>1.161014835042278</v>
      </c>
      <c r="Q416">
        <f t="shared" si="150"/>
        <v>0.64500824169015447</v>
      </c>
      <c r="R416">
        <f t="shared" si="151"/>
        <v>7.5770339999999999E-3</v>
      </c>
    </row>
    <row r="417" spans="1:18" x14ac:dyDescent="0.3">
      <c r="A417">
        <v>1</v>
      </c>
      <c r="B417">
        <v>20</v>
      </c>
      <c r="C417">
        <v>6</v>
      </c>
      <c r="D417" s="16">
        <v>3.6</v>
      </c>
      <c r="E417" s="11">
        <v>7.7104226310000001</v>
      </c>
      <c r="F417" s="9">
        <f t="shared" si="139"/>
        <v>4.6690047644419455</v>
      </c>
      <c r="G417" s="8">
        <v>7.0444000000000004</v>
      </c>
      <c r="H417" s="15">
        <v>1.262839E-3</v>
      </c>
      <c r="I417" s="17">
        <f t="shared" ref="I417:I422" si="161">F417/((E417*10^-4)/(G417*10^-2)*9.81)^(1/2)</f>
        <v>14.24861742344665</v>
      </c>
      <c r="J417" s="16">
        <v>4.5</v>
      </c>
      <c r="K417" s="9">
        <v>3.14</v>
      </c>
      <c r="L417" s="14">
        <f t="shared" si="148"/>
        <v>8.3176826332936589</v>
      </c>
      <c r="M417" s="6"/>
      <c r="N417" s="2">
        <f t="shared" ref="N417:N422" si="162">-(1.7*K417^2)/19.62</f>
        <v>-0.8542976554536188</v>
      </c>
      <c r="O417">
        <f t="shared" si="149"/>
        <v>0.67252019614833336</v>
      </c>
      <c r="P417">
        <f t="shared" si="154"/>
        <v>4.9939542219626754</v>
      </c>
      <c r="Q417">
        <f t="shared" si="150"/>
        <v>1.3872095061007432</v>
      </c>
      <c r="R417">
        <f t="shared" si="151"/>
        <v>7.5770339999999999E-3</v>
      </c>
    </row>
    <row r="418" spans="1:18" x14ac:dyDescent="0.3">
      <c r="A418">
        <v>1</v>
      </c>
      <c r="B418">
        <v>20</v>
      </c>
      <c r="C418">
        <v>6</v>
      </c>
      <c r="D418" s="16">
        <v>5.4</v>
      </c>
      <c r="E418" s="11">
        <v>7.7104226310000001</v>
      </c>
      <c r="F418" s="9">
        <f t="shared" si="139"/>
        <v>7.0035071466629182</v>
      </c>
      <c r="G418" s="8">
        <v>7.0444000000000004</v>
      </c>
      <c r="H418" s="15">
        <v>1.262839E-3</v>
      </c>
      <c r="I418" s="17">
        <f t="shared" si="161"/>
        <v>21.372926135169976</v>
      </c>
      <c r="J418" s="16">
        <v>4.5</v>
      </c>
      <c r="K418" s="9">
        <v>6.34</v>
      </c>
      <c r="L418" s="14">
        <f t="shared" si="148"/>
        <v>2.6453281980976668</v>
      </c>
      <c r="M418" s="6"/>
      <c r="N418" s="2">
        <f t="shared" si="162"/>
        <v>-3.4827991845056063</v>
      </c>
      <c r="O418">
        <f t="shared" si="149"/>
        <v>0.90526073112111105</v>
      </c>
      <c r="P418">
        <f t="shared" si="154"/>
        <v>10.083334320778139</v>
      </c>
      <c r="Q418">
        <f t="shared" si="150"/>
        <v>1.8672841334774331</v>
      </c>
      <c r="R418">
        <f t="shared" si="151"/>
        <v>7.5770339999999999E-3</v>
      </c>
    </row>
    <row r="419" spans="1:18" x14ac:dyDescent="0.3">
      <c r="A419">
        <v>1</v>
      </c>
      <c r="B419">
        <v>20</v>
      </c>
      <c r="C419">
        <v>6</v>
      </c>
      <c r="D419" s="16">
        <v>7.2</v>
      </c>
      <c r="E419" s="11">
        <v>7.7104226310000001</v>
      </c>
      <c r="F419" s="9">
        <f t="shared" si="139"/>
        <v>9.3380095288838909</v>
      </c>
      <c r="G419" s="8">
        <v>7.0444000000000004</v>
      </c>
      <c r="H419" s="15">
        <v>1.262839E-3</v>
      </c>
      <c r="I419" s="17">
        <f t="shared" si="161"/>
        <v>28.497234846893299</v>
      </c>
      <c r="J419" s="16">
        <v>4.5</v>
      </c>
      <c r="K419" s="9">
        <v>11.7</v>
      </c>
      <c r="L419" s="14">
        <f t="shared" si="148"/>
        <v>-0.39713425106797412</v>
      </c>
      <c r="M419" s="6"/>
      <c r="N419" s="2">
        <f t="shared" si="162"/>
        <v>-11.861009174311924</v>
      </c>
      <c r="O419">
        <f t="shared" si="149"/>
        <v>1.2529436775375</v>
      </c>
      <c r="P419">
        <f t="shared" si="154"/>
        <v>18.608045986294041</v>
      </c>
      <c r="Q419">
        <f t="shared" si="150"/>
        <v>2.5844508314297276</v>
      </c>
      <c r="R419">
        <f t="shared" si="151"/>
        <v>7.5770339999999999E-3</v>
      </c>
    </row>
    <row r="420" spans="1:18" x14ac:dyDescent="0.3">
      <c r="A420">
        <v>1</v>
      </c>
      <c r="B420">
        <v>20</v>
      </c>
      <c r="C420">
        <v>6</v>
      </c>
      <c r="D420" s="16">
        <v>9</v>
      </c>
      <c r="E420" s="11">
        <v>7.7104226310000001</v>
      </c>
      <c r="F420" s="9">
        <f t="shared" si="139"/>
        <v>11.672511911104865</v>
      </c>
      <c r="G420" s="8">
        <v>7.0444000000000004</v>
      </c>
      <c r="H420" s="15">
        <v>1.262839E-3</v>
      </c>
      <c r="I420" s="17">
        <f t="shared" si="161"/>
        <v>35.621543558616629</v>
      </c>
      <c r="J420" s="16">
        <v>4.5</v>
      </c>
      <c r="K420" s="9">
        <v>18.690000000000001</v>
      </c>
      <c r="L420" s="14">
        <f t="shared" si="148"/>
        <v>-2.9046679779566791</v>
      </c>
      <c r="M420" s="6"/>
      <c r="N420" s="2">
        <f t="shared" si="162"/>
        <v>-30.266940366972481</v>
      </c>
      <c r="O420">
        <f t="shared" si="149"/>
        <v>1.601197766371</v>
      </c>
      <c r="P420">
        <f t="shared" si="154"/>
        <v>29.725160639644077</v>
      </c>
      <c r="Q420">
        <f t="shared" si="150"/>
        <v>3.3027956266271197</v>
      </c>
      <c r="R420">
        <f t="shared" si="151"/>
        <v>7.5770339999999999E-3</v>
      </c>
    </row>
    <row r="421" spans="1:18" x14ac:dyDescent="0.3">
      <c r="A421">
        <v>1</v>
      </c>
      <c r="B421">
        <v>20</v>
      </c>
      <c r="C421">
        <v>6</v>
      </c>
      <c r="D421" s="16">
        <v>10.8</v>
      </c>
      <c r="E421" s="11">
        <v>7.7104226310000001</v>
      </c>
      <c r="F421" s="9">
        <f t="shared" ref="F421:F484" si="163">(D421*10^-3)/(E421*10^-4)</f>
        <v>14.007014293325836</v>
      </c>
      <c r="G421" s="8">
        <v>7.0444000000000004</v>
      </c>
      <c r="H421" s="15">
        <v>1.262839E-3</v>
      </c>
      <c r="I421" s="17">
        <f t="shared" si="161"/>
        <v>42.745852270339952</v>
      </c>
      <c r="J421" s="16">
        <v>4.5</v>
      </c>
      <c r="K421" s="9">
        <v>22.37</v>
      </c>
      <c r="L421" s="14">
        <f t="shared" si="148"/>
        <v>-3.3263864455811736</v>
      </c>
      <c r="M421" s="6"/>
      <c r="N421" s="2">
        <f t="shared" si="162"/>
        <v>-43.359262487257901</v>
      </c>
      <c r="O421">
        <f t="shared" si="149"/>
        <v>1.5970569838469446</v>
      </c>
      <c r="P421">
        <f t="shared" si="154"/>
        <v>35.577947753281862</v>
      </c>
      <c r="Q421">
        <f t="shared" si="150"/>
        <v>3.2942544216001721</v>
      </c>
      <c r="R421">
        <f t="shared" si="151"/>
        <v>7.5770339999999999E-3</v>
      </c>
    </row>
    <row r="422" spans="1:18" x14ac:dyDescent="0.3">
      <c r="A422">
        <v>1</v>
      </c>
      <c r="B422">
        <v>20</v>
      </c>
      <c r="C422">
        <v>6</v>
      </c>
      <c r="D422" s="16">
        <v>12.8</v>
      </c>
      <c r="E422" s="11">
        <v>7.7104226310000001</v>
      </c>
      <c r="F422" s="9">
        <f t="shared" si="163"/>
        <v>16.600905829126919</v>
      </c>
      <c r="G422" s="8">
        <v>7.0444000000000004</v>
      </c>
      <c r="H422" s="15">
        <v>1.262839E-3</v>
      </c>
      <c r="I422" s="17">
        <f t="shared" si="161"/>
        <v>50.661750838921428</v>
      </c>
      <c r="J422" s="16">
        <v>4.5</v>
      </c>
      <c r="K422" s="9">
        <v>28.71</v>
      </c>
      <c r="L422" s="14">
        <f t="shared" si="148"/>
        <v>-4.3657793294932556</v>
      </c>
      <c r="M422" s="6"/>
      <c r="N422" s="2">
        <f t="shared" si="162"/>
        <v>-71.419417431192656</v>
      </c>
      <c r="O422">
        <f t="shared" si="149"/>
        <v>1.7294237010625779</v>
      </c>
      <c r="P422">
        <f t="shared" si="154"/>
        <v>45.661282074059997</v>
      </c>
      <c r="Q422">
        <f t="shared" si="150"/>
        <v>3.5672876620359371</v>
      </c>
      <c r="R422">
        <f t="shared" si="151"/>
        <v>7.5770339999999999E-3</v>
      </c>
    </row>
    <row r="423" spans="1:18" x14ac:dyDescent="0.3">
      <c r="A423">
        <v>1</v>
      </c>
      <c r="B423">
        <v>30</v>
      </c>
      <c r="C423">
        <v>1</v>
      </c>
      <c r="D423" s="16">
        <v>2.5</v>
      </c>
      <c r="E423" s="11">
        <v>15.422011619999999</v>
      </c>
      <c r="F423" s="8">
        <f t="shared" si="163"/>
        <v>1.621059600783779</v>
      </c>
      <c r="G423" s="8">
        <v>7.6656000000000004</v>
      </c>
      <c r="H423" s="15">
        <v>9.1083629999999995E-3</v>
      </c>
      <c r="I423" s="17">
        <f>F423/((E423*10^-4)/(G423*10^-2)*9.81)^(1/2)</f>
        <v>3.6489426924427844</v>
      </c>
      <c r="J423" s="16">
        <v>3</v>
      </c>
      <c r="K423" s="9">
        <v>0</v>
      </c>
      <c r="L423" s="14">
        <f t="shared" si="148"/>
        <v>75.379001381404876</v>
      </c>
      <c r="M423" s="6"/>
      <c r="N423" s="2">
        <f>-(1.7*K423^2)/19.62</f>
        <v>0</v>
      </c>
      <c r="O423">
        <f t="shared" si="149"/>
        <v>0</v>
      </c>
      <c r="P423">
        <f t="shared" si="154"/>
        <v>0</v>
      </c>
      <c r="Q423">
        <f t="shared" si="150"/>
        <v>0</v>
      </c>
      <c r="R423">
        <f t="shared" si="151"/>
        <v>9.1083629999999995E-3</v>
      </c>
    </row>
    <row r="424" spans="1:18" x14ac:dyDescent="0.3">
      <c r="A424">
        <v>1</v>
      </c>
      <c r="B424">
        <v>30</v>
      </c>
      <c r="C424">
        <v>1</v>
      </c>
      <c r="D424" s="16">
        <v>5</v>
      </c>
      <c r="E424" s="11">
        <v>15.422011619999999</v>
      </c>
      <c r="F424" s="8">
        <f t="shared" si="163"/>
        <v>3.242119201567558</v>
      </c>
      <c r="G424" s="8">
        <v>7.6656000000000004</v>
      </c>
      <c r="H424" s="15">
        <v>9.1083629999999995E-3</v>
      </c>
      <c r="I424" s="17">
        <f t="shared" ref="I424:I429" si="164">F424/((E424*10^-4)/(G424*10^-2)*9.81)^(1/2)</f>
        <v>7.2978853848855687</v>
      </c>
      <c r="J424" s="16">
        <v>4.5</v>
      </c>
      <c r="K424" s="9">
        <v>1.49</v>
      </c>
      <c r="L424" s="14">
        <f t="shared" si="148"/>
        <v>18.4856932596789</v>
      </c>
      <c r="M424" s="6"/>
      <c r="N424" s="2">
        <f t="shared" ref="N424:N429" si="165">-(1.7*K424^2)/19.62</f>
        <v>-0.19236340468909274</v>
      </c>
      <c r="O424">
        <f t="shared" si="149"/>
        <v>0.45957594627600001</v>
      </c>
      <c r="P424">
        <f t="shared" si="154"/>
        <v>2.369742608510951</v>
      </c>
      <c r="Q424">
        <f t="shared" si="150"/>
        <v>0.47394852170219021</v>
      </c>
      <c r="R424">
        <f t="shared" si="151"/>
        <v>9.1083629999999995E-3</v>
      </c>
    </row>
    <row r="425" spans="1:18" x14ac:dyDescent="0.3">
      <c r="A425">
        <v>1</v>
      </c>
      <c r="B425">
        <v>30</v>
      </c>
      <c r="C425">
        <v>1</v>
      </c>
      <c r="D425" s="16">
        <v>7.5</v>
      </c>
      <c r="E425" s="11">
        <v>15.422011619999999</v>
      </c>
      <c r="F425" s="8">
        <f t="shared" si="163"/>
        <v>4.8631788023513369</v>
      </c>
      <c r="G425" s="8">
        <v>7.6656000000000004</v>
      </c>
      <c r="H425" s="15">
        <v>9.1083629999999995E-3</v>
      </c>
      <c r="I425" s="17">
        <f t="shared" si="164"/>
        <v>10.946828077328352</v>
      </c>
      <c r="J425" s="16">
        <v>4.5</v>
      </c>
      <c r="K425" s="9">
        <v>3.11</v>
      </c>
      <c r="L425" s="14">
        <f t="shared" si="148"/>
        <v>7.6802134445161183</v>
      </c>
      <c r="M425" s="6"/>
      <c r="N425" s="2">
        <f t="shared" si="165"/>
        <v>-0.83805147808358793</v>
      </c>
      <c r="O425">
        <f t="shared" si="149"/>
        <v>0.63949941517599995</v>
      </c>
      <c r="P425">
        <f t="shared" si="154"/>
        <v>4.9462412835362795</v>
      </c>
      <c r="Q425">
        <f t="shared" si="150"/>
        <v>0.65949883780483731</v>
      </c>
      <c r="R425">
        <f t="shared" si="151"/>
        <v>9.1083629999999995E-3</v>
      </c>
    </row>
    <row r="426" spans="1:18" x14ac:dyDescent="0.3">
      <c r="A426">
        <v>1</v>
      </c>
      <c r="B426">
        <v>30</v>
      </c>
      <c r="C426">
        <v>1</v>
      </c>
      <c r="D426" s="16">
        <v>10</v>
      </c>
      <c r="E426" s="11">
        <v>15.422011619999999</v>
      </c>
      <c r="F426" s="8">
        <f t="shared" si="163"/>
        <v>6.4842384031351159</v>
      </c>
      <c r="G426" s="8">
        <v>7.6656000000000004</v>
      </c>
      <c r="H426" s="15">
        <v>9.1083629999999995E-3</v>
      </c>
      <c r="I426" s="17">
        <f t="shared" si="164"/>
        <v>14.595770769771137</v>
      </c>
      <c r="J426" s="16">
        <v>4.5</v>
      </c>
      <c r="K426" s="9">
        <v>6.94</v>
      </c>
      <c r="L426" s="14">
        <f t="shared" si="148"/>
        <v>2.7638111335330633</v>
      </c>
      <c r="M426" s="6"/>
      <c r="N426" s="2">
        <f t="shared" si="165"/>
        <v>-4.1731967380224253</v>
      </c>
      <c r="O426">
        <f t="shared" si="149"/>
        <v>1.070287606428</v>
      </c>
      <c r="P426">
        <f t="shared" si="154"/>
        <v>11.037593089306039</v>
      </c>
      <c r="Q426">
        <f t="shared" si="150"/>
        <v>1.1037593089306039</v>
      </c>
      <c r="R426">
        <f t="shared" si="151"/>
        <v>9.1083629999999995E-3</v>
      </c>
    </row>
    <row r="427" spans="1:18" x14ac:dyDescent="0.3">
      <c r="A427">
        <v>1</v>
      </c>
      <c r="B427">
        <v>30</v>
      </c>
      <c r="C427">
        <v>1</v>
      </c>
      <c r="D427" s="16">
        <v>12.5</v>
      </c>
      <c r="E427" s="11">
        <v>15.422011619999999</v>
      </c>
      <c r="F427" s="8">
        <f t="shared" si="163"/>
        <v>8.1052980039188949</v>
      </c>
      <c r="G427" s="8">
        <v>7.6656000000000004</v>
      </c>
      <c r="H427" s="15">
        <v>9.1083629999999995E-3</v>
      </c>
      <c r="I427" s="17">
        <f t="shared" si="164"/>
        <v>18.24471346221392</v>
      </c>
      <c r="J427" s="16">
        <v>4.5</v>
      </c>
      <c r="K427" s="9">
        <v>10.43</v>
      </c>
      <c r="L427" s="14">
        <f t="shared" si="148"/>
        <v>0.20015250358522627</v>
      </c>
      <c r="M427" s="6"/>
      <c r="N427" s="2">
        <f t="shared" si="165"/>
        <v>-9.4258068297655448</v>
      </c>
      <c r="O427">
        <f t="shared" si="149"/>
        <v>1.2868126495727998</v>
      </c>
      <c r="P427">
        <f t="shared" si="154"/>
        <v>16.588198259576654</v>
      </c>
      <c r="Q427">
        <f t="shared" si="150"/>
        <v>1.3270558607661322</v>
      </c>
      <c r="R427">
        <f t="shared" si="151"/>
        <v>9.1083629999999995E-3</v>
      </c>
    </row>
    <row r="428" spans="1:18" x14ac:dyDescent="0.3">
      <c r="A428">
        <v>1</v>
      </c>
      <c r="B428">
        <v>30</v>
      </c>
      <c r="C428">
        <v>1</v>
      </c>
      <c r="D428" s="16">
        <v>15</v>
      </c>
      <c r="E428" s="11">
        <v>15.422011619999999</v>
      </c>
      <c r="F428" s="8">
        <f t="shared" si="163"/>
        <v>9.7263576047026739</v>
      </c>
      <c r="G428" s="8">
        <v>7.6656000000000004</v>
      </c>
      <c r="H428" s="15">
        <v>9.1083629999999995E-3</v>
      </c>
      <c r="I428" s="17">
        <f t="shared" si="164"/>
        <v>21.893656154656703</v>
      </c>
      <c r="J428" s="16">
        <v>4.5</v>
      </c>
      <c r="K428" s="9">
        <v>13.22</v>
      </c>
      <c r="L428" s="14">
        <f t="shared" si="148"/>
        <v>-1.0467297333903682</v>
      </c>
      <c r="M428" s="6"/>
      <c r="N428" s="2">
        <f t="shared" si="165"/>
        <v>-15.143031600407747</v>
      </c>
      <c r="O428">
        <f t="shared" si="149"/>
        <v>1.359193290776</v>
      </c>
      <c r="P428">
        <f t="shared" si="154"/>
        <v>21.025501533231392</v>
      </c>
      <c r="Q428">
        <f t="shared" si="150"/>
        <v>1.4017001022154261</v>
      </c>
      <c r="R428">
        <f t="shared" si="151"/>
        <v>9.1083629999999995E-3</v>
      </c>
    </row>
    <row r="429" spans="1:18" x14ac:dyDescent="0.3">
      <c r="A429">
        <v>1</v>
      </c>
      <c r="B429">
        <v>30</v>
      </c>
      <c r="C429">
        <v>1</v>
      </c>
      <c r="D429" s="16">
        <v>17.899999999999999</v>
      </c>
      <c r="E429" s="11">
        <v>15.422011619999999</v>
      </c>
      <c r="F429" s="8">
        <f t="shared" si="163"/>
        <v>11.606786741611856</v>
      </c>
      <c r="G429" s="8">
        <v>7.6656000000000004</v>
      </c>
      <c r="H429" s="15">
        <v>9.1083629999999995E-3</v>
      </c>
      <c r="I429" s="17">
        <f t="shared" si="164"/>
        <v>26.126429677890332</v>
      </c>
      <c r="J429" s="16">
        <v>4.5</v>
      </c>
      <c r="K429" s="9">
        <v>19.440000000000001</v>
      </c>
      <c r="L429" s="14">
        <f t="shared" si="148"/>
        <v>-3.2985291818983833</v>
      </c>
      <c r="M429" s="6"/>
      <c r="N429" s="2">
        <f t="shared" si="165"/>
        <v>-32.744807339449544</v>
      </c>
      <c r="O429">
        <f t="shared" si="149"/>
        <v>1.6748821558256985</v>
      </c>
      <c r="P429">
        <f t="shared" si="154"/>
        <v>30.917984100303947</v>
      </c>
      <c r="Q429">
        <f t="shared" si="150"/>
        <v>1.7272616815812263</v>
      </c>
      <c r="R429">
        <f t="shared" si="151"/>
        <v>9.1083629999999995E-3</v>
      </c>
    </row>
    <row r="430" spans="1:18" x14ac:dyDescent="0.3">
      <c r="A430">
        <v>1</v>
      </c>
      <c r="B430">
        <v>30</v>
      </c>
      <c r="C430">
        <v>2</v>
      </c>
      <c r="D430" s="16">
        <v>2.5</v>
      </c>
      <c r="E430" s="11">
        <v>15.422011619999999</v>
      </c>
      <c r="F430" s="8">
        <f t="shared" si="163"/>
        <v>1.621059600783779</v>
      </c>
      <c r="G430" s="8">
        <v>7.6656000000000004</v>
      </c>
      <c r="H430" s="15">
        <v>4.5541820000000004E-3</v>
      </c>
      <c r="I430" s="17">
        <f>F430/((E430*10^-4)/(G430*10^-2)*9.81)^(1/2)</f>
        <v>3.6489426924427844</v>
      </c>
      <c r="J430" s="16">
        <v>4.5</v>
      </c>
      <c r="K430" s="9">
        <v>0.52</v>
      </c>
      <c r="L430" s="14">
        <f t="shared" si="148"/>
        <v>75.204074061075531</v>
      </c>
      <c r="M430" s="6"/>
      <c r="N430" s="2">
        <f>-(1.7*K430^2)/19.62</f>
        <v>-2.3429153924566768E-2</v>
      </c>
      <c r="O430">
        <f t="shared" si="149"/>
        <v>0.32077784169599999</v>
      </c>
      <c r="P430">
        <f t="shared" si="154"/>
        <v>0.827024266057513</v>
      </c>
      <c r="Q430">
        <f t="shared" si="150"/>
        <v>0.33080970642300522</v>
      </c>
      <c r="R430">
        <f t="shared" si="151"/>
        <v>9.1083640000000007E-3</v>
      </c>
    </row>
    <row r="431" spans="1:18" x14ac:dyDescent="0.3">
      <c r="A431">
        <v>1</v>
      </c>
      <c r="B431">
        <v>30</v>
      </c>
      <c r="C431">
        <v>2</v>
      </c>
      <c r="D431" s="16">
        <v>5</v>
      </c>
      <c r="E431" s="11">
        <v>15.422011619999999</v>
      </c>
      <c r="F431" s="8">
        <f t="shared" si="163"/>
        <v>3.242119201567558</v>
      </c>
      <c r="G431" s="8">
        <v>7.6656000000000004</v>
      </c>
      <c r="H431" s="15">
        <v>4.5541820000000004E-3</v>
      </c>
      <c r="I431" s="17">
        <f t="shared" ref="I431:I436" si="166">F431/((E431*10^-4)/(G431*10^-2)*9.81)^(1/2)</f>
        <v>7.2978853848855687</v>
      </c>
      <c r="J431" s="16">
        <v>4.5</v>
      </c>
      <c r="K431" s="9">
        <v>2.25</v>
      </c>
      <c r="L431" s="14">
        <f t="shared" si="148"/>
        <v>18.025991507363695</v>
      </c>
      <c r="M431" s="6"/>
      <c r="N431" s="2">
        <f t="shared" ref="N431:N436" si="167">-(1.7*K431^2)/19.62</f>
        <v>-0.43864678899082565</v>
      </c>
      <c r="O431">
        <f t="shared" si="149"/>
        <v>0.69399052289999996</v>
      </c>
      <c r="P431">
        <f t="shared" si="154"/>
        <v>3.5784703819796233</v>
      </c>
      <c r="Q431">
        <f t="shared" si="150"/>
        <v>0.71569407639592464</v>
      </c>
      <c r="R431">
        <f t="shared" si="151"/>
        <v>9.1083640000000007E-3</v>
      </c>
    </row>
    <row r="432" spans="1:18" x14ac:dyDescent="0.3">
      <c r="A432">
        <v>1</v>
      </c>
      <c r="B432">
        <v>30</v>
      </c>
      <c r="C432">
        <v>2</v>
      </c>
      <c r="D432" s="16">
        <v>7.5</v>
      </c>
      <c r="E432" s="11">
        <v>15.422011619999999</v>
      </c>
      <c r="F432" s="8">
        <f t="shared" si="163"/>
        <v>4.8631788023513369</v>
      </c>
      <c r="G432" s="8">
        <v>7.6656000000000004</v>
      </c>
      <c r="H432" s="15">
        <v>4.5541820000000004E-3</v>
      </c>
      <c r="I432" s="17">
        <f t="shared" si="166"/>
        <v>10.946828077328352</v>
      </c>
      <c r="J432" s="16">
        <v>4.5</v>
      </c>
      <c r="K432" s="9">
        <v>5.16</v>
      </c>
      <c r="L432" s="14">
        <f t="shared" si="148"/>
        <v>6.461594803324652</v>
      </c>
      <c r="M432" s="6"/>
      <c r="N432" s="2">
        <f t="shared" si="167"/>
        <v>-2.3070091743119265</v>
      </c>
      <c r="O432">
        <f t="shared" si="149"/>
        <v>1.0610343994560001</v>
      </c>
      <c r="P432">
        <f t="shared" si="154"/>
        <v>8.2066254093399387</v>
      </c>
      <c r="Q432">
        <f t="shared" si="150"/>
        <v>1.0942167212453251</v>
      </c>
      <c r="R432">
        <f t="shared" si="151"/>
        <v>9.1083640000000007E-3</v>
      </c>
    </row>
    <row r="433" spans="1:18" x14ac:dyDescent="0.3">
      <c r="A433">
        <v>1</v>
      </c>
      <c r="B433">
        <v>30</v>
      </c>
      <c r="C433">
        <v>2</v>
      </c>
      <c r="D433" s="16">
        <v>10</v>
      </c>
      <c r="E433" s="11">
        <v>15.422011619999999</v>
      </c>
      <c r="F433" s="8">
        <f t="shared" si="163"/>
        <v>6.4842384031351159</v>
      </c>
      <c r="G433" s="8">
        <v>7.6656000000000004</v>
      </c>
      <c r="H433" s="15">
        <v>4.5541820000000004E-3</v>
      </c>
      <c r="I433" s="17">
        <f t="shared" si="166"/>
        <v>14.595770769771137</v>
      </c>
      <c r="J433" s="16">
        <v>4.5</v>
      </c>
      <c r="K433" s="9">
        <v>10.1</v>
      </c>
      <c r="L433" s="14">
        <f t="shared" si="148"/>
        <v>0.58666466964113628</v>
      </c>
      <c r="M433" s="6"/>
      <c r="N433" s="2">
        <f t="shared" si="167"/>
        <v>-8.838786952089702</v>
      </c>
      <c r="O433">
        <f t="shared" si="149"/>
        <v>1.5576231736199999</v>
      </c>
      <c r="P433">
        <f t="shared" si="154"/>
        <v>16.06335593688631</v>
      </c>
      <c r="Q433">
        <f t="shared" si="150"/>
        <v>1.606335593688631</v>
      </c>
      <c r="R433">
        <f t="shared" si="151"/>
        <v>9.1083640000000007E-3</v>
      </c>
    </row>
    <row r="434" spans="1:18" x14ac:dyDescent="0.3">
      <c r="A434">
        <v>1</v>
      </c>
      <c r="B434">
        <v>30</v>
      </c>
      <c r="C434">
        <v>2</v>
      </c>
      <c r="D434" s="16">
        <v>12.5</v>
      </c>
      <c r="E434" s="11">
        <v>15.422011619999999</v>
      </c>
      <c r="F434" s="8">
        <f t="shared" si="163"/>
        <v>8.1052980039188949</v>
      </c>
      <c r="G434" s="8">
        <v>7.6656000000000004</v>
      </c>
      <c r="H434" s="15">
        <v>4.5541820000000004E-3</v>
      </c>
      <c r="I434" s="17">
        <f t="shared" si="166"/>
        <v>18.24471346221392</v>
      </c>
      <c r="J434" s="16">
        <v>4.5</v>
      </c>
      <c r="K434" s="9">
        <v>14.94</v>
      </c>
      <c r="L434" s="14">
        <f t="shared" si="148"/>
        <v>-2.7606398908773788</v>
      </c>
      <c r="M434" s="6"/>
      <c r="N434" s="2">
        <f t="shared" si="167"/>
        <v>-19.339761467889907</v>
      </c>
      <c r="O434">
        <f t="shared" si="149"/>
        <v>1.8432388288224</v>
      </c>
      <c r="P434">
        <f t="shared" si="154"/>
        <v>23.761043336344702</v>
      </c>
      <c r="Q434">
        <f t="shared" si="150"/>
        <v>1.9008834669075763</v>
      </c>
      <c r="R434">
        <f t="shared" si="151"/>
        <v>9.1083640000000007E-3</v>
      </c>
    </row>
    <row r="435" spans="1:18" x14ac:dyDescent="0.3">
      <c r="A435">
        <v>1</v>
      </c>
      <c r="B435">
        <v>30</v>
      </c>
      <c r="C435">
        <v>2</v>
      </c>
      <c r="D435" s="16">
        <v>15</v>
      </c>
      <c r="E435" s="11">
        <v>15.422011619999999</v>
      </c>
      <c r="F435" s="8">
        <f t="shared" si="163"/>
        <v>9.7263576047026739</v>
      </c>
      <c r="G435" s="8">
        <v>7.6656000000000004</v>
      </c>
      <c r="H435" s="15">
        <v>4.5541820000000004E-3</v>
      </c>
      <c r="I435" s="17">
        <f t="shared" si="166"/>
        <v>21.893656154656703</v>
      </c>
      <c r="J435" s="16">
        <v>4.5</v>
      </c>
      <c r="K435" s="9">
        <v>21.39</v>
      </c>
      <c r="L435" s="14">
        <f t="shared" si="148"/>
        <v>-6.1279978472351644</v>
      </c>
      <c r="M435" s="6"/>
      <c r="N435" s="2">
        <f t="shared" si="167"/>
        <v>-39.643454128440368</v>
      </c>
      <c r="O435">
        <f t="shared" si="149"/>
        <v>2.1991788570119999</v>
      </c>
      <c r="P435">
        <f t="shared" si="154"/>
        <v>34.019325098019621</v>
      </c>
      <c r="Q435">
        <f t="shared" si="150"/>
        <v>2.2679550065346414</v>
      </c>
      <c r="R435">
        <f t="shared" si="151"/>
        <v>9.1083640000000007E-3</v>
      </c>
    </row>
    <row r="436" spans="1:18" x14ac:dyDescent="0.3">
      <c r="A436">
        <v>1</v>
      </c>
      <c r="B436">
        <v>30</v>
      </c>
      <c r="C436">
        <v>2</v>
      </c>
      <c r="D436" s="16">
        <v>17.8</v>
      </c>
      <c r="E436" s="11">
        <v>15.422011619999999</v>
      </c>
      <c r="F436" s="8">
        <f t="shared" si="163"/>
        <v>11.541944357580507</v>
      </c>
      <c r="G436" s="8">
        <v>7.6656000000000004</v>
      </c>
      <c r="H436" s="15">
        <v>4.5541820000000004E-3</v>
      </c>
      <c r="I436" s="17">
        <f t="shared" si="166"/>
        <v>25.980471970192625</v>
      </c>
      <c r="J436" s="16">
        <v>4.5</v>
      </c>
      <c r="K436" s="9">
        <v>27.12</v>
      </c>
      <c r="L436" s="14">
        <f t="shared" si="148"/>
        <v>-7.8988497783979801</v>
      </c>
      <c r="M436" s="6"/>
      <c r="N436" s="2">
        <f t="shared" si="167"/>
        <v>-63.727853211009176</v>
      </c>
      <c r="O436">
        <f t="shared" si="149"/>
        <v>2.3496907591820224</v>
      </c>
      <c r="P436">
        <f t="shared" si="154"/>
        <v>43.132496337461063</v>
      </c>
      <c r="Q436">
        <f t="shared" si="150"/>
        <v>2.4231739515427564</v>
      </c>
      <c r="R436">
        <f t="shared" si="151"/>
        <v>9.1083640000000007E-3</v>
      </c>
    </row>
    <row r="437" spans="1:18" x14ac:dyDescent="0.3">
      <c r="A437">
        <v>1</v>
      </c>
      <c r="B437">
        <v>30</v>
      </c>
      <c r="C437">
        <v>4</v>
      </c>
      <c r="D437" s="16">
        <v>2.5</v>
      </c>
      <c r="E437" s="11">
        <v>15.422011619999999</v>
      </c>
      <c r="F437" s="8">
        <f t="shared" si="163"/>
        <v>1.621059600783779</v>
      </c>
      <c r="G437" s="8">
        <v>7.6656000000000004</v>
      </c>
      <c r="H437" s="15">
        <v>2.2770910000000002E-3</v>
      </c>
      <c r="I437" s="17">
        <f>F437/((E437*10^-4)/(G437*10^-2)*9.81)^(1/2)</f>
        <v>3.6489426924427844</v>
      </c>
      <c r="J437" s="16">
        <v>3</v>
      </c>
      <c r="K437" s="9">
        <v>0</v>
      </c>
      <c r="L437" s="14">
        <f t="shared" si="148"/>
        <v>75.379001381404876</v>
      </c>
      <c r="M437" s="6"/>
      <c r="N437" s="2">
        <f>-(1.7*K437^2)/19.62</f>
        <v>0</v>
      </c>
      <c r="O437">
        <f t="shared" si="149"/>
        <v>0</v>
      </c>
      <c r="P437">
        <f t="shared" si="154"/>
        <v>0</v>
      </c>
      <c r="Q437">
        <f t="shared" si="150"/>
        <v>0</v>
      </c>
      <c r="R437">
        <f t="shared" si="151"/>
        <v>9.1083640000000007E-3</v>
      </c>
    </row>
    <row r="438" spans="1:18" x14ac:dyDescent="0.3">
      <c r="A438">
        <v>1</v>
      </c>
      <c r="B438">
        <v>30</v>
      </c>
      <c r="C438">
        <v>4</v>
      </c>
      <c r="D438" s="16">
        <v>5</v>
      </c>
      <c r="E438" s="11">
        <v>15.422011619999999</v>
      </c>
      <c r="F438" s="8">
        <f t="shared" si="163"/>
        <v>3.242119201567558</v>
      </c>
      <c r="G438" s="8">
        <v>7.6656000000000004</v>
      </c>
      <c r="H438" s="15">
        <v>2.2770910000000002E-3</v>
      </c>
      <c r="I438" s="17">
        <f t="shared" ref="I438:I443" si="168">F438/((E438*10^-4)/(G438*10^-2)*9.81)^(1/2)</f>
        <v>7.2978853848855687</v>
      </c>
      <c r="J438" s="16">
        <v>4.5</v>
      </c>
      <c r="K438" s="9">
        <v>2.64</v>
      </c>
      <c r="L438" s="14">
        <f t="shared" si="148"/>
        <v>17.717555955773371</v>
      </c>
      <c r="M438" s="6"/>
      <c r="N438" s="2">
        <f t="shared" ref="N438:N443" si="169">-(1.7*K438^2)/19.62</f>
        <v>-0.60388990825688071</v>
      </c>
      <c r="O438">
        <f t="shared" si="149"/>
        <v>0.81428221353600005</v>
      </c>
      <c r="P438">
        <f t="shared" si="154"/>
        <v>4.1987385815227594</v>
      </c>
      <c r="Q438">
        <f t="shared" si="150"/>
        <v>0.83974771630455192</v>
      </c>
      <c r="R438">
        <f t="shared" si="151"/>
        <v>9.1083640000000007E-3</v>
      </c>
    </row>
    <row r="439" spans="1:18" x14ac:dyDescent="0.3">
      <c r="A439">
        <v>1</v>
      </c>
      <c r="B439">
        <v>30</v>
      </c>
      <c r="C439">
        <v>4</v>
      </c>
      <c r="D439" s="16">
        <v>7.5</v>
      </c>
      <c r="E439" s="11">
        <v>15.422011619999999</v>
      </c>
      <c r="F439" s="8">
        <f t="shared" si="163"/>
        <v>4.8631788023513369</v>
      </c>
      <c r="G439" s="8">
        <v>7.6656000000000004</v>
      </c>
      <c r="H439" s="15">
        <v>2.2770910000000002E-3</v>
      </c>
      <c r="I439" s="17">
        <f t="shared" si="168"/>
        <v>10.946828077328352</v>
      </c>
      <c r="J439" s="16">
        <v>4.5</v>
      </c>
      <c r="K439" s="9">
        <v>6.18</v>
      </c>
      <c r="L439" s="14">
        <f t="shared" si="148"/>
        <v>5.6301724953095862</v>
      </c>
      <c r="M439" s="6"/>
      <c r="N439" s="2">
        <f t="shared" si="169"/>
        <v>-3.3092293577981651</v>
      </c>
      <c r="O439">
        <f t="shared" si="149"/>
        <v>1.2707737574879998</v>
      </c>
      <c r="P439">
        <f t="shared" si="154"/>
        <v>9.8288653158373656</v>
      </c>
      <c r="Q439">
        <f t="shared" si="150"/>
        <v>1.3105153754449821</v>
      </c>
      <c r="R439">
        <f t="shared" si="151"/>
        <v>9.1083640000000007E-3</v>
      </c>
    </row>
    <row r="440" spans="1:18" x14ac:dyDescent="0.3">
      <c r="A440">
        <v>1</v>
      </c>
      <c r="B440">
        <v>30</v>
      </c>
      <c r="C440">
        <v>4</v>
      </c>
      <c r="D440" s="16">
        <v>10</v>
      </c>
      <c r="E440" s="11">
        <v>15.422011619999999</v>
      </c>
      <c r="F440" s="8">
        <f t="shared" si="163"/>
        <v>6.4842384031351159</v>
      </c>
      <c r="G440" s="8">
        <v>7.6656000000000004</v>
      </c>
      <c r="H440" s="15">
        <v>2.2770910000000002E-3</v>
      </c>
      <c r="I440" s="17">
        <f t="shared" si="168"/>
        <v>14.595770769771137</v>
      </c>
      <c r="J440" s="16">
        <v>4.5</v>
      </c>
      <c r="K440" s="9">
        <v>10.37</v>
      </c>
      <c r="L440" s="14">
        <f t="shared" si="148"/>
        <v>0.36319809079307375</v>
      </c>
      <c r="M440" s="6"/>
      <c r="N440" s="2">
        <f t="shared" si="169"/>
        <v>-9.3176722731906203</v>
      </c>
      <c r="O440">
        <f t="shared" si="149"/>
        <v>1.5992626049939997</v>
      </c>
      <c r="P440">
        <f t="shared" si="154"/>
        <v>16.492772382723864</v>
      </c>
      <c r="Q440">
        <f t="shared" si="150"/>
        <v>1.6492772382723864</v>
      </c>
      <c r="R440">
        <f t="shared" si="151"/>
        <v>9.1083640000000007E-3</v>
      </c>
    </row>
    <row r="441" spans="1:18" x14ac:dyDescent="0.3">
      <c r="A441">
        <v>1</v>
      </c>
      <c r="B441">
        <v>30</v>
      </c>
      <c r="C441">
        <v>4</v>
      </c>
      <c r="D441" s="16">
        <v>12.5</v>
      </c>
      <c r="E441" s="11">
        <v>15.422011619999999</v>
      </c>
      <c r="F441" s="8">
        <f t="shared" si="163"/>
        <v>8.1052980039188949</v>
      </c>
      <c r="G441" s="8">
        <v>7.6656000000000004</v>
      </c>
      <c r="H441" s="15">
        <v>2.2770910000000002E-3</v>
      </c>
      <c r="I441" s="17">
        <f t="shared" si="168"/>
        <v>18.24471346221392</v>
      </c>
      <c r="J441" s="16">
        <v>4.5</v>
      </c>
      <c r="K441" s="9">
        <v>15.3</v>
      </c>
      <c r="L441" s="14">
        <f t="shared" si="148"/>
        <v>-3.042345331710719</v>
      </c>
      <c r="M441" s="6"/>
      <c r="N441" s="2">
        <f t="shared" si="169"/>
        <v>-20.283027522935779</v>
      </c>
      <c r="O441">
        <f t="shared" si="149"/>
        <v>1.8876542222879999</v>
      </c>
      <c r="P441">
        <f t="shared" si="154"/>
        <v>24.333598597461442</v>
      </c>
      <c r="Q441">
        <f t="shared" si="150"/>
        <v>1.9466878877969154</v>
      </c>
      <c r="R441">
        <f t="shared" si="151"/>
        <v>9.1083640000000007E-3</v>
      </c>
    </row>
    <row r="442" spans="1:18" x14ac:dyDescent="0.3">
      <c r="A442">
        <v>1</v>
      </c>
      <c r="B442">
        <v>30</v>
      </c>
      <c r="C442">
        <v>4</v>
      </c>
      <c r="D442" s="16">
        <v>15</v>
      </c>
      <c r="E442" s="11">
        <v>15.422011619999999</v>
      </c>
      <c r="F442" s="8">
        <f t="shared" si="163"/>
        <v>9.7263576047026739</v>
      </c>
      <c r="G442" s="8">
        <v>7.6656000000000004</v>
      </c>
      <c r="H442" s="15">
        <v>2.2770910000000002E-3</v>
      </c>
      <c r="I442" s="17">
        <f t="shared" si="168"/>
        <v>21.893656154656703</v>
      </c>
      <c r="J442" s="16">
        <v>4.5</v>
      </c>
      <c r="K442" s="9">
        <v>22.47</v>
      </c>
      <c r="L442" s="14">
        <f t="shared" si="148"/>
        <v>-6.9792159244886829</v>
      </c>
      <c r="M442" s="6"/>
      <c r="N442" s="2">
        <f t="shared" si="169"/>
        <v>-43.747784403669712</v>
      </c>
      <c r="O442">
        <f t="shared" si="149"/>
        <v>2.310217340676</v>
      </c>
      <c r="P442">
        <f t="shared" si="154"/>
        <v>35.736990881369842</v>
      </c>
      <c r="Q442">
        <f t="shared" si="150"/>
        <v>2.3824660587579896</v>
      </c>
      <c r="R442">
        <f t="shared" si="151"/>
        <v>9.1083640000000007E-3</v>
      </c>
    </row>
    <row r="443" spans="1:18" x14ac:dyDescent="0.3">
      <c r="A443">
        <v>1</v>
      </c>
      <c r="B443">
        <v>30</v>
      </c>
      <c r="C443">
        <v>4</v>
      </c>
      <c r="D443" s="16">
        <v>17.8</v>
      </c>
      <c r="E443" s="11">
        <v>15.422011619999999</v>
      </c>
      <c r="F443" s="8">
        <f t="shared" si="163"/>
        <v>11.541944357580507</v>
      </c>
      <c r="G443" s="8">
        <v>7.6656000000000004</v>
      </c>
      <c r="H443" s="15">
        <v>2.2770910000000002E-3</v>
      </c>
      <c r="I443" s="17">
        <f t="shared" si="168"/>
        <v>25.980471970192625</v>
      </c>
      <c r="J443" s="16">
        <v>4.5</v>
      </c>
      <c r="K443" s="9">
        <v>27.36</v>
      </c>
      <c r="L443" s="14">
        <f t="shared" si="148"/>
        <v>-8.0657048107070697</v>
      </c>
      <c r="M443" s="6"/>
      <c r="N443" s="2">
        <f t="shared" si="169"/>
        <v>-64.860770642201828</v>
      </c>
      <c r="O443">
        <f t="shared" si="149"/>
        <v>2.3704844827146068</v>
      </c>
      <c r="P443">
        <f t="shared" si="154"/>
        <v>43.514199844872223</v>
      </c>
      <c r="Q443">
        <f t="shared" si="150"/>
        <v>2.4446179688130463</v>
      </c>
      <c r="R443">
        <f t="shared" si="151"/>
        <v>9.1083640000000007E-3</v>
      </c>
    </row>
    <row r="444" spans="1:18" x14ac:dyDescent="0.3">
      <c r="A444">
        <v>1</v>
      </c>
      <c r="B444">
        <v>30</v>
      </c>
      <c r="C444">
        <v>6</v>
      </c>
      <c r="D444" s="16">
        <v>2.5</v>
      </c>
      <c r="E444" s="11">
        <v>15.422011619999999</v>
      </c>
      <c r="F444" s="8">
        <f t="shared" si="163"/>
        <v>1.621059600783779</v>
      </c>
      <c r="G444" s="8">
        <v>7.6656000000000004</v>
      </c>
      <c r="H444" s="15">
        <v>1.518061E-3</v>
      </c>
      <c r="I444" s="17">
        <f>F444/((E444*10^-4)/(G444*10^-2)*9.81)^(1/2)</f>
        <v>3.6489426924427844</v>
      </c>
      <c r="J444" s="16">
        <v>3</v>
      </c>
      <c r="K444" s="9">
        <v>0</v>
      </c>
      <c r="L444" s="14">
        <f t="shared" si="148"/>
        <v>75.379001381404876</v>
      </c>
      <c r="M444" s="6"/>
      <c r="N444" s="2">
        <f>-(1.7*K444^2)/19.62</f>
        <v>0</v>
      </c>
      <c r="O444">
        <f t="shared" si="149"/>
        <v>0</v>
      </c>
      <c r="P444">
        <f t="shared" si="154"/>
        <v>0</v>
      </c>
      <c r="Q444">
        <f t="shared" si="150"/>
        <v>0</v>
      </c>
      <c r="R444">
        <f t="shared" si="151"/>
        <v>9.1083659999999997E-3</v>
      </c>
    </row>
    <row r="445" spans="1:18" x14ac:dyDescent="0.3">
      <c r="A445">
        <v>1</v>
      </c>
      <c r="B445">
        <v>30</v>
      </c>
      <c r="C445">
        <v>6</v>
      </c>
      <c r="D445" s="16">
        <v>5</v>
      </c>
      <c r="E445" s="11">
        <v>15.422011619999999</v>
      </c>
      <c r="F445" s="8">
        <f t="shared" si="163"/>
        <v>3.242119201567558</v>
      </c>
      <c r="G445" s="8">
        <v>7.6656000000000004</v>
      </c>
      <c r="H445" s="15">
        <v>1.518061E-3</v>
      </c>
      <c r="I445" s="17">
        <f t="shared" ref="I445:I450" si="170">F445/((E445*10^-4)/(G445*10^-2)*9.81)^(1/2)</f>
        <v>7.2978853848855687</v>
      </c>
      <c r="J445" s="16">
        <v>4.5</v>
      </c>
      <c r="K445" s="9">
        <v>2.3199999999999998</v>
      </c>
      <c r="L445" s="14">
        <f t="shared" si="148"/>
        <v>17.974254035309922</v>
      </c>
      <c r="M445" s="6"/>
      <c r="N445" s="2">
        <f t="shared" ref="N445:N450" si="171">-(1.7*K445^2)/19.62</f>
        <v>-0.46636493374108046</v>
      </c>
      <c r="O445">
        <f t="shared" si="149"/>
        <v>0.71558133916799993</v>
      </c>
      <c r="P445">
        <f t="shared" si="154"/>
        <v>3.6898005716412117</v>
      </c>
      <c r="Q445">
        <f t="shared" si="150"/>
        <v>0.73796011432824238</v>
      </c>
      <c r="R445">
        <f t="shared" si="151"/>
        <v>9.1083659999999997E-3</v>
      </c>
    </row>
    <row r="446" spans="1:18" x14ac:dyDescent="0.3">
      <c r="A446">
        <v>1</v>
      </c>
      <c r="B446">
        <v>30</v>
      </c>
      <c r="C446">
        <v>6</v>
      </c>
      <c r="D446" s="16">
        <v>7.5</v>
      </c>
      <c r="E446" s="11">
        <v>15.422011619999999</v>
      </c>
      <c r="F446" s="8">
        <f t="shared" si="163"/>
        <v>4.8631788023513369</v>
      </c>
      <c r="G446" s="8">
        <v>7.6656000000000004</v>
      </c>
      <c r="H446" s="15">
        <v>1.518061E-3</v>
      </c>
      <c r="I446" s="17">
        <f t="shared" si="170"/>
        <v>10.946828077328352</v>
      </c>
      <c r="J446" s="16">
        <v>4.5</v>
      </c>
      <c r="K446" s="9">
        <v>6.02</v>
      </c>
      <c r="L446" s="14">
        <f t="shared" si="148"/>
        <v>5.7704823774935443</v>
      </c>
      <c r="M446" s="6"/>
      <c r="N446" s="2">
        <f t="shared" si="171"/>
        <v>-3.1400958205912324</v>
      </c>
      <c r="O446">
        <f t="shared" si="149"/>
        <v>1.2378734660319999</v>
      </c>
      <c r="P446">
        <f t="shared" si="154"/>
        <v>9.5743963108965922</v>
      </c>
      <c r="Q446">
        <f t="shared" si="150"/>
        <v>1.2765861747862124</v>
      </c>
      <c r="R446">
        <f t="shared" si="151"/>
        <v>9.1083659999999997E-3</v>
      </c>
    </row>
    <row r="447" spans="1:18" x14ac:dyDescent="0.3">
      <c r="A447">
        <v>1</v>
      </c>
      <c r="B447">
        <v>30</v>
      </c>
      <c r="C447">
        <v>6</v>
      </c>
      <c r="D447" s="16">
        <v>10</v>
      </c>
      <c r="E447" s="11">
        <v>15.422011619999999</v>
      </c>
      <c r="F447" s="8">
        <f t="shared" si="163"/>
        <v>6.4842384031351159</v>
      </c>
      <c r="G447" s="8">
        <v>7.6656000000000004</v>
      </c>
      <c r="H447" s="15">
        <v>1.518061E-3</v>
      </c>
      <c r="I447" s="17">
        <f t="shared" si="170"/>
        <v>14.595770769771137</v>
      </c>
      <c r="J447" s="16">
        <v>4.5</v>
      </c>
      <c r="K447" s="9">
        <v>11.29</v>
      </c>
      <c r="L447" s="14">
        <f t="shared" si="148"/>
        <v>-0.44250912482890353</v>
      </c>
      <c r="M447" s="6"/>
      <c r="N447" s="2">
        <f t="shared" si="171"/>
        <v>-11.044290010193679</v>
      </c>
      <c r="O447">
        <f t="shared" si="149"/>
        <v>1.7411451118979999</v>
      </c>
      <c r="P447">
        <f t="shared" si="154"/>
        <v>17.955969161133311</v>
      </c>
      <c r="Q447">
        <f t="shared" si="150"/>
        <v>1.7955969161133312</v>
      </c>
      <c r="R447">
        <f t="shared" si="151"/>
        <v>9.1083659999999997E-3</v>
      </c>
    </row>
    <row r="448" spans="1:18" x14ac:dyDescent="0.3">
      <c r="A448">
        <v>1</v>
      </c>
      <c r="B448">
        <v>30</v>
      </c>
      <c r="C448">
        <v>6</v>
      </c>
      <c r="D448" s="16">
        <v>12.5</v>
      </c>
      <c r="E448" s="11">
        <v>15.422011619999999</v>
      </c>
      <c r="F448" s="8">
        <f t="shared" si="163"/>
        <v>8.1052980039188949</v>
      </c>
      <c r="G448" s="8">
        <v>7.6656000000000004</v>
      </c>
      <c r="H448" s="15">
        <v>1.518061E-3</v>
      </c>
      <c r="I448" s="17">
        <f t="shared" si="170"/>
        <v>18.24471346221392</v>
      </c>
      <c r="J448" s="16">
        <v>4.5</v>
      </c>
      <c r="K448" s="9">
        <v>14.82</v>
      </c>
      <c r="L448" s="14">
        <f t="shared" si="148"/>
        <v>-2.6682285822442195</v>
      </c>
      <c r="M448" s="6"/>
      <c r="N448" s="2">
        <f t="shared" si="171"/>
        <v>-19.030330275229357</v>
      </c>
      <c r="O448">
        <f t="shared" si="149"/>
        <v>1.8284336976672</v>
      </c>
      <c r="P448">
        <f t="shared" si="154"/>
        <v>23.570191582639122</v>
      </c>
      <c r="Q448">
        <f t="shared" si="150"/>
        <v>1.8856153266111297</v>
      </c>
      <c r="R448">
        <f t="shared" si="151"/>
        <v>9.1083659999999997E-3</v>
      </c>
    </row>
    <row r="449" spans="1:18" x14ac:dyDescent="0.3">
      <c r="A449">
        <v>1</v>
      </c>
      <c r="B449">
        <v>30</v>
      </c>
      <c r="C449">
        <v>6</v>
      </c>
      <c r="D449" s="16">
        <v>15</v>
      </c>
      <c r="E449" s="11">
        <v>15.422011619999999</v>
      </c>
      <c r="F449" s="8">
        <f t="shared" si="163"/>
        <v>9.7263576047026739</v>
      </c>
      <c r="G449" s="8">
        <v>7.6656000000000004</v>
      </c>
      <c r="H449" s="15">
        <v>1.518061E-3</v>
      </c>
      <c r="I449" s="17">
        <f t="shared" si="170"/>
        <v>21.893656154656703</v>
      </c>
      <c r="J449" s="16">
        <v>4.5</v>
      </c>
      <c r="K449" s="9">
        <v>16.16</v>
      </c>
      <c r="L449" s="14">
        <f t="shared" si="148"/>
        <v>-2.5989293690691864</v>
      </c>
      <c r="M449" s="6"/>
      <c r="N449" s="2">
        <f t="shared" si="171"/>
        <v>-22.627294597349643</v>
      </c>
      <c r="O449">
        <f t="shared" si="149"/>
        <v>1.661464718528</v>
      </c>
      <c r="P449">
        <f t="shared" si="154"/>
        <v>25.701369499018096</v>
      </c>
      <c r="Q449">
        <f t="shared" si="150"/>
        <v>1.7134246332678731</v>
      </c>
      <c r="R449">
        <f t="shared" si="151"/>
        <v>9.1083659999999997E-3</v>
      </c>
    </row>
    <row r="450" spans="1:18" x14ac:dyDescent="0.3">
      <c r="A450">
        <v>1</v>
      </c>
      <c r="B450">
        <v>30</v>
      </c>
      <c r="C450">
        <v>6</v>
      </c>
      <c r="D450" s="16">
        <v>17.8</v>
      </c>
      <c r="E450" s="11">
        <v>15.422011619999999</v>
      </c>
      <c r="F450" s="8">
        <f t="shared" si="163"/>
        <v>11.541944357580507</v>
      </c>
      <c r="G450" s="8">
        <v>7.6656000000000004</v>
      </c>
      <c r="H450" s="15">
        <v>1.518061E-3</v>
      </c>
      <c r="I450" s="17">
        <f t="shared" si="170"/>
        <v>25.980471970192625</v>
      </c>
      <c r="J450" s="16">
        <v>4.5</v>
      </c>
      <c r="K450" s="9">
        <v>21.61</v>
      </c>
      <c r="L450" s="14">
        <f t="shared" si="148"/>
        <v>-4.4724425386184574</v>
      </c>
      <c r="M450" s="6"/>
      <c r="N450" s="2">
        <f t="shared" si="171"/>
        <v>-40.463127930682973</v>
      </c>
      <c r="O450">
        <f t="shared" si="149"/>
        <v>1.8723015230797753</v>
      </c>
      <c r="P450">
        <f t="shared" si="154"/>
        <v>34.369219979813188</v>
      </c>
      <c r="Q450">
        <f t="shared" si="150"/>
        <v>1.9308550550456847</v>
      </c>
      <c r="R450">
        <f t="shared" si="151"/>
        <v>9.1083659999999997E-3</v>
      </c>
    </row>
    <row r="451" spans="1:18" x14ac:dyDescent="0.3">
      <c r="A451">
        <v>1</v>
      </c>
      <c r="B451">
        <v>40</v>
      </c>
      <c r="C451">
        <v>1</v>
      </c>
      <c r="D451" s="16">
        <v>3.2</v>
      </c>
      <c r="E451" s="11">
        <v>20.561469760000001</v>
      </c>
      <c r="F451" s="9">
        <f t="shared" si="163"/>
        <v>1.5563089785659368</v>
      </c>
      <c r="G451" s="8">
        <v>7.9885999999999999</v>
      </c>
      <c r="H451" s="15">
        <v>1.0389860000000001E-2</v>
      </c>
      <c r="I451" s="17">
        <f>F451/((E451*10^-4)/(G451*10^-2)*9.81)^(1/2)</f>
        <v>3.0972023463023919</v>
      </c>
      <c r="J451" s="16">
        <v>3</v>
      </c>
      <c r="K451" s="9">
        <v>0</v>
      </c>
      <c r="L451" s="14">
        <f t="shared" ref="L451:L506" si="172">(10.33+N451-0.234)/((F451^2)/19.62)</f>
        <v>81.781806395124647</v>
      </c>
      <c r="M451" s="6"/>
      <c r="N451" s="2">
        <f>-(1.7*K451^2)/19.62</f>
        <v>0</v>
      </c>
      <c r="O451">
        <f t="shared" si="149"/>
        <v>0</v>
      </c>
      <c r="P451">
        <f t="shared" si="154"/>
        <v>0</v>
      </c>
      <c r="Q451">
        <f t="shared" si="150"/>
        <v>0</v>
      </c>
      <c r="R451">
        <f t="shared" si="151"/>
        <v>1.0389860000000001E-2</v>
      </c>
    </row>
    <row r="452" spans="1:18" x14ac:dyDescent="0.3">
      <c r="A452">
        <v>1</v>
      </c>
      <c r="B452">
        <v>40</v>
      </c>
      <c r="C452">
        <v>1</v>
      </c>
      <c r="D452" s="16">
        <v>6.4</v>
      </c>
      <c r="E452" s="11">
        <v>20.561469760000001</v>
      </c>
      <c r="F452" s="9">
        <f t="shared" si="163"/>
        <v>3.1126179571318735</v>
      </c>
      <c r="G452" s="8">
        <v>7.9885999999999999</v>
      </c>
      <c r="H452" s="15">
        <v>1.0389860000000001E-2</v>
      </c>
      <c r="I452" s="17">
        <f t="shared" ref="I452:I457" si="173">F452/((E452*10^-4)/(G452*10^-2)*9.81)^(1/2)</f>
        <v>6.1944046926047838</v>
      </c>
      <c r="J452" s="16">
        <v>4.5</v>
      </c>
      <c r="K452" s="9">
        <v>1.75</v>
      </c>
      <c r="L452" s="14">
        <f t="shared" si="172"/>
        <v>19.908081642985977</v>
      </c>
      <c r="M452" s="6"/>
      <c r="N452" s="2">
        <f t="shared" ref="N452:N457" si="174">-(1.7*K452^2)/19.62</f>
        <v>-0.26535423037716616</v>
      </c>
      <c r="O452">
        <f t="shared" ref="O452:O506" si="175">K452/F452</f>
        <v>0.56222768875000007</v>
      </c>
      <c r="P452">
        <f t="shared" si="154"/>
        <v>2.7832547415397073</v>
      </c>
      <c r="Q452">
        <f t="shared" ref="Q452:Q506" si="176">P452/D452</f>
        <v>0.43488355336557927</v>
      </c>
      <c r="R452">
        <f t="shared" ref="R452:R506" si="177">H452*C452</f>
        <v>1.0389860000000001E-2</v>
      </c>
    </row>
    <row r="453" spans="1:18" x14ac:dyDescent="0.3">
      <c r="A453">
        <v>1</v>
      </c>
      <c r="B453">
        <v>40</v>
      </c>
      <c r="C453">
        <v>1</v>
      </c>
      <c r="D453" s="16">
        <v>9.6</v>
      </c>
      <c r="E453" s="11">
        <v>20.561469760000001</v>
      </c>
      <c r="F453" s="9">
        <f t="shared" si="163"/>
        <v>4.6689269356978089</v>
      </c>
      <c r="G453" s="8">
        <v>7.9885999999999999</v>
      </c>
      <c r="H453" s="15">
        <v>1.0389860000000001E-2</v>
      </c>
      <c r="I453" s="17">
        <f t="shared" si="173"/>
        <v>9.2916070389071734</v>
      </c>
      <c r="J453" s="16">
        <v>4.5</v>
      </c>
      <c r="K453" s="9">
        <v>4.4000000000000004</v>
      </c>
      <c r="L453" s="14">
        <f t="shared" si="172"/>
        <v>7.5770649508676753</v>
      </c>
      <c r="M453" s="6"/>
      <c r="N453" s="2">
        <f t="shared" si="174"/>
        <v>-1.6774719673802245</v>
      </c>
      <c r="O453">
        <f t="shared" si="175"/>
        <v>0.94240069733333376</v>
      </c>
      <c r="P453">
        <f t="shared" ref="P453:P506" si="178">K453*PI()*(J453^2)/40</f>
        <v>6.9978976358712659</v>
      </c>
      <c r="Q453">
        <f t="shared" si="176"/>
        <v>0.72894767040325692</v>
      </c>
      <c r="R453">
        <f t="shared" si="177"/>
        <v>1.0389860000000001E-2</v>
      </c>
    </row>
    <row r="454" spans="1:18" x14ac:dyDescent="0.3">
      <c r="A454">
        <v>1</v>
      </c>
      <c r="B454">
        <v>40</v>
      </c>
      <c r="C454">
        <v>1</v>
      </c>
      <c r="D454" s="16">
        <v>12.8</v>
      </c>
      <c r="E454" s="11">
        <v>20.561469760000001</v>
      </c>
      <c r="F454" s="9">
        <f t="shared" si="163"/>
        <v>6.225235914263747</v>
      </c>
      <c r="G454" s="8">
        <v>7.9885999999999999</v>
      </c>
      <c r="H454" s="15">
        <v>1.0389860000000001E-2</v>
      </c>
      <c r="I454" s="17">
        <f t="shared" si="173"/>
        <v>12.388809385209568</v>
      </c>
      <c r="J454" s="16">
        <v>4.5</v>
      </c>
      <c r="K454" s="9">
        <v>7.01</v>
      </c>
      <c r="L454" s="14">
        <f t="shared" si="172"/>
        <v>2.9557373188976652</v>
      </c>
      <c r="M454" s="6"/>
      <c r="N454" s="2">
        <f t="shared" si="174"/>
        <v>-4.2578068297655447</v>
      </c>
      <c r="O454">
        <f t="shared" si="175"/>
        <v>1.1260617423250001</v>
      </c>
      <c r="P454">
        <f t="shared" si="178"/>
        <v>11.148923278967626</v>
      </c>
      <c r="Q454">
        <f t="shared" si="176"/>
        <v>0.87100963116934571</v>
      </c>
      <c r="R454">
        <f t="shared" si="177"/>
        <v>1.0389860000000001E-2</v>
      </c>
    </row>
    <row r="455" spans="1:18" x14ac:dyDescent="0.3">
      <c r="A455">
        <v>1</v>
      </c>
      <c r="B455">
        <v>40</v>
      </c>
      <c r="C455">
        <v>1</v>
      </c>
      <c r="D455" s="16">
        <v>16</v>
      </c>
      <c r="E455" s="11">
        <v>20.561469760000001</v>
      </c>
      <c r="F455" s="9">
        <f t="shared" si="163"/>
        <v>7.7815448928296833</v>
      </c>
      <c r="G455" s="8">
        <v>7.9885999999999999</v>
      </c>
      <c r="H455" s="15">
        <v>1.0389860000000001E-2</v>
      </c>
      <c r="I455" s="17">
        <f t="shared" si="173"/>
        <v>15.48601173151196</v>
      </c>
      <c r="J455" s="16">
        <v>4.5</v>
      </c>
      <c r="K455" s="9">
        <v>11.09</v>
      </c>
      <c r="L455" s="14">
        <f t="shared" si="172"/>
        <v>-0.1815987899593845</v>
      </c>
      <c r="M455" s="6"/>
      <c r="N455" s="2">
        <f t="shared" si="174"/>
        <v>-10.656461264016309</v>
      </c>
      <c r="O455">
        <f t="shared" si="175"/>
        <v>1.4251668727400002</v>
      </c>
      <c r="P455">
        <f t="shared" si="178"/>
        <v>17.637882904957344</v>
      </c>
      <c r="Q455">
        <f t="shared" si="176"/>
        <v>1.102367681559834</v>
      </c>
      <c r="R455">
        <f t="shared" si="177"/>
        <v>1.0389860000000001E-2</v>
      </c>
    </row>
    <row r="456" spans="1:18" x14ac:dyDescent="0.3">
      <c r="A456">
        <v>1</v>
      </c>
      <c r="B456">
        <v>40</v>
      </c>
      <c r="C456">
        <v>1</v>
      </c>
      <c r="D456" s="16">
        <v>19.2</v>
      </c>
      <c r="E456" s="11">
        <v>20.561469760000001</v>
      </c>
      <c r="F456" s="9">
        <f t="shared" si="163"/>
        <v>9.3378538713956178</v>
      </c>
      <c r="G456" s="8">
        <v>7.9885999999999999</v>
      </c>
      <c r="H456" s="15">
        <v>1.0389860000000001E-2</v>
      </c>
      <c r="I456" s="17">
        <f t="shared" si="173"/>
        <v>18.583214077814347</v>
      </c>
      <c r="J456" s="16">
        <v>4.5</v>
      </c>
      <c r="K456" s="9">
        <v>15.59</v>
      </c>
      <c r="L456" s="14">
        <f t="shared" si="172"/>
        <v>-2.4668499313137833</v>
      </c>
      <c r="M456" s="6"/>
      <c r="N456" s="2">
        <f t="shared" si="174"/>
        <v>-21.05921355759429</v>
      </c>
      <c r="O456">
        <f t="shared" si="175"/>
        <v>1.6695485081166672</v>
      </c>
      <c r="P456">
        <f t="shared" si="178"/>
        <v>24.794823668916592</v>
      </c>
      <c r="Q456">
        <f t="shared" si="176"/>
        <v>1.2913970660894059</v>
      </c>
      <c r="R456">
        <f t="shared" si="177"/>
        <v>1.0389860000000001E-2</v>
      </c>
    </row>
    <row r="457" spans="1:18" x14ac:dyDescent="0.3">
      <c r="A457">
        <v>1</v>
      </c>
      <c r="B457">
        <v>40</v>
      </c>
      <c r="C457">
        <v>1</v>
      </c>
      <c r="D457" s="16">
        <v>22.6</v>
      </c>
      <c r="E457" s="11">
        <v>20.561469760000001</v>
      </c>
      <c r="F457" s="9">
        <f t="shared" si="163"/>
        <v>10.991432161121928</v>
      </c>
      <c r="G457" s="8">
        <v>7.9885999999999999</v>
      </c>
      <c r="H457" s="15">
        <v>1.0389860000000001E-2</v>
      </c>
      <c r="I457" s="17">
        <f t="shared" si="173"/>
        <v>21.873991570760644</v>
      </c>
      <c r="J457" s="16">
        <v>4.5</v>
      </c>
      <c r="K457" s="9">
        <v>19.75</v>
      </c>
      <c r="L457" s="14">
        <f t="shared" si="172"/>
        <v>-3.8491568964953773</v>
      </c>
      <c r="M457" s="6"/>
      <c r="N457" s="2">
        <f t="shared" si="174"/>
        <v>-33.797464322120277</v>
      </c>
      <c r="O457">
        <f t="shared" si="175"/>
        <v>1.7968541051327436</v>
      </c>
      <c r="P457">
        <f t="shared" si="178"/>
        <v>31.411017797376701</v>
      </c>
      <c r="Q457">
        <f t="shared" si="176"/>
        <v>1.3898680441317124</v>
      </c>
      <c r="R457">
        <f t="shared" si="177"/>
        <v>1.0389860000000001E-2</v>
      </c>
    </row>
    <row r="458" spans="1:18" x14ac:dyDescent="0.3">
      <c r="A458">
        <v>1</v>
      </c>
      <c r="B458">
        <v>40</v>
      </c>
      <c r="C458">
        <v>2</v>
      </c>
      <c r="D458" s="16">
        <v>3.2</v>
      </c>
      <c r="E458" s="11">
        <v>20.561469760000001</v>
      </c>
      <c r="F458" s="9">
        <f t="shared" si="163"/>
        <v>1.5563089785659368</v>
      </c>
      <c r="G458" s="8">
        <v>7.9885999999999999</v>
      </c>
      <c r="H458" s="15">
        <v>5.1949300000000004E-3</v>
      </c>
      <c r="I458" s="17">
        <f>F458/((E458*10^-4)/(G458*10^-2)*9.81)^(1/2)</f>
        <v>3.0972023463023919</v>
      </c>
      <c r="J458" s="16">
        <v>3</v>
      </c>
      <c r="K458" s="9">
        <v>0</v>
      </c>
      <c r="L458" s="14">
        <f t="shared" si="172"/>
        <v>81.781806395124647</v>
      </c>
      <c r="M458" s="6"/>
      <c r="N458" s="2">
        <f>-(1.7*K458^2)/19.62</f>
        <v>0</v>
      </c>
      <c r="O458">
        <f t="shared" si="175"/>
        <v>0</v>
      </c>
      <c r="P458">
        <f t="shared" si="178"/>
        <v>0</v>
      </c>
      <c r="Q458">
        <f t="shared" si="176"/>
        <v>0</v>
      </c>
      <c r="R458">
        <f t="shared" si="177"/>
        <v>1.0389860000000001E-2</v>
      </c>
    </row>
    <row r="459" spans="1:18" x14ac:dyDescent="0.3">
      <c r="A459">
        <v>1</v>
      </c>
      <c r="B459">
        <v>40</v>
      </c>
      <c r="C459">
        <v>2</v>
      </c>
      <c r="D459" s="16">
        <v>6.4</v>
      </c>
      <c r="E459" s="11">
        <v>20.561469760000001</v>
      </c>
      <c r="F459" s="9">
        <f t="shared" si="163"/>
        <v>3.1126179571318735</v>
      </c>
      <c r="G459" s="8">
        <v>7.9885999999999999</v>
      </c>
      <c r="H459" s="15">
        <v>5.1949300000000004E-3</v>
      </c>
      <c r="I459" s="17">
        <f t="shared" ref="I459:I464" si="179">F459/((E459*10^-4)/(G459*10^-2)*9.81)^(1/2)</f>
        <v>6.1944046926047838</v>
      </c>
      <c r="J459" s="16">
        <v>4.5</v>
      </c>
      <c r="K459" s="9">
        <v>2.23</v>
      </c>
      <c r="L459" s="14">
        <f t="shared" si="172"/>
        <v>19.572868071214184</v>
      </c>
      <c r="M459" s="6"/>
      <c r="N459" s="2">
        <f t="shared" ref="N459:N464" si="180">-(1.7*K459^2)/19.62</f>
        <v>-0.43088328236493373</v>
      </c>
      <c r="O459">
        <f t="shared" si="175"/>
        <v>0.71643871195000008</v>
      </c>
      <c r="P459">
        <f t="shared" si="178"/>
        <v>3.5466617563620275</v>
      </c>
      <c r="Q459">
        <f t="shared" si="176"/>
        <v>0.5541658994315668</v>
      </c>
      <c r="R459">
        <f t="shared" si="177"/>
        <v>1.0389860000000001E-2</v>
      </c>
    </row>
    <row r="460" spans="1:18" x14ac:dyDescent="0.3">
      <c r="A460">
        <v>1</v>
      </c>
      <c r="B460">
        <v>40</v>
      </c>
      <c r="C460">
        <v>2</v>
      </c>
      <c r="D460" s="16">
        <v>9.6</v>
      </c>
      <c r="E460" s="11">
        <v>20.561469760000001</v>
      </c>
      <c r="F460" s="9">
        <f t="shared" si="163"/>
        <v>4.6689269356978089</v>
      </c>
      <c r="G460" s="8">
        <v>7.9885999999999999</v>
      </c>
      <c r="H460" s="15">
        <v>5.1949300000000004E-3</v>
      </c>
      <c r="I460" s="17">
        <f t="shared" si="179"/>
        <v>9.2916070389071734</v>
      </c>
      <c r="J460" s="16">
        <v>4.5</v>
      </c>
      <c r="K460" s="9">
        <v>5.07</v>
      </c>
      <c r="L460" s="14">
        <f t="shared" si="172"/>
        <v>7.0822537207506873</v>
      </c>
      <c r="M460" s="6"/>
      <c r="N460" s="2">
        <f t="shared" si="180"/>
        <v>-2.2272339449541287</v>
      </c>
      <c r="O460">
        <f t="shared" si="175"/>
        <v>1.0859026217000005</v>
      </c>
      <c r="P460">
        <f t="shared" si="178"/>
        <v>8.0634865940607519</v>
      </c>
      <c r="Q460">
        <f t="shared" si="176"/>
        <v>0.83994652021466165</v>
      </c>
      <c r="R460">
        <f t="shared" si="177"/>
        <v>1.0389860000000001E-2</v>
      </c>
    </row>
    <row r="461" spans="1:18" x14ac:dyDescent="0.3">
      <c r="A461">
        <v>1</v>
      </c>
      <c r="B461">
        <v>40</v>
      </c>
      <c r="C461">
        <v>2</v>
      </c>
      <c r="D461" s="16">
        <v>12.8</v>
      </c>
      <c r="E461" s="11">
        <v>20.561469760000001</v>
      </c>
      <c r="F461" s="9">
        <f t="shared" si="163"/>
        <v>6.225235914263747</v>
      </c>
      <c r="G461" s="8">
        <v>7.9885999999999999</v>
      </c>
      <c r="H461" s="15">
        <v>5.1949300000000004E-3</v>
      </c>
      <c r="I461" s="17">
        <f t="shared" si="179"/>
        <v>12.388809385209568</v>
      </c>
      <c r="J461" s="16">
        <v>4.5</v>
      </c>
      <c r="K461" s="9">
        <v>9.27</v>
      </c>
      <c r="L461" s="14">
        <f t="shared" si="172"/>
        <v>1.3417499466869678</v>
      </c>
      <c r="M461" s="6"/>
      <c r="N461" s="2">
        <f t="shared" si="180"/>
        <v>-7.4457660550458709</v>
      </c>
      <c r="O461">
        <f t="shared" si="175"/>
        <v>1.4891001927750001</v>
      </c>
      <c r="P461">
        <f t="shared" si="178"/>
        <v>14.743297973756048</v>
      </c>
      <c r="Q461">
        <f t="shared" si="176"/>
        <v>1.1518201541996913</v>
      </c>
      <c r="R461">
        <f t="shared" si="177"/>
        <v>1.0389860000000001E-2</v>
      </c>
    </row>
    <row r="462" spans="1:18" x14ac:dyDescent="0.3">
      <c r="A462">
        <v>1</v>
      </c>
      <c r="B462">
        <v>40</v>
      </c>
      <c r="C462">
        <v>2</v>
      </c>
      <c r="D462" s="16">
        <v>16</v>
      </c>
      <c r="E462" s="11">
        <v>20.561469760000001</v>
      </c>
      <c r="F462" s="9">
        <f t="shared" si="163"/>
        <v>7.7815448928296833</v>
      </c>
      <c r="G462" s="8">
        <v>7.9885999999999999</v>
      </c>
      <c r="H462" s="15">
        <v>5.1949300000000004E-3</v>
      </c>
      <c r="I462" s="17">
        <f t="shared" si="179"/>
        <v>15.48601173151196</v>
      </c>
      <c r="J462" s="16">
        <v>4.5</v>
      </c>
      <c r="K462" s="9">
        <v>14.7</v>
      </c>
      <c r="L462" s="14">
        <f t="shared" si="172"/>
        <v>-2.7954195971403206</v>
      </c>
      <c r="M462" s="6"/>
      <c r="N462" s="2">
        <f t="shared" si="180"/>
        <v>-18.72339449541284</v>
      </c>
      <c r="O462">
        <f t="shared" si="175"/>
        <v>1.8890850342000003</v>
      </c>
      <c r="P462">
        <f t="shared" si="178"/>
        <v>23.379339828933542</v>
      </c>
      <c r="Q462">
        <f t="shared" si="176"/>
        <v>1.4612087393083464</v>
      </c>
      <c r="R462">
        <f t="shared" si="177"/>
        <v>1.0389860000000001E-2</v>
      </c>
    </row>
    <row r="463" spans="1:18" x14ac:dyDescent="0.3">
      <c r="A463">
        <v>1</v>
      </c>
      <c r="B463">
        <v>40</v>
      </c>
      <c r="C463">
        <v>2</v>
      </c>
      <c r="D463" s="16">
        <v>19.2</v>
      </c>
      <c r="E463" s="11">
        <v>20.561469760000001</v>
      </c>
      <c r="F463" s="9">
        <f t="shared" si="163"/>
        <v>9.3378538713956178</v>
      </c>
      <c r="G463" s="8">
        <v>7.9885999999999999</v>
      </c>
      <c r="H463" s="15">
        <v>5.1949300000000004E-3</v>
      </c>
      <c r="I463" s="17">
        <f t="shared" si="179"/>
        <v>18.583214077814347</v>
      </c>
      <c r="J463" s="16">
        <v>4.5</v>
      </c>
      <c r="K463" s="9">
        <v>19.12</v>
      </c>
      <c r="L463" s="14">
        <f t="shared" si="172"/>
        <v>-4.8556736016901105</v>
      </c>
      <c r="M463" s="6"/>
      <c r="N463" s="2">
        <f t="shared" si="180"/>
        <v>-31.675661569826708</v>
      </c>
      <c r="O463">
        <f t="shared" si="175"/>
        <v>2.0475796969333344</v>
      </c>
      <c r="P463">
        <f t="shared" si="178"/>
        <v>30.4090460904224</v>
      </c>
      <c r="Q463">
        <f t="shared" si="176"/>
        <v>1.5838044838761667</v>
      </c>
      <c r="R463">
        <f t="shared" si="177"/>
        <v>1.0389860000000001E-2</v>
      </c>
    </row>
    <row r="464" spans="1:18" x14ac:dyDescent="0.3">
      <c r="A464">
        <v>1</v>
      </c>
      <c r="B464">
        <v>40</v>
      </c>
      <c r="C464">
        <v>2</v>
      </c>
      <c r="D464" s="16">
        <v>23</v>
      </c>
      <c r="E464" s="11">
        <v>20.561469760000001</v>
      </c>
      <c r="F464" s="9">
        <f t="shared" si="163"/>
        <v>11.185970783442668</v>
      </c>
      <c r="G464" s="8">
        <v>7.9885999999999999</v>
      </c>
      <c r="H464" s="15">
        <v>5.1949300000000004E-3</v>
      </c>
      <c r="I464" s="17">
        <f t="shared" si="179"/>
        <v>22.26114186404844</v>
      </c>
      <c r="J464" s="16">
        <v>4.5</v>
      </c>
      <c r="K464" s="9">
        <v>25.79</v>
      </c>
      <c r="L464" s="14">
        <f t="shared" si="172"/>
        <v>-7.453509898505799</v>
      </c>
      <c r="M464" s="6"/>
      <c r="N464" s="2">
        <f t="shared" si="180"/>
        <v>-57.630528542303765</v>
      </c>
      <c r="O464">
        <f t="shared" si="175"/>
        <v>2.3055665439582613</v>
      </c>
      <c r="P464">
        <f t="shared" si="178"/>
        <v>41.01722273389089</v>
      </c>
      <c r="Q464">
        <f t="shared" si="176"/>
        <v>1.7833575101691692</v>
      </c>
      <c r="R464">
        <f t="shared" si="177"/>
        <v>1.0389860000000001E-2</v>
      </c>
    </row>
    <row r="465" spans="1:18" x14ac:dyDescent="0.3">
      <c r="A465">
        <v>1</v>
      </c>
      <c r="B465">
        <v>40</v>
      </c>
      <c r="C465">
        <v>4</v>
      </c>
      <c r="D465" s="16">
        <v>3.2</v>
      </c>
      <c r="E465" s="11">
        <v>20.561469760000001</v>
      </c>
      <c r="F465" s="9">
        <f t="shared" si="163"/>
        <v>1.5563089785659368</v>
      </c>
      <c r="G465" s="8">
        <v>7.9885999999999999</v>
      </c>
      <c r="H465" s="15">
        <v>2.5974650000000002E-3</v>
      </c>
      <c r="I465" s="17">
        <f>F465/((E465*10^-4)/(G465*10^-2)*9.81)^(1/2)</f>
        <v>3.0972023463023919</v>
      </c>
      <c r="J465" s="16">
        <v>3</v>
      </c>
      <c r="K465" s="9">
        <v>0</v>
      </c>
      <c r="L465" s="14">
        <f t="shared" si="172"/>
        <v>81.781806395124647</v>
      </c>
      <c r="M465" s="6"/>
      <c r="N465" s="2">
        <f>-(1.7*K465^2)/19.62</f>
        <v>0</v>
      </c>
      <c r="O465">
        <f t="shared" si="175"/>
        <v>0</v>
      </c>
      <c r="P465">
        <f t="shared" si="178"/>
        <v>0</v>
      </c>
      <c r="Q465">
        <f t="shared" si="176"/>
        <v>0</v>
      </c>
      <c r="R465">
        <f t="shared" si="177"/>
        <v>1.0389860000000001E-2</v>
      </c>
    </row>
    <row r="466" spans="1:18" x14ac:dyDescent="0.3">
      <c r="A466">
        <v>1</v>
      </c>
      <c r="B466">
        <v>40</v>
      </c>
      <c r="C466">
        <v>4</v>
      </c>
      <c r="D466" s="16">
        <v>6.4</v>
      </c>
      <c r="E466" s="11">
        <v>20.561469760000001</v>
      </c>
      <c r="F466" s="9">
        <f t="shared" si="163"/>
        <v>3.1126179571318735</v>
      </c>
      <c r="G466" s="8">
        <v>7.9885999999999999</v>
      </c>
      <c r="H466" s="15">
        <v>2.5974650000000002E-3</v>
      </c>
      <c r="I466" s="17">
        <f t="shared" ref="I466:I471" si="181">F466/((E466*10^-4)/(G466*10^-2)*9.81)^(1/2)</f>
        <v>6.1944046926047838</v>
      </c>
      <c r="J466" s="16">
        <v>4.5</v>
      </c>
      <c r="K466" s="9">
        <v>2.82</v>
      </c>
      <c r="L466" s="14">
        <f t="shared" si="172"/>
        <v>19.050061937894426</v>
      </c>
      <c r="M466" s="6"/>
      <c r="N466" s="2">
        <f t="shared" ref="N466:N471" si="182">-(1.7*K466^2)/19.62</f>
        <v>-0.68904587155963293</v>
      </c>
      <c r="O466">
        <f t="shared" si="175"/>
        <v>0.90598976130000008</v>
      </c>
      <c r="P466">
        <f t="shared" si="178"/>
        <v>4.4850162120811286</v>
      </c>
      <c r="Q466">
        <f t="shared" si="176"/>
        <v>0.70078378313767631</v>
      </c>
      <c r="R466">
        <f t="shared" si="177"/>
        <v>1.0389860000000001E-2</v>
      </c>
    </row>
    <row r="467" spans="1:18" x14ac:dyDescent="0.3">
      <c r="A467">
        <v>1</v>
      </c>
      <c r="B467">
        <v>40</v>
      </c>
      <c r="C467">
        <v>4</v>
      </c>
      <c r="D467" s="16">
        <v>9.6</v>
      </c>
      <c r="E467" s="11">
        <v>20.561469760000001</v>
      </c>
      <c r="F467" s="9">
        <f t="shared" si="163"/>
        <v>4.6689269356978089</v>
      </c>
      <c r="G467" s="8">
        <v>7.9885999999999999</v>
      </c>
      <c r="H467" s="15">
        <v>2.5974650000000002E-3</v>
      </c>
      <c r="I467" s="17">
        <f t="shared" si="181"/>
        <v>9.2916070389071734</v>
      </c>
      <c r="J467" s="16">
        <v>4.5</v>
      </c>
      <c r="K467" s="9">
        <v>5.86</v>
      </c>
      <c r="L467" s="14">
        <f t="shared" si="172"/>
        <v>6.4088709205976286</v>
      </c>
      <c r="M467" s="6"/>
      <c r="N467" s="2">
        <f t="shared" si="182"/>
        <v>-2.9753985728848114</v>
      </c>
      <c r="O467">
        <f t="shared" si="175"/>
        <v>1.2551063832666671</v>
      </c>
      <c r="P467">
        <f t="shared" si="178"/>
        <v>9.3199273059558205</v>
      </c>
      <c r="Q467">
        <f t="shared" si="176"/>
        <v>0.97082576103706464</v>
      </c>
      <c r="R467">
        <f t="shared" si="177"/>
        <v>1.0389860000000001E-2</v>
      </c>
    </row>
    <row r="468" spans="1:18" x14ac:dyDescent="0.3">
      <c r="A468">
        <v>1</v>
      </c>
      <c r="B468">
        <v>40</v>
      </c>
      <c r="C468">
        <v>4</v>
      </c>
      <c r="D468" s="16">
        <v>12.8</v>
      </c>
      <c r="E468" s="11">
        <v>20.561469760000001</v>
      </c>
      <c r="F468" s="9">
        <f t="shared" si="163"/>
        <v>6.225235914263747</v>
      </c>
      <c r="G468" s="8">
        <v>7.9885999999999999</v>
      </c>
      <c r="H468" s="15">
        <v>2.5974650000000002E-3</v>
      </c>
      <c r="I468" s="17">
        <f t="shared" si="181"/>
        <v>12.388809385209568</v>
      </c>
      <c r="J468" s="16">
        <v>4.5</v>
      </c>
      <c r="K468" s="9">
        <v>10.09</v>
      </c>
      <c r="L468" s="14">
        <f t="shared" si="172"/>
        <v>0.64535357752454314</v>
      </c>
      <c r="M468" s="6"/>
      <c r="N468" s="2">
        <f t="shared" si="182"/>
        <v>-8.8212930682976545</v>
      </c>
      <c r="O468">
        <f t="shared" si="175"/>
        <v>1.6208221084250001</v>
      </c>
      <c r="P468">
        <f t="shared" si="178"/>
        <v>16.047451624077514</v>
      </c>
      <c r="Q468">
        <f t="shared" si="176"/>
        <v>1.2537071581310557</v>
      </c>
      <c r="R468">
        <f t="shared" si="177"/>
        <v>1.0389860000000001E-2</v>
      </c>
    </row>
    <row r="469" spans="1:18" x14ac:dyDescent="0.3">
      <c r="A469">
        <v>1</v>
      </c>
      <c r="B469">
        <v>40</v>
      </c>
      <c r="C469">
        <v>4</v>
      </c>
      <c r="D469" s="16">
        <v>16</v>
      </c>
      <c r="E469" s="11">
        <v>20.561469760000001</v>
      </c>
      <c r="F469" s="9">
        <f t="shared" si="163"/>
        <v>7.7815448928296833</v>
      </c>
      <c r="G469" s="8">
        <v>7.9885999999999999</v>
      </c>
      <c r="H469" s="15">
        <v>2.5974650000000002E-3</v>
      </c>
      <c r="I469" s="17">
        <f t="shared" si="181"/>
        <v>15.48601173151196</v>
      </c>
      <c r="J469" s="16">
        <v>4.5</v>
      </c>
      <c r="K469" s="9">
        <v>15.56</v>
      </c>
      <c r="L469" s="14">
        <f t="shared" si="172"/>
        <v>-3.5260279645071941</v>
      </c>
      <c r="M469" s="6"/>
      <c r="N469" s="2">
        <f t="shared" si="182"/>
        <v>-20.978242609582058</v>
      </c>
      <c r="O469">
        <f t="shared" si="175"/>
        <v>1.9996029341600003</v>
      </c>
      <c r="P469">
        <f t="shared" si="178"/>
        <v>24.747110730490199</v>
      </c>
      <c r="Q469">
        <f t="shared" si="176"/>
        <v>1.5466944206556374</v>
      </c>
      <c r="R469">
        <f t="shared" si="177"/>
        <v>1.0389860000000001E-2</v>
      </c>
    </row>
    <row r="470" spans="1:18" x14ac:dyDescent="0.3">
      <c r="A470">
        <v>1</v>
      </c>
      <c r="B470">
        <v>40</v>
      </c>
      <c r="C470">
        <v>4</v>
      </c>
      <c r="D470" s="16">
        <v>19.2</v>
      </c>
      <c r="E470" s="11">
        <v>20.561469760000001</v>
      </c>
      <c r="F470" s="9">
        <f t="shared" si="163"/>
        <v>9.3378538713956178</v>
      </c>
      <c r="G470" s="8">
        <v>7.9885999999999999</v>
      </c>
      <c r="H470" s="15">
        <v>2.5974650000000002E-3</v>
      </c>
      <c r="I470" s="17">
        <f t="shared" si="181"/>
        <v>18.583214077814347</v>
      </c>
      <c r="J470" s="16">
        <v>4.5</v>
      </c>
      <c r="K470" s="9">
        <v>19.43</v>
      </c>
      <c r="L470" s="14">
        <f t="shared" si="172"/>
        <v>-5.0886655166735242</v>
      </c>
      <c r="M470" s="6"/>
      <c r="N470" s="2">
        <f t="shared" si="182"/>
        <v>-32.711127930682977</v>
      </c>
      <c r="O470">
        <f t="shared" si="175"/>
        <v>2.0807779033166676</v>
      </c>
      <c r="P470">
        <f t="shared" si="178"/>
        <v>30.902079787495154</v>
      </c>
      <c r="Q470">
        <f t="shared" si="176"/>
        <v>1.6094833222653726</v>
      </c>
      <c r="R470">
        <f t="shared" si="177"/>
        <v>1.0389860000000001E-2</v>
      </c>
    </row>
    <row r="471" spans="1:18" x14ac:dyDescent="0.3">
      <c r="A471">
        <v>1</v>
      </c>
      <c r="B471">
        <v>40</v>
      </c>
      <c r="C471">
        <v>4</v>
      </c>
      <c r="D471" s="16">
        <v>22.9</v>
      </c>
      <c r="E471" s="11">
        <v>20.561469760000001</v>
      </c>
      <c r="F471" s="9">
        <f t="shared" si="163"/>
        <v>11.137336127862485</v>
      </c>
      <c r="G471" s="8">
        <v>7.9885999999999999</v>
      </c>
      <c r="H471" s="15">
        <v>2.5974650000000002E-3</v>
      </c>
      <c r="I471" s="17">
        <f t="shared" si="181"/>
        <v>22.164354290726493</v>
      </c>
      <c r="J471" s="16">
        <v>4.5</v>
      </c>
      <c r="K471" s="9">
        <v>23.69</v>
      </c>
      <c r="L471" s="14">
        <f t="shared" si="172"/>
        <v>-6.094665346770074</v>
      </c>
      <c r="M471" s="6"/>
      <c r="N471" s="2">
        <f t="shared" si="182"/>
        <v>-48.627286952089705</v>
      </c>
      <c r="O471">
        <f t="shared" si="175"/>
        <v>2.1270795572681225</v>
      </c>
      <c r="P471">
        <f t="shared" si="178"/>
        <v>37.677317044043242</v>
      </c>
      <c r="Q471">
        <f t="shared" si="176"/>
        <v>1.6452976875128054</v>
      </c>
      <c r="R471">
        <f t="shared" si="177"/>
        <v>1.0389860000000001E-2</v>
      </c>
    </row>
    <row r="472" spans="1:18" x14ac:dyDescent="0.3">
      <c r="A472">
        <v>1</v>
      </c>
      <c r="B472">
        <v>40</v>
      </c>
      <c r="C472">
        <v>6</v>
      </c>
      <c r="D472" s="16">
        <v>3.2</v>
      </c>
      <c r="E472" s="11">
        <v>20.561469760000001</v>
      </c>
      <c r="F472" s="9">
        <f t="shared" si="163"/>
        <v>1.5563089785659368</v>
      </c>
      <c r="G472" s="8">
        <v>7.9885999999999999</v>
      </c>
      <c r="H472" s="15">
        <v>1.7316429999999999E-3</v>
      </c>
      <c r="I472" s="17">
        <f>F472/((E472*10^-4)/(G472*10^-2)*9.81)^(1/2)</f>
        <v>3.0972023463023919</v>
      </c>
      <c r="J472" s="16">
        <v>3</v>
      </c>
      <c r="K472" s="9">
        <v>0</v>
      </c>
      <c r="L472" s="14">
        <f t="shared" si="172"/>
        <v>81.781806395124647</v>
      </c>
      <c r="M472" s="6"/>
      <c r="N472" s="2">
        <f>-(1.7*K472^2)/19.62</f>
        <v>0</v>
      </c>
      <c r="O472">
        <f t="shared" si="175"/>
        <v>0</v>
      </c>
      <c r="P472">
        <f t="shared" si="178"/>
        <v>0</v>
      </c>
      <c r="Q472">
        <f t="shared" si="176"/>
        <v>0</v>
      </c>
      <c r="R472">
        <f t="shared" si="177"/>
        <v>1.0389858E-2</v>
      </c>
    </row>
    <row r="473" spans="1:18" x14ac:dyDescent="0.3">
      <c r="A473">
        <v>1</v>
      </c>
      <c r="B473">
        <v>40</v>
      </c>
      <c r="C473">
        <v>6</v>
      </c>
      <c r="D473" s="16">
        <v>6.4</v>
      </c>
      <c r="E473" s="11">
        <v>20.561469760000001</v>
      </c>
      <c r="F473" s="9">
        <f t="shared" si="163"/>
        <v>3.1126179571318735</v>
      </c>
      <c r="G473" s="8">
        <v>7.9885999999999999</v>
      </c>
      <c r="H473" s="15">
        <v>1.7316429999999999E-3</v>
      </c>
      <c r="I473" s="17">
        <f t="shared" ref="I473:I478" si="183">F473/((E473*10^-4)/(G473*10^-2)*9.81)^(1/2)</f>
        <v>6.1944046926047838</v>
      </c>
      <c r="J473" s="16">
        <v>4.5</v>
      </c>
      <c r="K473" s="9">
        <v>2.62</v>
      </c>
      <c r="L473" s="14">
        <f t="shared" si="172"/>
        <v>19.24097083974101</v>
      </c>
      <c r="M473" s="6"/>
      <c r="N473" s="2">
        <f t="shared" ref="N473:N478" si="184">-(1.7*K473^2)/19.62</f>
        <v>-0.59477471967380224</v>
      </c>
      <c r="O473">
        <f t="shared" si="175"/>
        <v>0.84173516830000017</v>
      </c>
      <c r="P473">
        <f t="shared" si="178"/>
        <v>4.1669299559051618</v>
      </c>
      <c r="Q473">
        <f t="shared" si="176"/>
        <v>0.6510828056101815</v>
      </c>
      <c r="R473">
        <f t="shared" si="177"/>
        <v>1.0389858E-2</v>
      </c>
    </row>
    <row r="474" spans="1:18" x14ac:dyDescent="0.3">
      <c r="A474">
        <v>1</v>
      </c>
      <c r="B474">
        <v>40</v>
      </c>
      <c r="C474">
        <v>6</v>
      </c>
      <c r="D474" s="16">
        <v>9.6</v>
      </c>
      <c r="E474" s="11">
        <v>20.561469760000001</v>
      </c>
      <c r="F474" s="9">
        <f t="shared" si="163"/>
        <v>4.6689269356978089</v>
      </c>
      <c r="G474" s="8">
        <v>7.9885999999999999</v>
      </c>
      <c r="H474" s="15">
        <v>1.7316429999999999E-3</v>
      </c>
      <c r="I474" s="17">
        <f t="shared" si="183"/>
        <v>9.2916070389071734</v>
      </c>
      <c r="J474" s="16">
        <v>4.5</v>
      </c>
      <c r="K474" s="9">
        <v>5.75</v>
      </c>
      <c r="L474" s="14">
        <f t="shared" si="172"/>
        <v>6.5084664102006808</v>
      </c>
      <c r="M474" s="6"/>
      <c r="N474" s="2">
        <f t="shared" si="184"/>
        <v>-2.8647426095820587</v>
      </c>
      <c r="O474">
        <f t="shared" si="175"/>
        <v>1.2315463658333339</v>
      </c>
      <c r="P474">
        <f t="shared" si="178"/>
        <v>9.1449798650590388</v>
      </c>
      <c r="Q474">
        <f t="shared" si="176"/>
        <v>0.95260206927698321</v>
      </c>
      <c r="R474">
        <f t="shared" si="177"/>
        <v>1.0389858E-2</v>
      </c>
    </row>
    <row r="475" spans="1:18" x14ac:dyDescent="0.3">
      <c r="A475">
        <v>1</v>
      </c>
      <c r="B475">
        <v>40</v>
      </c>
      <c r="C475">
        <v>6</v>
      </c>
      <c r="D475" s="16">
        <v>12.8</v>
      </c>
      <c r="E475" s="11">
        <v>20.561469760000001</v>
      </c>
      <c r="F475" s="9">
        <f t="shared" si="163"/>
        <v>6.225235914263747</v>
      </c>
      <c r="G475" s="8">
        <v>7.9885999999999999</v>
      </c>
      <c r="H475" s="15">
        <v>1.7316429999999999E-3</v>
      </c>
      <c r="I475" s="17">
        <f t="shared" si="183"/>
        <v>12.388809385209568</v>
      </c>
      <c r="J475" s="16">
        <v>4.5</v>
      </c>
      <c r="K475" s="9">
        <v>9.69</v>
      </c>
      <c r="L475" s="14">
        <f t="shared" si="172"/>
        <v>0.99242876856548212</v>
      </c>
      <c r="M475" s="6"/>
      <c r="N475" s="2">
        <f t="shared" si="184"/>
        <v>-8.1357477064220163</v>
      </c>
      <c r="O475">
        <f t="shared" si="175"/>
        <v>1.556567515425</v>
      </c>
      <c r="P475">
        <f t="shared" si="178"/>
        <v>15.41127911172558</v>
      </c>
      <c r="Q475">
        <f t="shared" si="176"/>
        <v>1.2040061806035609</v>
      </c>
      <c r="R475">
        <f t="shared" si="177"/>
        <v>1.0389858E-2</v>
      </c>
    </row>
    <row r="476" spans="1:18" x14ac:dyDescent="0.3">
      <c r="A476">
        <v>1</v>
      </c>
      <c r="B476">
        <v>40</v>
      </c>
      <c r="C476">
        <v>6</v>
      </c>
      <c r="D476" s="16">
        <v>16</v>
      </c>
      <c r="E476" s="11">
        <v>20.561469760000001</v>
      </c>
      <c r="F476" s="9">
        <f t="shared" si="163"/>
        <v>7.7815448928296833</v>
      </c>
      <c r="G476" s="8">
        <v>7.9885999999999999</v>
      </c>
      <c r="H476" s="15">
        <v>1.7316429999999999E-3</v>
      </c>
      <c r="I476" s="17">
        <f t="shared" si="183"/>
        <v>15.48601173151196</v>
      </c>
      <c r="J476" s="16">
        <v>4.5</v>
      </c>
      <c r="K476" s="9">
        <v>10.85</v>
      </c>
      <c r="L476" s="14">
        <f t="shared" si="172"/>
        <v>-3.3767920317712405E-2</v>
      </c>
      <c r="M476" s="6"/>
      <c r="N476" s="2">
        <f t="shared" si="184"/>
        <v>-10.200216615698265</v>
      </c>
      <c r="O476">
        <f t="shared" si="175"/>
        <v>1.3943246681000001</v>
      </c>
      <c r="P476">
        <f t="shared" si="178"/>
        <v>17.256179397546184</v>
      </c>
      <c r="Q476">
        <f t="shared" si="176"/>
        <v>1.0785112123466365</v>
      </c>
      <c r="R476">
        <f t="shared" si="177"/>
        <v>1.0389858E-2</v>
      </c>
    </row>
    <row r="477" spans="1:18" x14ac:dyDescent="0.3">
      <c r="A477">
        <v>1</v>
      </c>
      <c r="B477">
        <v>40</v>
      </c>
      <c r="C477">
        <v>6</v>
      </c>
      <c r="D477" s="16">
        <v>19.2</v>
      </c>
      <c r="E477" s="11">
        <v>20.561469760000001</v>
      </c>
      <c r="F477" s="9">
        <f t="shared" si="163"/>
        <v>9.3378538713956178</v>
      </c>
      <c r="G477" s="8">
        <v>7.9885999999999999</v>
      </c>
      <c r="H477" s="15">
        <v>1.7316429999999999E-3</v>
      </c>
      <c r="I477" s="17">
        <f t="shared" si="183"/>
        <v>18.583214077814347</v>
      </c>
      <c r="J477" s="16">
        <v>4.5</v>
      </c>
      <c r="K477" s="9">
        <v>12.99</v>
      </c>
      <c r="L477" s="14">
        <f t="shared" si="172"/>
        <v>-1.018110278697782</v>
      </c>
      <c r="M477" s="6"/>
      <c r="N477" s="2">
        <f t="shared" si="184"/>
        <v>-14.620701834862386</v>
      </c>
      <c r="O477">
        <f t="shared" si="175"/>
        <v>1.3911119384500006</v>
      </c>
      <c r="P477">
        <f t="shared" si="178"/>
        <v>20.659702338629028</v>
      </c>
      <c r="Q477">
        <f t="shared" si="176"/>
        <v>1.0760261634702619</v>
      </c>
      <c r="R477">
        <f t="shared" si="177"/>
        <v>1.0389858E-2</v>
      </c>
    </row>
    <row r="478" spans="1:18" x14ac:dyDescent="0.3">
      <c r="A478">
        <v>1</v>
      </c>
      <c r="B478">
        <v>40</v>
      </c>
      <c r="C478">
        <v>6</v>
      </c>
      <c r="D478" s="16">
        <v>22.6</v>
      </c>
      <c r="E478" s="11">
        <v>20.561469760000001</v>
      </c>
      <c r="F478" s="9">
        <f t="shared" si="163"/>
        <v>10.991432161121928</v>
      </c>
      <c r="G478" s="8">
        <v>7.9885999999999999</v>
      </c>
      <c r="H478" s="15">
        <v>1.7316429999999999E-3</v>
      </c>
      <c r="I478" s="17">
        <f t="shared" si="183"/>
        <v>21.873991570760644</v>
      </c>
      <c r="J478" s="16">
        <v>4.5</v>
      </c>
      <c r="K478" s="9">
        <v>15.37</v>
      </c>
      <c r="L478" s="14">
        <f t="shared" si="172"/>
        <v>-1.6846001715675076</v>
      </c>
      <c r="M478" s="6"/>
      <c r="N478" s="2">
        <f t="shared" si="184"/>
        <v>-20.469048419979607</v>
      </c>
      <c r="O478">
        <f t="shared" si="175"/>
        <v>1.3983619035893806</v>
      </c>
      <c r="P478">
        <f t="shared" si="178"/>
        <v>24.444928787123029</v>
      </c>
      <c r="Q478">
        <f t="shared" si="176"/>
        <v>1.0816340171293375</v>
      </c>
      <c r="R478">
        <f t="shared" si="177"/>
        <v>1.0389858E-2</v>
      </c>
    </row>
    <row r="479" spans="1:18" x14ac:dyDescent="0.3">
      <c r="A479">
        <v>1</v>
      </c>
      <c r="B479">
        <v>60</v>
      </c>
      <c r="C479">
        <v>1</v>
      </c>
      <c r="D479" s="16">
        <v>4.2</v>
      </c>
      <c r="E479" s="11">
        <v>30.8453421</v>
      </c>
      <c r="F479" s="8">
        <f t="shared" si="163"/>
        <v>1.3616318426243035</v>
      </c>
      <c r="G479" s="8">
        <v>7.9885999999999999</v>
      </c>
      <c r="H479" s="15">
        <v>1.2535021E-2</v>
      </c>
      <c r="I479" s="17">
        <f>F479/((E479*10^-4)/(G479*10^-2)*9.81)^(1/2)</f>
        <v>2.2124106366767977</v>
      </c>
      <c r="J479" s="16">
        <v>3</v>
      </c>
      <c r="K479" s="9">
        <v>0</v>
      </c>
      <c r="L479" s="14">
        <f t="shared" si="172"/>
        <v>106.83878654006276</v>
      </c>
      <c r="M479" s="6"/>
      <c r="N479" s="2">
        <f>-(1.7*K479^2)/19.62</f>
        <v>0</v>
      </c>
      <c r="O479">
        <f t="shared" si="175"/>
        <v>0</v>
      </c>
      <c r="P479">
        <f t="shared" si="178"/>
        <v>0</v>
      </c>
      <c r="Q479">
        <f t="shared" si="176"/>
        <v>0</v>
      </c>
      <c r="R479">
        <f t="shared" si="177"/>
        <v>1.2535021E-2</v>
      </c>
    </row>
    <row r="480" spans="1:18" x14ac:dyDescent="0.3">
      <c r="A480">
        <v>1</v>
      </c>
      <c r="B480">
        <v>60</v>
      </c>
      <c r="C480">
        <v>1</v>
      </c>
      <c r="D480" s="16">
        <v>8.4</v>
      </c>
      <c r="E480" s="11">
        <v>30.8453421</v>
      </c>
      <c r="F480" s="8">
        <f t="shared" si="163"/>
        <v>2.723263685248607</v>
      </c>
      <c r="G480" s="8">
        <v>7.9885999999999999</v>
      </c>
      <c r="H480" s="15">
        <v>1.2535021E-2</v>
      </c>
      <c r="I480" s="17">
        <f t="shared" ref="I480:I485" si="185">F480/((E480*10^-4)/(G480*10^-2)*9.81)^(1/2)</f>
        <v>4.4248212733535954</v>
      </c>
      <c r="J480" s="16">
        <v>4.5</v>
      </c>
      <c r="K480" s="9">
        <v>1.4</v>
      </c>
      <c r="L480" s="14">
        <f t="shared" si="172"/>
        <v>26.260407823973399</v>
      </c>
      <c r="M480" s="6"/>
      <c r="N480" s="2">
        <f t="shared" ref="N480:N485" si="186">-(1.7*K480^2)/19.62</f>
        <v>-0.16982670744138631</v>
      </c>
      <c r="O480">
        <f t="shared" si="175"/>
        <v>0.51408903499999992</v>
      </c>
      <c r="P480">
        <f t="shared" si="178"/>
        <v>2.2266037932317659</v>
      </c>
      <c r="Q480">
        <f t="shared" si="176"/>
        <v>0.26507188014663879</v>
      </c>
      <c r="R480">
        <f t="shared" si="177"/>
        <v>1.2535021E-2</v>
      </c>
    </row>
    <row r="481" spans="1:18" x14ac:dyDescent="0.3">
      <c r="A481">
        <v>1</v>
      </c>
      <c r="B481">
        <v>60</v>
      </c>
      <c r="C481">
        <v>1</v>
      </c>
      <c r="D481" s="16">
        <v>12.6</v>
      </c>
      <c r="E481" s="11">
        <v>30.8453421</v>
      </c>
      <c r="F481" s="8">
        <f t="shared" si="163"/>
        <v>4.0848955278729093</v>
      </c>
      <c r="G481" s="8">
        <v>7.9885999999999999</v>
      </c>
      <c r="H481" s="15">
        <v>1.2535021E-2</v>
      </c>
      <c r="I481" s="17">
        <f t="shared" si="185"/>
        <v>6.6372319100303914</v>
      </c>
      <c r="J481" s="16">
        <v>4.5</v>
      </c>
      <c r="K481" s="9">
        <v>4.47</v>
      </c>
      <c r="L481" s="14">
        <f t="shared" si="172"/>
        <v>9.8353312018312522</v>
      </c>
      <c r="M481" s="6"/>
      <c r="N481" s="2">
        <f t="shared" si="186"/>
        <v>-1.7312706422018347</v>
      </c>
      <c r="O481">
        <f t="shared" si="175"/>
        <v>1.0942752316428572</v>
      </c>
      <c r="P481">
        <f t="shared" si="178"/>
        <v>7.1092278255328525</v>
      </c>
      <c r="Q481">
        <f t="shared" si="176"/>
        <v>0.56422443059784544</v>
      </c>
      <c r="R481">
        <f t="shared" si="177"/>
        <v>1.2535021E-2</v>
      </c>
    </row>
    <row r="482" spans="1:18" x14ac:dyDescent="0.3">
      <c r="A482">
        <v>1</v>
      </c>
      <c r="B482">
        <v>60</v>
      </c>
      <c r="C482">
        <v>1</v>
      </c>
      <c r="D482" s="16">
        <v>16.8</v>
      </c>
      <c r="E482" s="11">
        <v>30.8453421</v>
      </c>
      <c r="F482" s="8">
        <f t="shared" si="163"/>
        <v>5.4465273704972139</v>
      </c>
      <c r="G482" s="8">
        <v>7.9885999999999999</v>
      </c>
      <c r="H482" s="15">
        <v>1.2535021E-2</v>
      </c>
      <c r="I482" s="17">
        <f t="shared" si="185"/>
        <v>8.8496425467071909</v>
      </c>
      <c r="J482" s="16">
        <v>4.5</v>
      </c>
      <c r="K482" s="9">
        <v>9.3000000000000007</v>
      </c>
      <c r="L482" s="14">
        <f t="shared" si="172"/>
        <v>1.7209204257120947</v>
      </c>
      <c r="M482" s="6"/>
      <c r="N482" s="2">
        <f t="shared" si="186"/>
        <v>-7.494036697247707</v>
      </c>
      <c r="O482">
        <f t="shared" si="175"/>
        <v>1.7075100091071429</v>
      </c>
      <c r="P482">
        <f t="shared" si="178"/>
        <v>14.791010912182447</v>
      </c>
      <c r="Q482">
        <f t="shared" si="176"/>
        <v>0.88041731620133612</v>
      </c>
      <c r="R482">
        <f t="shared" si="177"/>
        <v>1.2535021E-2</v>
      </c>
    </row>
    <row r="483" spans="1:18" x14ac:dyDescent="0.3">
      <c r="A483">
        <v>1</v>
      </c>
      <c r="B483">
        <v>60</v>
      </c>
      <c r="C483">
        <v>1</v>
      </c>
      <c r="D483" s="16">
        <v>21</v>
      </c>
      <c r="E483" s="11">
        <v>30.8453421</v>
      </c>
      <c r="F483" s="8">
        <f t="shared" si="163"/>
        <v>6.8081592131215167</v>
      </c>
      <c r="G483" s="8">
        <v>7.9885999999999999</v>
      </c>
      <c r="H483" s="15">
        <v>1.2535021E-2</v>
      </c>
      <c r="I483" s="17">
        <f t="shared" si="185"/>
        <v>11.062053183383988</v>
      </c>
      <c r="J483" s="16">
        <v>4.5</v>
      </c>
      <c r="K483" s="9">
        <v>11.93</v>
      </c>
      <c r="L483" s="14">
        <f t="shared" si="172"/>
        <v>-0.94644732229244855</v>
      </c>
      <c r="M483" s="6"/>
      <c r="N483" s="2">
        <f t="shared" si="186"/>
        <v>-12.331923037716614</v>
      </c>
      <c r="O483">
        <f t="shared" si="175"/>
        <v>1.7523091964428572</v>
      </c>
      <c r="P483">
        <f t="shared" si="178"/>
        <v>18.973845180896401</v>
      </c>
      <c r="Q483">
        <f t="shared" si="176"/>
        <v>0.90351643718554286</v>
      </c>
      <c r="R483">
        <f t="shared" si="177"/>
        <v>1.2535021E-2</v>
      </c>
    </row>
    <row r="484" spans="1:18" x14ac:dyDescent="0.3">
      <c r="A484">
        <v>1</v>
      </c>
      <c r="B484">
        <v>60</v>
      </c>
      <c r="C484">
        <v>1</v>
      </c>
      <c r="D484" s="16">
        <v>25.2</v>
      </c>
      <c r="E484" s="11">
        <v>30.8453421</v>
      </c>
      <c r="F484" s="8">
        <f t="shared" si="163"/>
        <v>8.1697910557458187</v>
      </c>
      <c r="G484" s="8">
        <v>7.9885999999999999</v>
      </c>
      <c r="H484" s="15">
        <v>1.2535021E-2</v>
      </c>
      <c r="I484" s="17">
        <f t="shared" si="185"/>
        <v>13.274463820060783</v>
      </c>
      <c r="J484" s="16">
        <v>4.5</v>
      </c>
      <c r="K484" s="9">
        <v>14.51</v>
      </c>
      <c r="L484" s="14">
        <f t="shared" si="172"/>
        <v>-2.3946885374770268</v>
      </c>
      <c r="M484" s="6"/>
      <c r="N484" s="2">
        <f t="shared" si="186"/>
        <v>-18.242516309887868</v>
      </c>
      <c r="O484">
        <f t="shared" si="175"/>
        <v>1.7760552137738099</v>
      </c>
      <c r="P484">
        <f t="shared" si="178"/>
        <v>23.077157885566372</v>
      </c>
      <c r="Q484">
        <f t="shared" si="176"/>
        <v>0.91576023355422109</v>
      </c>
      <c r="R484">
        <f t="shared" si="177"/>
        <v>1.2535021E-2</v>
      </c>
    </row>
    <row r="485" spans="1:18" x14ac:dyDescent="0.3">
      <c r="A485">
        <v>1</v>
      </c>
      <c r="B485">
        <v>60</v>
      </c>
      <c r="C485">
        <v>1</v>
      </c>
      <c r="D485" s="16">
        <v>29.4</v>
      </c>
      <c r="E485" s="11">
        <v>30.8453421</v>
      </c>
      <c r="F485" s="8">
        <f t="shared" ref="F485:F506" si="187">(D485*10^-3)/(E485*10^-4)</f>
        <v>9.5314228983701224</v>
      </c>
      <c r="G485" s="8">
        <v>7.9885999999999999</v>
      </c>
      <c r="H485" s="15">
        <v>1.2535021E-2</v>
      </c>
      <c r="I485" s="17">
        <f t="shared" si="185"/>
        <v>15.48687445673758</v>
      </c>
      <c r="J485" s="16">
        <v>4.5</v>
      </c>
      <c r="K485" s="9">
        <v>18.8</v>
      </c>
      <c r="L485" s="14">
        <f t="shared" si="172"/>
        <v>-4.433387420664614</v>
      </c>
      <c r="M485" s="6"/>
      <c r="N485" s="2">
        <f t="shared" si="186"/>
        <v>-30.624260958205916</v>
      </c>
      <c r="O485">
        <f t="shared" si="175"/>
        <v>1.972423236326531</v>
      </c>
      <c r="P485">
        <f t="shared" si="178"/>
        <v>29.900108080540853</v>
      </c>
      <c r="Q485">
        <f t="shared" si="176"/>
        <v>1.017010478929961</v>
      </c>
      <c r="R485">
        <f t="shared" si="177"/>
        <v>1.2535021E-2</v>
      </c>
    </row>
    <row r="486" spans="1:18" x14ac:dyDescent="0.3">
      <c r="A486">
        <v>1</v>
      </c>
      <c r="B486">
        <v>60</v>
      </c>
      <c r="C486">
        <v>2</v>
      </c>
      <c r="D486" s="16">
        <v>4.2</v>
      </c>
      <c r="E486" s="11">
        <v>30.8453421</v>
      </c>
      <c r="F486" s="8">
        <f t="shared" si="187"/>
        <v>1.3616318426243035</v>
      </c>
      <c r="G486" s="8">
        <v>7.9885999999999999</v>
      </c>
      <c r="H486" s="15">
        <v>6.2675109999999999E-3</v>
      </c>
      <c r="I486" s="17">
        <f>F486/((E486*10^-4)/(G486*10^-2)*9.81)^(1/2)</f>
        <v>2.2124106366767977</v>
      </c>
      <c r="J486" s="16">
        <v>4.5</v>
      </c>
      <c r="K486" s="9">
        <v>0.56000000000000005</v>
      </c>
      <c r="L486" s="14">
        <f t="shared" si="172"/>
        <v>106.55124170099569</v>
      </c>
      <c r="M486" s="6"/>
      <c r="N486" s="2">
        <f>-(1.7*K486^2)/19.62</f>
        <v>-2.7172273190621814E-2</v>
      </c>
      <c r="O486">
        <f t="shared" si="175"/>
        <v>0.41127122799999999</v>
      </c>
      <c r="P486">
        <f t="shared" si="178"/>
        <v>0.89064151729270657</v>
      </c>
      <c r="Q486">
        <f t="shared" si="176"/>
        <v>0.21205750411731109</v>
      </c>
      <c r="R486">
        <f t="shared" si="177"/>
        <v>1.2535022E-2</v>
      </c>
    </row>
    <row r="487" spans="1:18" x14ac:dyDescent="0.3">
      <c r="A487">
        <v>1</v>
      </c>
      <c r="B487">
        <v>60</v>
      </c>
      <c r="C487">
        <v>2</v>
      </c>
      <c r="D487" s="16">
        <v>8.4</v>
      </c>
      <c r="E487" s="11">
        <v>30.8453421</v>
      </c>
      <c r="F487" s="8">
        <f t="shared" si="187"/>
        <v>2.723263685248607</v>
      </c>
      <c r="G487" s="8">
        <v>7.9885999999999999</v>
      </c>
      <c r="H487" s="15">
        <v>6.2675109999999999E-3</v>
      </c>
      <c r="I487" s="17">
        <f t="shared" ref="I487:I492" si="188">F487/((E487*10^-4)/(G487*10^-2)*9.81)^(1/2)</f>
        <v>4.4248212733535954</v>
      </c>
      <c r="J487" s="16">
        <v>4.5</v>
      </c>
      <c r="K487" s="9">
        <v>1.82</v>
      </c>
      <c r="L487" s="14">
        <f t="shared" si="172"/>
        <v>25.950398544354215</v>
      </c>
      <c r="M487" s="6"/>
      <c r="N487" s="2">
        <f t="shared" ref="N487:N492" si="189">-(1.7*K487^2)/19.62</f>
        <v>-0.28700713557594287</v>
      </c>
      <c r="O487">
        <f t="shared" si="175"/>
        <v>0.66831574549999995</v>
      </c>
      <c r="P487">
        <f t="shared" si="178"/>
        <v>2.8945849312012961</v>
      </c>
      <c r="Q487">
        <f t="shared" si="176"/>
        <v>0.34459344419063048</v>
      </c>
      <c r="R487">
        <f t="shared" si="177"/>
        <v>1.2535022E-2</v>
      </c>
    </row>
    <row r="488" spans="1:18" x14ac:dyDescent="0.3">
      <c r="A488">
        <v>1</v>
      </c>
      <c r="B488">
        <v>60</v>
      </c>
      <c r="C488">
        <v>2</v>
      </c>
      <c r="D488" s="16">
        <v>12.6</v>
      </c>
      <c r="E488" s="11">
        <v>30.8453421</v>
      </c>
      <c r="F488" s="8">
        <f t="shared" si="187"/>
        <v>4.0848955278729093</v>
      </c>
      <c r="G488" s="8">
        <v>7.9885999999999999</v>
      </c>
      <c r="H488" s="15">
        <v>6.2675109999999999E-3</v>
      </c>
      <c r="I488" s="17">
        <f t="shared" si="188"/>
        <v>6.6372319100303914</v>
      </c>
      <c r="J488" s="16">
        <v>4.5</v>
      </c>
      <c r="K488" s="9">
        <v>4.16</v>
      </c>
      <c r="L488" s="14">
        <f t="shared" si="172"/>
        <v>10.107889559242011</v>
      </c>
      <c r="M488" s="6"/>
      <c r="N488" s="2">
        <f t="shared" si="189"/>
        <v>-1.4994658511722732</v>
      </c>
      <c r="O488">
        <f t="shared" si="175"/>
        <v>1.0183858979047622</v>
      </c>
      <c r="P488">
        <f t="shared" si="178"/>
        <v>6.616194128460104</v>
      </c>
      <c r="Q488">
        <f t="shared" si="176"/>
        <v>0.52509477210000832</v>
      </c>
      <c r="R488">
        <f t="shared" si="177"/>
        <v>1.2535022E-2</v>
      </c>
    </row>
    <row r="489" spans="1:18" x14ac:dyDescent="0.3">
      <c r="A489">
        <v>1</v>
      </c>
      <c r="B489">
        <v>60</v>
      </c>
      <c r="C489">
        <v>2</v>
      </c>
      <c r="D489" s="16">
        <v>16.8</v>
      </c>
      <c r="E489" s="11">
        <v>30.8453421</v>
      </c>
      <c r="F489" s="8">
        <f t="shared" si="187"/>
        <v>5.4465273704972139</v>
      </c>
      <c r="G489" s="8">
        <v>7.9885999999999999</v>
      </c>
      <c r="H489" s="15">
        <v>6.2675109999999999E-3</v>
      </c>
      <c r="I489" s="17">
        <f t="shared" si="188"/>
        <v>8.8496425467071909</v>
      </c>
      <c r="J489" s="16">
        <v>4.5</v>
      </c>
      <c r="K489" s="9">
        <v>7.43</v>
      </c>
      <c r="L489" s="14">
        <f t="shared" si="172"/>
        <v>3.5137833571329171</v>
      </c>
      <c r="M489" s="6"/>
      <c r="N489" s="2">
        <f t="shared" si="189"/>
        <v>-4.7832991845056059</v>
      </c>
      <c r="O489">
        <f t="shared" si="175"/>
        <v>1.3641719750178569</v>
      </c>
      <c r="P489">
        <f t="shared" si="178"/>
        <v>11.816904416937156</v>
      </c>
      <c r="Q489">
        <f t="shared" si="176"/>
        <v>0.70338716767483067</v>
      </c>
      <c r="R489">
        <f t="shared" si="177"/>
        <v>1.2535022E-2</v>
      </c>
    </row>
    <row r="490" spans="1:18" x14ac:dyDescent="0.3">
      <c r="A490">
        <v>1</v>
      </c>
      <c r="B490">
        <v>60</v>
      </c>
      <c r="C490">
        <v>2</v>
      </c>
      <c r="D490" s="16">
        <v>21</v>
      </c>
      <c r="E490" s="11">
        <v>30.8453421</v>
      </c>
      <c r="F490" s="8">
        <f t="shared" si="187"/>
        <v>6.8081592131215167</v>
      </c>
      <c r="G490" s="8">
        <v>7.9885999999999999</v>
      </c>
      <c r="H490" s="15">
        <v>6.2675109999999999E-3</v>
      </c>
      <c r="I490" s="17">
        <f t="shared" si="188"/>
        <v>11.062053183383988</v>
      </c>
      <c r="J490" s="16">
        <v>4.5</v>
      </c>
      <c r="K490" s="9">
        <v>10.62</v>
      </c>
      <c r="L490" s="14">
        <f t="shared" si="172"/>
        <v>0.13699889179692815</v>
      </c>
      <c r="M490" s="6"/>
      <c r="N490" s="2">
        <f t="shared" si="189"/>
        <v>-9.7723486238532082</v>
      </c>
      <c r="O490">
        <f t="shared" si="175"/>
        <v>1.5598930147714285</v>
      </c>
      <c r="P490">
        <f t="shared" si="178"/>
        <v>16.890380202943824</v>
      </c>
      <c r="Q490">
        <f t="shared" si="176"/>
        <v>0.80430381918780114</v>
      </c>
      <c r="R490">
        <f t="shared" si="177"/>
        <v>1.2535022E-2</v>
      </c>
    </row>
    <row r="491" spans="1:18" x14ac:dyDescent="0.3">
      <c r="A491">
        <v>1</v>
      </c>
      <c r="B491">
        <v>60</v>
      </c>
      <c r="C491">
        <v>2</v>
      </c>
      <c r="D491" s="16">
        <v>25.2</v>
      </c>
      <c r="E491" s="11">
        <v>30.8453421</v>
      </c>
      <c r="F491" s="8">
        <f t="shared" si="187"/>
        <v>8.1697910557458187</v>
      </c>
      <c r="G491" s="8">
        <v>7.9885999999999999</v>
      </c>
      <c r="H491" s="15">
        <v>6.2675109999999999E-3</v>
      </c>
      <c r="I491" s="17">
        <f t="shared" si="188"/>
        <v>13.274463820060783</v>
      </c>
      <c r="J491" s="16">
        <v>4.5</v>
      </c>
      <c r="K491" s="9">
        <v>13.32</v>
      </c>
      <c r="L491" s="14">
        <f t="shared" si="172"/>
        <v>-1.5511844525872678</v>
      </c>
      <c r="M491" s="6"/>
      <c r="N491" s="2">
        <f t="shared" si="189"/>
        <v>-15.372990825688074</v>
      </c>
      <c r="O491">
        <f t="shared" si="175"/>
        <v>1.6303966538571433</v>
      </c>
      <c r="P491">
        <f t="shared" si="178"/>
        <v>21.184544661319372</v>
      </c>
      <c r="Q491">
        <f t="shared" si="176"/>
        <v>0.84065653417934016</v>
      </c>
      <c r="R491">
        <f t="shared" si="177"/>
        <v>1.2535022E-2</v>
      </c>
    </row>
    <row r="492" spans="1:18" x14ac:dyDescent="0.3">
      <c r="A492">
        <v>1</v>
      </c>
      <c r="B492">
        <v>60</v>
      </c>
      <c r="C492">
        <v>2</v>
      </c>
      <c r="D492" s="16">
        <v>29</v>
      </c>
      <c r="E492" s="11">
        <v>30.8453421</v>
      </c>
      <c r="F492" s="8">
        <f t="shared" si="187"/>
        <v>9.401743675263047</v>
      </c>
      <c r="G492" s="8">
        <v>7.9885999999999999</v>
      </c>
      <c r="H492" s="15">
        <v>6.2675109999999999E-3</v>
      </c>
      <c r="I492" s="17">
        <f t="shared" si="188"/>
        <v>15.276168681815982</v>
      </c>
      <c r="J492" s="16">
        <v>4.5</v>
      </c>
      <c r="K492" s="9">
        <v>15.51</v>
      </c>
      <c r="L492" s="14">
        <f t="shared" si="172"/>
        <v>-2.3855866976326254</v>
      </c>
      <c r="M492" s="6"/>
      <c r="N492" s="2">
        <f t="shared" si="189"/>
        <v>-20.843637614678901</v>
      </c>
      <c r="O492">
        <f t="shared" si="175"/>
        <v>1.6496939861068967</v>
      </c>
      <c r="P492">
        <f t="shared" si="178"/>
        <v>24.667589166446206</v>
      </c>
      <c r="Q492">
        <f t="shared" si="176"/>
        <v>0.85060652298090367</v>
      </c>
      <c r="R492">
        <f t="shared" si="177"/>
        <v>1.2535022E-2</v>
      </c>
    </row>
    <row r="493" spans="1:18" x14ac:dyDescent="0.3">
      <c r="A493">
        <v>1</v>
      </c>
      <c r="B493">
        <v>60</v>
      </c>
      <c r="C493">
        <v>4</v>
      </c>
      <c r="D493" s="16">
        <v>4.2</v>
      </c>
      <c r="E493" s="11">
        <v>30.8453421</v>
      </c>
      <c r="F493" s="8">
        <f t="shared" si="187"/>
        <v>1.3616318426243035</v>
      </c>
      <c r="G493" s="8">
        <v>7.9885999999999999</v>
      </c>
      <c r="H493" s="15">
        <v>3.1337549999999998E-3</v>
      </c>
      <c r="I493" s="17">
        <f>F493/((E493*10^-4)/(G493*10^-2)*9.81)^(1/2)</f>
        <v>2.2124106366767977</v>
      </c>
      <c r="J493" s="16">
        <v>4.5</v>
      </c>
      <c r="K493" s="9">
        <v>0.54</v>
      </c>
      <c r="L493" s="14">
        <f t="shared" si="172"/>
        <v>106.57141385169554</v>
      </c>
      <c r="M493" s="6"/>
      <c r="N493" s="2">
        <f>-(1.7*K493^2)/19.62</f>
        <v>-2.5266055045871563E-2</v>
      </c>
      <c r="O493">
        <f t="shared" si="175"/>
        <v>0.39658296985714286</v>
      </c>
      <c r="P493">
        <f t="shared" si="178"/>
        <v>0.85883289167510968</v>
      </c>
      <c r="Q493">
        <f t="shared" si="176"/>
        <v>0.20448402182740705</v>
      </c>
      <c r="R493">
        <f t="shared" si="177"/>
        <v>1.2535019999999999E-2</v>
      </c>
    </row>
    <row r="494" spans="1:18" x14ac:dyDescent="0.3">
      <c r="A494">
        <v>1</v>
      </c>
      <c r="B494">
        <v>60</v>
      </c>
      <c r="C494">
        <v>4</v>
      </c>
      <c r="D494" s="16">
        <v>8.4</v>
      </c>
      <c r="E494" s="11">
        <v>30.8453421</v>
      </c>
      <c r="F494" s="8">
        <f t="shared" si="187"/>
        <v>2.723263685248607</v>
      </c>
      <c r="G494" s="8">
        <v>7.9885999999999999</v>
      </c>
      <c r="H494" s="15">
        <v>3.1337549999999998E-3</v>
      </c>
      <c r="I494" s="17">
        <f t="shared" ref="I494:I499" si="190">F494/((E494*10^-4)/(G494*10^-2)*9.81)^(1/2)</f>
        <v>4.4248212733535954</v>
      </c>
      <c r="J494" s="16">
        <v>4.5</v>
      </c>
      <c r="K494" s="9">
        <v>2.08</v>
      </c>
      <c r="L494" s="14">
        <f t="shared" si="172"/>
        <v>25.717960353335396</v>
      </c>
      <c r="M494" s="6"/>
      <c r="N494" s="2">
        <f t="shared" ref="N494:N499" si="191">-(1.7*K494^2)/19.62</f>
        <v>-0.37486646279306829</v>
      </c>
      <c r="O494">
        <f t="shared" si="175"/>
        <v>0.76378942342857137</v>
      </c>
      <c r="P494">
        <f t="shared" si="178"/>
        <v>3.308097064230052</v>
      </c>
      <c r="Q494">
        <f t="shared" si="176"/>
        <v>0.39382107907500619</v>
      </c>
      <c r="R494">
        <f t="shared" si="177"/>
        <v>1.2535019999999999E-2</v>
      </c>
    </row>
    <row r="495" spans="1:18" x14ac:dyDescent="0.3">
      <c r="A495">
        <v>1</v>
      </c>
      <c r="B495">
        <v>60</v>
      </c>
      <c r="C495">
        <v>4</v>
      </c>
      <c r="D495" s="16">
        <v>12.6</v>
      </c>
      <c r="E495" s="11">
        <v>30.8453421</v>
      </c>
      <c r="F495" s="8">
        <f t="shared" si="187"/>
        <v>4.0848955278729093</v>
      </c>
      <c r="G495" s="8">
        <v>7.9885999999999999</v>
      </c>
      <c r="H495" s="15">
        <v>3.1337549999999998E-3</v>
      </c>
      <c r="I495" s="17">
        <f t="shared" si="190"/>
        <v>6.6372319100303914</v>
      </c>
      <c r="J495" s="16">
        <v>4.5</v>
      </c>
      <c r="K495" s="9">
        <v>4.92</v>
      </c>
      <c r="L495" s="14">
        <f t="shared" si="172"/>
        <v>9.4048391675774621</v>
      </c>
      <c r="M495" s="6"/>
      <c r="N495" s="2">
        <f t="shared" si="191"/>
        <v>-2.0973944954128436</v>
      </c>
      <c r="O495">
        <f t="shared" si="175"/>
        <v>1.204437167714286</v>
      </c>
      <c r="P495">
        <f t="shared" si="178"/>
        <v>7.8249219019287768</v>
      </c>
      <c r="Q495">
        <f t="shared" si="176"/>
        <v>0.62102554777212515</v>
      </c>
      <c r="R495">
        <f t="shared" si="177"/>
        <v>1.2535019999999999E-2</v>
      </c>
    </row>
    <row r="496" spans="1:18" x14ac:dyDescent="0.3">
      <c r="A496">
        <v>1</v>
      </c>
      <c r="B496">
        <v>60</v>
      </c>
      <c r="C496">
        <v>4</v>
      </c>
      <c r="D496" s="16">
        <v>16.8</v>
      </c>
      <c r="E496" s="11">
        <v>30.8453421</v>
      </c>
      <c r="F496" s="8">
        <f t="shared" si="187"/>
        <v>5.4465273704972139</v>
      </c>
      <c r="G496" s="8">
        <v>7.9885999999999999</v>
      </c>
      <c r="H496" s="15">
        <v>3.1337549999999998E-3</v>
      </c>
      <c r="I496" s="17">
        <f t="shared" si="190"/>
        <v>8.8496425467071909</v>
      </c>
      <c r="J496" s="16">
        <v>4.5</v>
      </c>
      <c r="K496" s="9">
        <v>6.91</v>
      </c>
      <c r="L496" s="14">
        <f t="shared" si="172"/>
        <v>3.9411120313905923</v>
      </c>
      <c r="M496" s="6"/>
      <c r="N496" s="2">
        <f t="shared" si="191"/>
        <v>-4.1371952089704376</v>
      </c>
      <c r="O496">
        <f t="shared" si="175"/>
        <v>1.2686982970892857</v>
      </c>
      <c r="P496">
        <f t="shared" si="178"/>
        <v>10.989880150879644</v>
      </c>
      <c r="Q496">
        <f t="shared" si="176"/>
        <v>0.65415953279045502</v>
      </c>
      <c r="R496">
        <f t="shared" si="177"/>
        <v>1.2535019999999999E-2</v>
      </c>
    </row>
    <row r="497" spans="1:18" x14ac:dyDescent="0.3">
      <c r="A497">
        <v>1</v>
      </c>
      <c r="B497">
        <v>60</v>
      </c>
      <c r="C497">
        <v>4</v>
      </c>
      <c r="D497" s="16">
        <v>21</v>
      </c>
      <c r="E497" s="11">
        <v>30.8453421</v>
      </c>
      <c r="F497" s="8">
        <f t="shared" si="187"/>
        <v>6.8081592131215167</v>
      </c>
      <c r="G497" s="8">
        <v>7.9885999999999999</v>
      </c>
      <c r="H497" s="15">
        <v>3.1337549999999998E-3</v>
      </c>
      <c r="I497" s="17">
        <f t="shared" si="190"/>
        <v>11.062053183383988</v>
      </c>
      <c r="J497" s="16">
        <v>4.5</v>
      </c>
      <c r="K497" s="9">
        <v>7.65</v>
      </c>
      <c r="L497" s="14">
        <f t="shared" si="172"/>
        <v>2.1271429355435236</v>
      </c>
      <c r="M497" s="6"/>
      <c r="N497" s="2">
        <f t="shared" si="191"/>
        <v>-5.0707568807339447</v>
      </c>
      <c r="O497">
        <f t="shared" si="175"/>
        <v>1.1236517479285715</v>
      </c>
      <c r="P497">
        <f t="shared" si="178"/>
        <v>12.166799298730721</v>
      </c>
      <c r="Q497">
        <f t="shared" si="176"/>
        <v>0.57937139517765335</v>
      </c>
      <c r="R497">
        <f t="shared" si="177"/>
        <v>1.2535019999999999E-2</v>
      </c>
    </row>
    <row r="498" spans="1:18" x14ac:dyDescent="0.3">
      <c r="A498">
        <v>1</v>
      </c>
      <c r="B498">
        <v>60</v>
      </c>
      <c r="C498">
        <v>4</v>
      </c>
      <c r="D498" s="16">
        <v>25.2</v>
      </c>
      <c r="E498" s="11">
        <v>30.8453421</v>
      </c>
      <c r="F498" s="8">
        <f t="shared" si="187"/>
        <v>8.1697910557458187</v>
      </c>
      <c r="G498" s="8">
        <v>7.9885999999999999</v>
      </c>
      <c r="H498" s="15">
        <v>3.1337549999999998E-3</v>
      </c>
      <c r="I498" s="17">
        <f t="shared" si="190"/>
        <v>13.274463820060783</v>
      </c>
      <c r="J498" s="16">
        <v>4.5</v>
      </c>
      <c r="K498" s="9">
        <v>9.34</v>
      </c>
      <c r="L498" s="14">
        <f t="shared" si="172"/>
        <v>0.74586317460712626</v>
      </c>
      <c r="M498" s="6"/>
      <c r="N498" s="2">
        <f t="shared" si="191"/>
        <v>-7.5586401630988771</v>
      </c>
      <c r="O498">
        <f t="shared" si="175"/>
        <v>1.1432360921190479</v>
      </c>
      <c r="P498">
        <f t="shared" si="178"/>
        <v>14.854628163417638</v>
      </c>
      <c r="Q498">
        <f t="shared" si="176"/>
        <v>0.58946937156419199</v>
      </c>
      <c r="R498">
        <f t="shared" si="177"/>
        <v>1.2535019999999999E-2</v>
      </c>
    </row>
    <row r="499" spans="1:18" x14ac:dyDescent="0.3">
      <c r="A499">
        <v>1</v>
      </c>
      <c r="B499">
        <v>60</v>
      </c>
      <c r="C499">
        <v>4</v>
      </c>
      <c r="D499" s="16">
        <v>29.3</v>
      </c>
      <c r="E499" s="11">
        <v>30.8453421</v>
      </c>
      <c r="F499" s="8">
        <f t="shared" si="187"/>
        <v>9.4990030925933535</v>
      </c>
      <c r="G499" s="8">
        <v>7.9885999999999999</v>
      </c>
      <c r="H499" s="15">
        <v>3.1337549999999998E-3</v>
      </c>
      <c r="I499" s="17">
        <f t="shared" si="190"/>
        <v>15.434198013007181</v>
      </c>
      <c r="J499" s="16">
        <v>4.5</v>
      </c>
      <c r="K499" s="9">
        <v>10.82</v>
      </c>
      <c r="L499" s="14">
        <f t="shared" si="172"/>
        <v>-1.0412822398084611E-2</v>
      </c>
      <c r="M499" s="6"/>
      <c r="N499" s="2">
        <f t="shared" si="191"/>
        <v>-10.143887869520896</v>
      </c>
      <c r="O499">
        <f t="shared" si="175"/>
        <v>1.1390668993924917</v>
      </c>
      <c r="P499">
        <f t="shared" si="178"/>
        <v>17.208466459119794</v>
      </c>
      <c r="Q499">
        <f t="shared" si="176"/>
        <v>0.58731967437268917</v>
      </c>
      <c r="R499">
        <f t="shared" si="177"/>
        <v>1.2535019999999999E-2</v>
      </c>
    </row>
    <row r="500" spans="1:18" x14ac:dyDescent="0.3">
      <c r="A500">
        <v>1</v>
      </c>
      <c r="B500">
        <v>60</v>
      </c>
      <c r="C500">
        <v>6</v>
      </c>
      <c r="D500" s="16">
        <v>4.2</v>
      </c>
      <c r="E500" s="11">
        <v>30.8453421</v>
      </c>
      <c r="F500" s="8">
        <f t="shared" si="187"/>
        <v>1.3616318426243035</v>
      </c>
      <c r="G500" s="8">
        <v>7.9885999999999999</v>
      </c>
      <c r="H500" s="15">
        <v>2.08917E-3</v>
      </c>
      <c r="I500" s="17">
        <f>F500/((E500*10^-4)/(G500*10^-2)*9.81)^(1/2)</f>
        <v>2.2124106366767977</v>
      </c>
      <c r="J500" s="16">
        <v>3</v>
      </c>
      <c r="K500" s="9">
        <v>0</v>
      </c>
      <c r="L500" s="14">
        <f t="shared" si="172"/>
        <v>106.83878654006276</v>
      </c>
      <c r="M500" s="6"/>
      <c r="N500" s="2">
        <f>-(1.7*K500^2)/19.62</f>
        <v>0</v>
      </c>
      <c r="O500">
        <f t="shared" si="175"/>
        <v>0</v>
      </c>
      <c r="P500">
        <f t="shared" si="178"/>
        <v>0</v>
      </c>
      <c r="Q500">
        <f t="shared" si="176"/>
        <v>0</v>
      </c>
      <c r="R500">
        <f t="shared" si="177"/>
        <v>1.2535020000000001E-2</v>
      </c>
    </row>
    <row r="501" spans="1:18" x14ac:dyDescent="0.3">
      <c r="A501">
        <v>1</v>
      </c>
      <c r="B501">
        <v>60</v>
      </c>
      <c r="C501">
        <v>6</v>
      </c>
      <c r="D501" s="16">
        <v>8.4</v>
      </c>
      <c r="E501" s="11">
        <v>30.8453421</v>
      </c>
      <c r="F501" s="8">
        <f t="shared" si="187"/>
        <v>2.723263685248607</v>
      </c>
      <c r="G501" s="8">
        <v>7.9885999999999999</v>
      </c>
      <c r="H501" s="15">
        <v>2.08917E-3</v>
      </c>
      <c r="I501" s="17">
        <f t="shared" ref="I501:I506" si="192">F501/((E501*10^-4)/(G501*10^-2)*9.81)^(1/2)</f>
        <v>4.4248212733535954</v>
      </c>
      <c r="J501" s="16">
        <v>4.5</v>
      </c>
      <c r="K501" s="9">
        <v>1.05</v>
      </c>
      <c r="L501" s="14">
        <f t="shared" si="172"/>
        <v>26.456971678804397</v>
      </c>
      <c r="M501" s="6"/>
      <c r="N501" s="2">
        <f t="shared" ref="N501:N506" si="193">-(1.7*K501^2)/19.62</f>
        <v>-9.5527522935779804E-2</v>
      </c>
      <c r="O501">
        <f t="shared" si="175"/>
        <v>0.38556677624999997</v>
      </c>
      <c r="P501">
        <f t="shared" si="178"/>
        <v>1.6699528449238243</v>
      </c>
      <c r="Q501">
        <f t="shared" si="176"/>
        <v>0.19880391010997908</v>
      </c>
      <c r="R501">
        <f t="shared" si="177"/>
        <v>1.2535020000000001E-2</v>
      </c>
    </row>
    <row r="502" spans="1:18" x14ac:dyDescent="0.3">
      <c r="A502">
        <v>1</v>
      </c>
      <c r="B502">
        <v>60</v>
      </c>
      <c r="C502">
        <v>6</v>
      </c>
      <c r="D502" s="16">
        <v>12.6</v>
      </c>
      <c r="E502" s="11">
        <v>30.8453421</v>
      </c>
      <c r="F502" s="8">
        <f t="shared" si="187"/>
        <v>4.0848955278729093</v>
      </c>
      <c r="G502" s="8">
        <v>7.9885999999999999</v>
      </c>
      <c r="H502" s="15">
        <v>2.08917E-3</v>
      </c>
      <c r="I502" s="17">
        <f t="shared" si="192"/>
        <v>6.6372319100303914</v>
      </c>
      <c r="J502" s="16">
        <v>4.5</v>
      </c>
      <c r="K502" s="9">
        <v>1.65</v>
      </c>
      <c r="L502" s="14">
        <f t="shared" si="172"/>
        <v>11.593609210106154</v>
      </c>
      <c r="M502" s="6"/>
      <c r="N502" s="2">
        <f t="shared" si="193"/>
        <v>-0.23589449541284399</v>
      </c>
      <c r="O502">
        <f t="shared" si="175"/>
        <v>0.40392709892857148</v>
      </c>
      <c r="P502">
        <f t="shared" si="178"/>
        <v>2.6242116134517239</v>
      </c>
      <c r="Q502">
        <f t="shared" si="176"/>
        <v>0.20827076297235905</v>
      </c>
      <c r="R502">
        <f t="shared" si="177"/>
        <v>1.2535020000000001E-2</v>
      </c>
    </row>
    <row r="503" spans="1:18" x14ac:dyDescent="0.3">
      <c r="A503">
        <v>1</v>
      </c>
      <c r="B503">
        <v>60</v>
      </c>
      <c r="C503">
        <v>6</v>
      </c>
      <c r="D503" s="16">
        <v>16.8</v>
      </c>
      <c r="E503" s="11">
        <v>30.8453421</v>
      </c>
      <c r="F503" s="8">
        <f t="shared" si="187"/>
        <v>5.4465273704972139</v>
      </c>
      <c r="G503" s="8">
        <v>7.9885999999999999</v>
      </c>
      <c r="H503" s="15">
        <v>2.08917E-3</v>
      </c>
      <c r="I503" s="17">
        <f t="shared" si="192"/>
        <v>8.8496425467071909</v>
      </c>
      <c r="J503" s="16">
        <v>4.5</v>
      </c>
      <c r="K503" s="9">
        <v>2.98</v>
      </c>
      <c r="L503" s="14">
        <f t="shared" si="172"/>
        <v>6.1685128886544351</v>
      </c>
      <c r="M503" s="6"/>
      <c r="N503" s="2">
        <f t="shared" si="193"/>
        <v>-0.76945361875637097</v>
      </c>
      <c r="O503">
        <f t="shared" si="175"/>
        <v>0.5471376158214285</v>
      </c>
      <c r="P503">
        <f t="shared" si="178"/>
        <v>4.739485217021902</v>
      </c>
      <c r="Q503">
        <f t="shared" si="176"/>
        <v>0.28211221529892272</v>
      </c>
      <c r="R503">
        <f t="shared" si="177"/>
        <v>1.2535020000000001E-2</v>
      </c>
    </row>
    <row r="504" spans="1:18" x14ac:dyDescent="0.3">
      <c r="A504">
        <v>1</v>
      </c>
      <c r="B504">
        <v>60</v>
      </c>
      <c r="C504">
        <v>6</v>
      </c>
      <c r="D504" s="16">
        <v>21</v>
      </c>
      <c r="E504" s="11">
        <v>30.8453421</v>
      </c>
      <c r="F504" s="8">
        <f t="shared" si="187"/>
        <v>6.8081592131215167</v>
      </c>
      <c r="G504" s="8">
        <v>7.9885999999999999</v>
      </c>
      <c r="H504" s="15">
        <v>2.08917E-3</v>
      </c>
      <c r="I504" s="17">
        <f t="shared" si="192"/>
        <v>11.062053183383988</v>
      </c>
      <c r="J504" s="16">
        <v>4.5</v>
      </c>
      <c r="K504" s="9">
        <v>4.01</v>
      </c>
      <c r="L504" s="14">
        <f t="shared" si="172"/>
        <v>3.683787460750171</v>
      </c>
      <c r="M504" s="6"/>
      <c r="N504" s="2">
        <f t="shared" si="193"/>
        <v>-1.393280835881753</v>
      </c>
      <c r="O504">
        <f t="shared" si="175"/>
        <v>0.58899915152857141</v>
      </c>
      <c r="P504">
        <f t="shared" si="178"/>
        <v>6.3776294363281298</v>
      </c>
      <c r="Q504">
        <f t="shared" si="176"/>
        <v>0.30369663982514905</v>
      </c>
      <c r="R504">
        <f t="shared" si="177"/>
        <v>1.2535020000000001E-2</v>
      </c>
    </row>
    <row r="505" spans="1:18" x14ac:dyDescent="0.3">
      <c r="A505">
        <v>1</v>
      </c>
      <c r="B505">
        <v>60</v>
      </c>
      <c r="C505">
        <v>6</v>
      </c>
      <c r="D505" s="16">
        <v>25.2</v>
      </c>
      <c r="E505" s="11">
        <v>30.8453421</v>
      </c>
      <c r="F505" s="8">
        <f t="shared" si="187"/>
        <v>8.1697910557458187</v>
      </c>
      <c r="G505" s="8">
        <v>7.9885999999999999</v>
      </c>
      <c r="H505" s="15">
        <v>2.08917E-3</v>
      </c>
      <c r="I505" s="17">
        <f t="shared" si="192"/>
        <v>13.274463820060783</v>
      </c>
      <c r="J505" s="16">
        <v>4.5</v>
      </c>
      <c r="K505" s="9">
        <v>5.59</v>
      </c>
      <c r="L505" s="14">
        <f t="shared" si="172"/>
        <v>2.171858486865085</v>
      </c>
      <c r="M505" s="6"/>
      <c r="N505" s="2">
        <f t="shared" si="193"/>
        <v>-2.7075316004077465</v>
      </c>
      <c r="O505">
        <f t="shared" si="175"/>
        <v>0.684228025154762</v>
      </c>
      <c r="P505">
        <f t="shared" si="178"/>
        <v>8.8905108601182654</v>
      </c>
      <c r="Q505">
        <f t="shared" si="176"/>
        <v>0.35279805000469311</v>
      </c>
      <c r="R505">
        <f t="shared" si="177"/>
        <v>1.2535020000000001E-2</v>
      </c>
    </row>
    <row r="506" spans="1:18" x14ac:dyDescent="0.3">
      <c r="A506">
        <v>1</v>
      </c>
      <c r="B506">
        <v>60</v>
      </c>
      <c r="C506">
        <v>6</v>
      </c>
      <c r="D506" s="16">
        <v>29.6</v>
      </c>
      <c r="E506" s="11">
        <v>30.8453421</v>
      </c>
      <c r="F506" s="8">
        <f t="shared" si="187"/>
        <v>9.5962625099236618</v>
      </c>
      <c r="G506" s="8">
        <v>7.9885999999999999</v>
      </c>
      <c r="H506" s="15">
        <v>2.08917E-3</v>
      </c>
      <c r="I506" s="17">
        <f t="shared" si="192"/>
        <v>15.592227344198381</v>
      </c>
      <c r="J506" s="16">
        <v>4.5</v>
      </c>
      <c r="K506" s="9">
        <v>7.06</v>
      </c>
      <c r="L506" s="14">
        <f t="shared" si="172"/>
        <v>1.2308779337247449</v>
      </c>
      <c r="M506" s="6"/>
      <c r="N506" s="2">
        <f t="shared" si="193"/>
        <v>-4.3187624872578994</v>
      </c>
      <c r="O506">
        <f t="shared" si="175"/>
        <v>0.73570309197972972</v>
      </c>
      <c r="P506">
        <f t="shared" si="178"/>
        <v>11.228444843011619</v>
      </c>
      <c r="Q506">
        <f t="shared" si="176"/>
        <v>0.37933935280444658</v>
      </c>
      <c r="R506">
        <f t="shared" si="177"/>
        <v>1.2535020000000001E-2</v>
      </c>
    </row>
  </sheetData>
  <mergeCells count="1"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0512-7977-4218-A12A-ECBBB2CDCCBF}">
  <dimension ref="A1:K506"/>
  <sheetViews>
    <sheetView workbookViewId="0">
      <selection activeCell="K1" sqref="K1:K1048576"/>
    </sheetView>
  </sheetViews>
  <sheetFormatPr defaultColWidth="9.33203125" defaultRowHeight="14.4" x14ac:dyDescent="0.3"/>
  <sheetData>
    <row r="1" spans="1:11" x14ac:dyDescent="0.3">
      <c r="A1" t="s">
        <v>15</v>
      </c>
      <c r="B1" t="s">
        <v>0</v>
      </c>
      <c r="C1" t="s">
        <v>1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21</v>
      </c>
      <c r="K1" t="s">
        <v>9</v>
      </c>
    </row>
    <row r="2" spans="1:11" x14ac:dyDescent="0.3">
      <c r="A2" t="s">
        <v>13</v>
      </c>
      <c r="B2" t="s">
        <v>13</v>
      </c>
      <c r="C2" t="s">
        <v>14</v>
      </c>
      <c r="E2" t="s">
        <v>22</v>
      </c>
      <c r="F2" t="s">
        <v>17</v>
      </c>
      <c r="G2" t="s">
        <v>12</v>
      </c>
      <c r="H2" t="s">
        <v>14</v>
      </c>
      <c r="I2" t="s">
        <v>17</v>
      </c>
      <c r="K2" t="s">
        <v>13</v>
      </c>
    </row>
    <row r="3" spans="1:11" x14ac:dyDescent="0.3">
      <c r="A3">
        <v>0.6</v>
      </c>
      <c r="B3">
        <v>10</v>
      </c>
      <c r="C3">
        <v>1</v>
      </c>
      <c r="D3">
        <v>0.95</v>
      </c>
      <c r="E3">
        <v>0</v>
      </c>
      <c r="F3">
        <v>1.8715524034672972</v>
      </c>
      <c r="G3">
        <v>0.94</v>
      </c>
      <c r="H3">
        <v>0</v>
      </c>
      <c r="I3">
        <v>0</v>
      </c>
      <c r="J3">
        <v>4.0000000000000001E-3</v>
      </c>
      <c r="K3">
        <v>56.551530256083318</v>
      </c>
    </row>
    <row r="4" spans="1:11" x14ac:dyDescent="0.3">
      <c r="A4">
        <v>0.6</v>
      </c>
      <c r="B4">
        <v>10</v>
      </c>
      <c r="C4">
        <v>1</v>
      </c>
      <c r="D4">
        <v>1.9</v>
      </c>
      <c r="E4">
        <v>4.3259730839931461</v>
      </c>
      <c r="F4">
        <v>3.7431048069345945</v>
      </c>
      <c r="G4">
        <v>0.94</v>
      </c>
      <c r="H4">
        <v>-0.64104383282364941</v>
      </c>
      <c r="I4">
        <v>2.72</v>
      </c>
      <c r="J4">
        <v>4.0000000000000001E-3</v>
      </c>
      <c r="K4">
        <v>13.2402000732472</v>
      </c>
    </row>
    <row r="5" spans="1:11" x14ac:dyDescent="0.3">
      <c r="A5">
        <v>0.6</v>
      </c>
      <c r="B5">
        <v>10</v>
      </c>
      <c r="C5">
        <v>1</v>
      </c>
      <c r="D5">
        <v>2.85</v>
      </c>
      <c r="E5">
        <v>9.9560998183077523</v>
      </c>
      <c r="F5">
        <v>5.6146572104018917</v>
      </c>
      <c r="G5">
        <v>0.94</v>
      </c>
      <c r="H5">
        <v>-3.3954597349643212</v>
      </c>
      <c r="I5">
        <v>6.26</v>
      </c>
      <c r="J5">
        <v>4.0000000000000001E-3</v>
      </c>
      <c r="K5">
        <v>4.1702523059767316</v>
      </c>
    </row>
    <row r="6" spans="1:11" x14ac:dyDescent="0.3">
      <c r="A6">
        <v>0.6</v>
      </c>
      <c r="B6">
        <v>10</v>
      </c>
      <c r="C6">
        <v>1</v>
      </c>
      <c r="D6">
        <v>3.8</v>
      </c>
      <c r="E6">
        <v>18.576237360676448</v>
      </c>
      <c r="F6">
        <v>7.4862096138691889</v>
      </c>
      <c r="G6">
        <v>0.94</v>
      </c>
      <c r="H6">
        <v>-11.820493374108052</v>
      </c>
      <c r="I6">
        <v>11.68</v>
      </c>
      <c r="J6">
        <v>4.0000000000000001E-3</v>
      </c>
      <c r="K6">
        <v>-0.60372139474969488</v>
      </c>
    </row>
    <row r="7" spans="1:11" x14ac:dyDescent="0.3">
      <c r="A7">
        <v>0.6</v>
      </c>
      <c r="B7">
        <v>10</v>
      </c>
      <c r="C7">
        <v>1</v>
      </c>
      <c r="D7">
        <v>4.75</v>
      </c>
      <c r="E7">
        <v>25.335570304415732</v>
      </c>
      <c r="F7">
        <v>9.3577620173364853</v>
      </c>
      <c r="G7">
        <v>0.94</v>
      </c>
      <c r="H7">
        <v>-21.987784403669721</v>
      </c>
      <c r="I7">
        <v>15.93</v>
      </c>
      <c r="J7">
        <v>4.0000000000000001E-3</v>
      </c>
      <c r="K7">
        <v>-2.6644160281416327</v>
      </c>
    </row>
    <row r="8" spans="1:11" x14ac:dyDescent="0.3">
      <c r="A8">
        <v>0.6</v>
      </c>
      <c r="B8">
        <v>10</v>
      </c>
      <c r="C8">
        <v>1</v>
      </c>
      <c r="D8">
        <v>5.65</v>
      </c>
      <c r="E8">
        <v>31.14064447962712</v>
      </c>
      <c r="F8">
        <v>11.130811662726558</v>
      </c>
      <c r="G8">
        <v>0.94</v>
      </c>
      <c r="H8">
        <v>-33.21813863404688</v>
      </c>
      <c r="I8">
        <v>19.579999999999998</v>
      </c>
      <c r="J8">
        <v>4.0000000000000001E-3</v>
      </c>
      <c r="K8">
        <v>-3.6616205349629114</v>
      </c>
    </row>
    <row r="9" spans="1:11" x14ac:dyDescent="0.3">
      <c r="A9">
        <v>0.6</v>
      </c>
      <c r="B9">
        <v>10</v>
      </c>
      <c r="C9">
        <v>1</v>
      </c>
      <c r="D9">
        <v>6.6</v>
      </c>
      <c r="E9">
        <v>35.768799506987435</v>
      </c>
      <c r="F9">
        <v>13.002364066193854</v>
      </c>
      <c r="G9">
        <v>0.94</v>
      </c>
      <c r="H9">
        <v>-43.825696738022415</v>
      </c>
      <c r="I9">
        <v>22.49</v>
      </c>
      <c r="J9">
        <v>4.0000000000000001E-3</v>
      </c>
      <c r="K9">
        <v>-3.9144143539785112</v>
      </c>
    </row>
    <row r="10" spans="1:11" x14ac:dyDescent="0.3">
      <c r="A10">
        <v>0.6</v>
      </c>
      <c r="B10">
        <v>10</v>
      </c>
      <c r="C10">
        <v>2</v>
      </c>
      <c r="D10">
        <v>0.95</v>
      </c>
      <c r="E10">
        <v>0</v>
      </c>
      <c r="F10">
        <v>1.8715524034672972</v>
      </c>
      <c r="G10">
        <v>0.94</v>
      </c>
      <c r="H10">
        <v>0</v>
      </c>
      <c r="I10">
        <v>0</v>
      </c>
      <c r="J10">
        <v>4.0000000000000001E-3</v>
      </c>
      <c r="K10">
        <v>56.551530256083318</v>
      </c>
    </row>
    <row r="11" spans="1:11" x14ac:dyDescent="0.3">
      <c r="A11">
        <v>0.6</v>
      </c>
      <c r="B11">
        <v>10</v>
      </c>
      <c r="C11">
        <v>2</v>
      </c>
      <c r="D11">
        <v>1.9</v>
      </c>
      <c r="E11">
        <v>4.4213989608459343</v>
      </c>
      <c r="F11">
        <v>3.7431048069345945</v>
      </c>
      <c r="G11">
        <v>0.94</v>
      </c>
      <c r="H11">
        <v>-0.66963710499490303</v>
      </c>
      <c r="I11">
        <v>2.78</v>
      </c>
      <c r="J11">
        <v>4.0000000000000001E-3</v>
      </c>
      <c r="K11">
        <v>13.200159629103156</v>
      </c>
    </row>
    <row r="12" spans="1:11" x14ac:dyDescent="0.3">
      <c r="A12">
        <v>0.6</v>
      </c>
      <c r="B12">
        <v>10</v>
      </c>
      <c r="C12">
        <v>2</v>
      </c>
      <c r="D12">
        <v>2.85</v>
      </c>
      <c r="E12">
        <v>9.1926928034854338</v>
      </c>
      <c r="F12">
        <v>5.6146572104018917</v>
      </c>
      <c r="G12">
        <v>0.94</v>
      </c>
      <c r="H12">
        <v>-2.8947135575942915</v>
      </c>
      <c r="I12">
        <v>5.78</v>
      </c>
      <c r="J12">
        <v>4.0000000000000001E-3</v>
      </c>
      <c r="K12">
        <v>4.4819044740538496</v>
      </c>
    </row>
    <row r="13" spans="1:11" x14ac:dyDescent="0.3">
      <c r="A13">
        <v>0.6</v>
      </c>
      <c r="B13">
        <v>10</v>
      </c>
      <c r="C13">
        <v>2</v>
      </c>
      <c r="D13">
        <v>3.8</v>
      </c>
      <c r="E13">
        <v>19.769060821336318</v>
      </c>
      <c r="F13">
        <v>7.4862096138691889</v>
      </c>
      <c r="G13">
        <v>0.94</v>
      </c>
      <c r="H13">
        <v>-13.387274719673801</v>
      </c>
      <c r="I13">
        <v>12.43</v>
      </c>
      <c r="J13">
        <v>4.0000000000000001E-3</v>
      </c>
      <c r="K13">
        <v>-1.1522299790183927</v>
      </c>
    </row>
    <row r="14" spans="1:11" x14ac:dyDescent="0.3">
      <c r="A14">
        <v>0.6</v>
      </c>
      <c r="B14">
        <v>10</v>
      </c>
      <c r="C14">
        <v>2</v>
      </c>
      <c r="D14">
        <v>4.75</v>
      </c>
      <c r="E14">
        <v>30.186385711099227</v>
      </c>
      <c r="F14">
        <v>9.3577620173364853</v>
      </c>
      <c r="G14">
        <v>0.94</v>
      </c>
      <c r="H14">
        <v>-31.213490316004076</v>
      </c>
      <c r="I14">
        <v>18.98</v>
      </c>
      <c r="J14">
        <v>4.0000000000000001E-3</v>
      </c>
      <c r="K14">
        <v>-4.7314833301824537</v>
      </c>
    </row>
    <row r="15" spans="1:11" x14ac:dyDescent="0.3">
      <c r="A15">
        <v>0.6</v>
      </c>
      <c r="B15">
        <v>10</v>
      </c>
      <c r="C15">
        <v>2</v>
      </c>
      <c r="D15">
        <v>5.65</v>
      </c>
      <c r="E15">
        <v>37.088857470117702</v>
      </c>
      <c r="F15">
        <v>11.130811662726558</v>
      </c>
      <c r="G15">
        <v>0.94</v>
      </c>
      <c r="H15">
        <v>-47.120187563710495</v>
      </c>
      <c r="I15">
        <v>23.32</v>
      </c>
      <c r="J15">
        <v>4.0000000000000001E-3</v>
      </c>
      <c r="K15">
        <v>-5.8631481983236133</v>
      </c>
    </row>
    <row r="16" spans="1:11" x14ac:dyDescent="0.3">
      <c r="A16">
        <v>0.6</v>
      </c>
      <c r="B16">
        <v>10</v>
      </c>
      <c r="C16">
        <v>2</v>
      </c>
      <c r="D16">
        <v>6.6</v>
      </c>
      <c r="E16">
        <v>46.090698519897551</v>
      </c>
      <c r="F16">
        <v>13.002364066193854</v>
      </c>
      <c r="G16">
        <v>0.94</v>
      </c>
      <c r="H16">
        <v>-72.769045871559626</v>
      </c>
      <c r="I16">
        <v>28.98</v>
      </c>
      <c r="J16">
        <v>4.0000000000000001E-3</v>
      </c>
      <c r="K16">
        <v>-7.2733612837566932</v>
      </c>
    </row>
    <row r="17" spans="1:11" x14ac:dyDescent="0.3">
      <c r="A17">
        <v>0.6</v>
      </c>
      <c r="B17">
        <v>10</v>
      </c>
      <c r="C17">
        <v>4</v>
      </c>
      <c r="D17">
        <v>0.95</v>
      </c>
      <c r="E17">
        <v>0</v>
      </c>
      <c r="F17">
        <v>1.8715524034672972</v>
      </c>
      <c r="G17">
        <v>0.94</v>
      </c>
      <c r="H17">
        <v>0</v>
      </c>
      <c r="I17">
        <v>0</v>
      </c>
      <c r="J17">
        <v>4.0000000000000001E-3</v>
      </c>
      <c r="K17">
        <v>56.551530256083318</v>
      </c>
    </row>
    <row r="18" spans="1:11" x14ac:dyDescent="0.3">
      <c r="A18">
        <v>0.6</v>
      </c>
      <c r="B18">
        <v>10</v>
      </c>
      <c r="C18">
        <v>4</v>
      </c>
      <c r="D18">
        <v>1.9</v>
      </c>
      <c r="E18">
        <v>4.500920524889926</v>
      </c>
      <c r="F18">
        <v>3.7431048069345945</v>
      </c>
      <c r="G18">
        <v>0.94</v>
      </c>
      <c r="H18">
        <v>-0.69394138634046887</v>
      </c>
      <c r="I18">
        <v>2.83</v>
      </c>
      <c r="J18">
        <v>4.0000000000000001E-3</v>
      </c>
      <c r="K18">
        <v>13.166125251580718</v>
      </c>
    </row>
    <row r="19" spans="1:11" x14ac:dyDescent="0.3">
      <c r="A19">
        <v>0.6</v>
      </c>
      <c r="B19">
        <v>10</v>
      </c>
      <c r="C19">
        <v>4</v>
      </c>
      <c r="D19">
        <v>2.85</v>
      </c>
      <c r="E19">
        <v>11.705574227275569</v>
      </c>
      <c r="F19">
        <v>5.6146572104018917</v>
      </c>
      <c r="G19">
        <v>0.94</v>
      </c>
      <c r="H19">
        <v>-4.6935942915392452</v>
      </c>
      <c r="I19">
        <v>7.36</v>
      </c>
      <c r="J19">
        <v>4.0000000000000001E-3</v>
      </c>
      <c r="K19">
        <v>3.3623251219146817</v>
      </c>
    </row>
    <row r="20" spans="1:11" x14ac:dyDescent="0.3">
      <c r="A20">
        <v>0.6</v>
      </c>
      <c r="B20">
        <v>10</v>
      </c>
      <c r="C20">
        <v>4</v>
      </c>
      <c r="D20">
        <v>3.8</v>
      </c>
      <c r="E20">
        <v>20.898267030761005</v>
      </c>
      <c r="F20">
        <v>7.4862096138691889</v>
      </c>
      <c r="G20">
        <v>0.94</v>
      </c>
      <c r="H20">
        <v>-14.960311926605504</v>
      </c>
      <c r="I20">
        <v>13.14</v>
      </c>
      <c r="J20">
        <v>4.0000000000000001E-3</v>
      </c>
      <c r="K20">
        <v>-1.7029286542470909</v>
      </c>
    </row>
    <row r="21" spans="1:11" x14ac:dyDescent="0.3">
      <c r="A21">
        <v>0.6</v>
      </c>
      <c r="B21">
        <v>10</v>
      </c>
      <c r="C21">
        <v>4</v>
      </c>
      <c r="D21">
        <v>4.75</v>
      </c>
      <c r="E21">
        <v>32.44479812994858</v>
      </c>
      <c r="F21">
        <v>9.3577620173364853</v>
      </c>
      <c r="G21">
        <v>0.94</v>
      </c>
      <c r="H21">
        <v>-36.058715596330273</v>
      </c>
      <c r="I21">
        <v>20.399999999999999</v>
      </c>
      <c r="J21">
        <v>4.0000000000000001E-3</v>
      </c>
      <c r="K21">
        <v>-5.8170812067193269</v>
      </c>
    </row>
    <row r="22" spans="1:11" x14ac:dyDescent="0.3">
      <c r="A22">
        <v>0.6</v>
      </c>
      <c r="B22">
        <v>10</v>
      </c>
      <c r="C22">
        <v>4</v>
      </c>
      <c r="D22">
        <v>5.65</v>
      </c>
      <c r="E22">
        <v>37.534178228764056</v>
      </c>
      <c r="F22">
        <v>11.130811662726558</v>
      </c>
      <c r="G22">
        <v>0.94</v>
      </c>
      <c r="H22">
        <v>-48.258511722731903</v>
      </c>
      <c r="I22">
        <v>23.6</v>
      </c>
      <c r="J22">
        <v>4.0000000000000001E-3</v>
      </c>
      <c r="K22">
        <v>-6.0434131462199003</v>
      </c>
    </row>
    <row r="23" spans="1:11" x14ac:dyDescent="0.3">
      <c r="A23">
        <v>0.6</v>
      </c>
      <c r="B23">
        <v>10</v>
      </c>
      <c r="C23">
        <v>4</v>
      </c>
      <c r="D23">
        <v>6.65</v>
      </c>
      <c r="E23">
        <v>48.396823877173311</v>
      </c>
      <c r="F23">
        <v>13.100866824271082</v>
      </c>
      <c r="G23">
        <v>0.94</v>
      </c>
      <c r="H23">
        <v>-80.233146279306823</v>
      </c>
      <c r="I23">
        <v>30.43</v>
      </c>
      <c r="J23">
        <v>4.0000000000000001E-3</v>
      </c>
      <c r="K23">
        <v>-8.0176488362527092</v>
      </c>
    </row>
    <row r="24" spans="1:11" x14ac:dyDescent="0.3">
      <c r="A24">
        <v>0.6</v>
      </c>
      <c r="B24">
        <v>10</v>
      </c>
      <c r="C24">
        <v>6</v>
      </c>
      <c r="D24">
        <v>0.95</v>
      </c>
      <c r="E24">
        <v>0</v>
      </c>
      <c r="F24">
        <v>1.8715524034672972</v>
      </c>
      <c r="G24">
        <v>0.94</v>
      </c>
      <c r="H24">
        <v>0</v>
      </c>
      <c r="I24">
        <v>0</v>
      </c>
      <c r="J24">
        <v>4.0000000000000001E-3</v>
      </c>
      <c r="K24">
        <v>56.551530256083318</v>
      </c>
    </row>
    <row r="25" spans="1:11" x14ac:dyDescent="0.3">
      <c r="A25">
        <v>0.6</v>
      </c>
      <c r="B25">
        <v>10</v>
      </c>
      <c r="C25">
        <v>6</v>
      </c>
      <c r="D25">
        <v>1.9</v>
      </c>
      <c r="E25">
        <v>3.4989488179356329</v>
      </c>
      <c r="F25">
        <v>3.7431048069345945</v>
      </c>
      <c r="G25">
        <v>0.94</v>
      </c>
      <c r="H25">
        <v>-0.41936799184505613</v>
      </c>
      <c r="I25">
        <v>2.2000000000000002</v>
      </c>
      <c r="J25">
        <v>4.0000000000000001E-3</v>
      </c>
      <c r="K25">
        <v>13.550622716574846</v>
      </c>
    </row>
    <row r="26" spans="1:11" x14ac:dyDescent="0.3">
      <c r="A26">
        <v>0.6</v>
      </c>
      <c r="B26">
        <v>10</v>
      </c>
      <c r="C26">
        <v>6</v>
      </c>
      <c r="D26">
        <v>2.85</v>
      </c>
      <c r="E26">
        <v>11.514722473569989</v>
      </c>
      <c r="F26">
        <v>5.6146572104018917</v>
      </c>
      <c r="G26">
        <v>0.94</v>
      </c>
      <c r="H26">
        <v>-4.5417900101936794</v>
      </c>
      <c r="I26">
        <v>7.24</v>
      </c>
      <c r="J26">
        <v>4.0000000000000001E-3</v>
      </c>
      <c r="K26">
        <v>3.4568043921373963</v>
      </c>
    </row>
    <row r="27" spans="1:11" x14ac:dyDescent="0.3">
      <c r="A27">
        <v>0.6</v>
      </c>
      <c r="B27">
        <v>10</v>
      </c>
      <c r="C27">
        <v>6</v>
      </c>
      <c r="D27">
        <v>3.8</v>
      </c>
      <c r="E27">
        <v>20.643798025820228</v>
      </c>
      <c r="F27">
        <v>7.4862096138691889</v>
      </c>
      <c r="G27">
        <v>0.94</v>
      </c>
      <c r="H27">
        <v>-14.5981997961264</v>
      </c>
      <c r="I27">
        <v>12.98</v>
      </c>
      <c r="J27">
        <v>4.0000000000000001E-3</v>
      </c>
      <c r="K27">
        <v>-1.5761581813934618</v>
      </c>
    </row>
    <row r="28" spans="1:11" x14ac:dyDescent="0.3">
      <c r="A28">
        <v>0.6</v>
      </c>
      <c r="B28">
        <v>10</v>
      </c>
      <c r="C28">
        <v>6</v>
      </c>
      <c r="D28">
        <v>4.75</v>
      </c>
      <c r="E28">
        <v>29.391170070659307</v>
      </c>
      <c r="F28">
        <v>9.3577620173364853</v>
      </c>
      <c r="G28">
        <v>0.94</v>
      </c>
      <c r="H28">
        <v>-29.590605504587153</v>
      </c>
      <c r="I28">
        <v>18.48</v>
      </c>
      <c r="J28">
        <v>4.0000000000000001E-3</v>
      </c>
      <c r="K28">
        <v>-4.3678675634828412</v>
      </c>
    </row>
    <row r="29" spans="1:11" x14ac:dyDescent="0.3">
      <c r="A29">
        <v>0.6</v>
      </c>
      <c r="B29">
        <v>10</v>
      </c>
      <c r="C29">
        <v>6</v>
      </c>
      <c r="D29">
        <v>5.65</v>
      </c>
      <c r="E29">
        <v>38.472532684483156</v>
      </c>
      <c r="F29">
        <v>11.130811662726558</v>
      </c>
      <c r="G29">
        <v>0.94</v>
      </c>
      <c r="H29">
        <v>-50.701598878695208</v>
      </c>
      <c r="I29">
        <v>24.19</v>
      </c>
      <c r="J29">
        <v>4.0000000000000001E-3</v>
      </c>
      <c r="K29">
        <v>-6.4303002867462125</v>
      </c>
    </row>
    <row r="30" spans="1:11" x14ac:dyDescent="0.3">
      <c r="A30">
        <v>0.6</v>
      </c>
      <c r="B30">
        <v>10</v>
      </c>
      <c r="C30">
        <v>6</v>
      </c>
      <c r="D30">
        <v>6.65</v>
      </c>
      <c r="E30">
        <v>42.68717557881471</v>
      </c>
      <c r="F30">
        <v>13.100866824271082</v>
      </c>
      <c r="G30">
        <v>0.94</v>
      </c>
      <c r="H30">
        <v>-62.418731906218134</v>
      </c>
      <c r="I30">
        <v>26.84</v>
      </c>
      <c r="J30">
        <v>4.0000000000000001E-3</v>
      </c>
      <c r="K30">
        <v>-5.9812141330481072</v>
      </c>
    </row>
    <row r="31" spans="1:11" x14ac:dyDescent="0.3">
      <c r="A31">
        <v>0.6</v>
      </c>
      <c r="B31">
        <v>15</v>
      </c>
      <c r="C31">
        <v>1</v>
      </c>
      <c r="D31">
        <v>1.4</v>
      </c>
      <c r="E31">
        <v>0</v>
      </c>
      <c r="F31">
        <v>1.8387181507748882</v>
      </c>
      <c r="G31">
        <v>1.41</v>
      </c>
      <c r="H31">
        <v>0</v>
      </c>
      <c r="I31">
        <v>0</v>
      </c>
      <c r="J31">
        <v>5.7099999999999998E-3</v>
      </c>
      <c r="K31">
        <v>58.589260778703682</v>
      </c>
    </row>
    <row r="32" spans="1:11" x14ac:dyDescent="0.3">
      <c r="A32">
        <v>0.6</v>
      </c>
      <c r="B32">
        <v>15</v>
      </c>
      <c r="C32">
        <v>1</v>
      </c>
      <c r="D32">
        <v>2.8</v>
      </c>
      <c r="E32">
        <v>2.3891812130550378</v>
      </c>
      <c r="F32">
        <v>3.6774363015497764</v>
      </c>
      <c r="G32">
        <v>1.41</v>
      </c>
      <c r="H32">
        <v>-0.9898817533129457</v>
      </c>
      <c r="I32">
        <v>3.38</v>
      </c>
      <c r="J32">
        <v>5.7099999999999998E-3</v>
      </c>
      <c r="K32">
        <v>13.211190982489596</v>
      </c>
    </row>
    <row r="33" spans="1:11" x14ac:dyDescent="0.3">
      <c r="A33">
        <v>0.6</v>
      </c>
      <c r="B33">
        <v>15</v>
      </c>
      <c r="C33">
        <v>1</v>
      </c>
      <c r="D33">
        <v>4.2</v>
      </c>
      <c r="E33">
        <v>13.852656456463345</v>
      </c>
      <c r="F33">
        <v>5.5161544523246651</v>
      </c>
      <c r="G33">
        <v>1.41</v>
      </c>
      <c r="H33">
        <v>-6.5733419979612657</v>
      </c>
      <c r="I33">
        <v>8.7100000000000009</v>
      </c>
      <c r="J33">
        <v>5.7099999999999998E-3</v>
      </c>
      <c r="K33">
        <v>2.2714158337255097</v>
      </c>
    </row>
    <row r="34" spans="1:11" x14ac:dyDescent="0.3">
      <c r="A34">
        <v>0.6</v>
      </c>
      <c r="B34">
        <v>15</v>
      </c>
      <c r="C34">
        <v>1</v>
      </c>
      <c r="D34">
        <v>5.6</v>
      </c>
      <c r="E34">
        <v>22.091090491420879</v>
      </c>
      <c r="F34">
        <v>7.3548726030995528</v>
      </c>
      <c r="G34">
        <v>1.41</v>
      </c>
      <c r="H34">
        <v>-16.71684862385321</v>
      </c>
      <c r="I34">
        <v>13.89</v>
      </c>
      <c r="J34">
        <v>5.7099999999999998E-3</v>
      </c>
      <c r="K34">
        <v>-2.4013880905758289</v>
      </c>
    </row>
    <row r="35" spans="1:11" x14ac:dyDescent="0.3">
      <c r="A35">
        <v>0.6</v>
      </c>
      <c r="B35">
        <v>15</v>
      </c>
      <c r="C35">
        <v>1</v>
      </c>
      <c r="D35">
        <v>7</v>
      </c>
      <c r="E35">
        <v>30.424950403231197</v>
      </c>
      <c r="F35">
        <v>9.1935907538744406</v>
      </c>
      <c r="G35">
        <v>1.41</v>
      </c>
      <c r="H35">
        <v>-31.708803771661564</v>
      </c>
      <c r="I35">
        <v>19.13</v>
      </c>
      <c r="J35">
        <v>5.7099999999999998E-3</v>
      </c>
      <c r="K35">
        <v>-5.0169500647259522</v>
      </c>
    </row>
    <row r="36" spans="1:11" x14ac:dyDescent="0.3">
      <c r="A36">
        <v>0.6</v>
      </c>
      <c r="B36">
        <v>15</v>
      </c>
      <c r="C36">
        <v>1</v>
      </c>
      <c r="D36">
        <v>8.4</v>
      </c>
      <c r="E36">
        <v>36.134598701589802</v>
      </c>
      <c r="F36">
        <v>11.03230890464933</v>
      </c>
      <c r="G36">
        <v>1.41</v>
      </c>
      <c r="H36">
        <v>-44.72667074413863</v>
      </c>
      <c r="I36">
        <v>22.72</v>
      </c>
      <c r="J36">
        <v>5.7099999999999998E-3</v>
      </c>
      <c r="K36">
        <v>-5.5824787571804091</v>
      </c>
    </row>
    <row r="37" spans="1:11" x14ac:dyDescent="0.3">
      <c r="A37">
        <v>0.6</v>
      </c>
      <c r="B37">
        <v>15</v>
      </c>
      <c r="C37">
        <v>1</v>
      </c>
      <c r="D37">
        <v>9.8000000000000007</v>
      </c>
      <c r="E37">
        <v>43.81638178823939</v>
      </c>
      <c r="F37">
        <v>12.87102705542422</v>
      </c>
      <c r="G37">
        <v>1.41</v>
      </c>
      <c r="H37">
        <v>-65.764742609582058</v>
      </c>
      <c r="I37">
        <v>27.55</v>
      </c>
      <c r="J37">
        <v>5.7099999999999998E-3</v>
      </c>
      <c r="K37">
        <v>-6.5930141619540894</v>
      </c>
    </row>
    <row r="38" spans="1:11" x14ac:dyDescent="0.3">
      <c r="A38">
        <v>0.6</v>
      </c>
      <c r="B38">
        <v>15</v>
      </c>
      <c r="C38">
        <v>2</v>
      </c>
      <c r="D38">
        <v>1.4</v>
      </c>
      <c r="E38">
        <v>0</v>
      </c>
      <c r="F38">
        <v>1.8387181507748882</v>
      </c>
      <c r="G38">
        <v>1.41</v>
      </c>
      <c r="H38">
        <v>0</v>
      </c>
      <c r="I38">
        <v>0</v>
      </c>
      <c r="J38">
        <v>5.7099999999999998E-3</v>
      </c>
      <c r="K38">
        <v>58.589260778703682</v>
      </c>
    </row>
    <row r="39" spans="1:11" x14ac:dyDescent="0.3">
      <c r="A39">
        <v>0.6</v>
      </c>
      <c r="B39">
        <v>15</v>
      </c>
      <c r="C39">
        <v>2</v>
      </c>
      <c r="D39">
        <v>2.8</v>
      </c>
      <c r="E39">
        <v>3.9601738893907843</v>
      </c>
      <c r="F39">
        <v>3.6774363015497764</v>
      </c>
      <c r="G39">
        <v>1.41</v>
      </c>
      <c r="H39">
        <v>-0.53721559633027527</v>
      </c>
      <c r="I39">
        <v>2.4900000000000002</v>
      </c>
      <c r="J39">
        <v>5.7099999999999998E-3</v>
      </c>
      <c r="K39">
        <v>13.867920764510972</v>
      </c>
    </row>
    <row r="40" spans="1:11" x14ac:dyDescent="0.3">
      <c r="A40">
        <v>0.6</v>
      </c>
      <c r="B40">
        <v>15</v>
      </c>
      <c r="C40">
        <v>2</v>
      </c>
      <c r="D40">
        <v>4.2</v>
      </c>
      <c r="E40">
        <v>13.661804702757763</v>
      </c>
      <c r="F40">
        <v>5.5161544523246651</v>
      </c>
      <c r="G40">
        <v>1.41</v>
      </c>
      <c r="H40">
        <v>-6.3934643221202849</v>
      </c>
      <c r="I40">
        <v>8.59</v>
      </c>
      <c r="J40">
        <v>5.7099999999999998E-3</v>
      </c>
      <c r="K40">
        <v>2.3874012631377557</v>
      </c>
    </row>
    <row r="41" spans="1:11" x14ac:dyDescent="0.3">
      <c r="A41">
        <v>0.6</v>
      </c>
      <c r="B41">
        <v>15</v>
      </c>
      <c r="C41">
        <v>2</v>
      </c>
      <c r="D41">
        <v>5.6</v>
      </c>
      <c r="E41">
        <v>23.792851961962299</v>
      </c>
      <c r="F41">
        <v>7.3548726030995528</v>
      </c>
      <c r="G41">
        <v>1.41</v>
      </c>
      <c r="H41">
        <v>-19.391575942915395</v>
      </c>
      <c r="I41">
        <v>14.96</v>
      </c>
      <c r="J41">
        <v>5.7099999999999998E-3</v>
      </c>
      <c r="K41">
        <v>-3.3715142321693894</v>
      </c>
    </row>
    <row r="42" spans="1:11" x14ac:dyDescent="0.3">
      <c r="A42">
        <v>0.6</v>
      </c>
      <c r="B42">
        <v>15</v>
      </c>
      <c r="C42">
        <v>2</v>
      </c>
      <c r="D42">
        <v>7</v>
      </c>
      <c r="E42">
        <v>31.458730735803091</v>
      </c>
      <c r="F42">
        <v>9.1935907538744406</v>
      </c>
      <c r="G42">
        <v>1.41</v>
      </c>
      <c r="H42">
        <v>-33.900218144750255</v>
      </c>
      <c r="I42">
        <v>19.78</v>
      </c>
      <c r="J42">
        <v>5.7099999999999998E-3</v>
      </c>
      <c r="K42">
        <v>-5.5256400337397906</v>
      </c>
    </row>
    <row r="43" spans="1:11" x14ac:dyDescent="0.3">
      <c r="A43">
        <v>0.6</v>
      </c>
      <c r="B43">
        <v>15</v>
      </c>
      <c r="C43">
        <v>2</v>
      </c>
      <c r="D43">
        <v>8.4</v>
      </c>
      <c r="E43">
        <v>37.597795479999249</v>
      </c>
      <c r="F43">
        <v>11.03230890464933</v>
      </c>
      <c r="G43">
        <v>1.41</v>
      </c>
      <c r="H43">
        <v>-48.422238532110086</v>
      </c>
      <c r="I43">
        <v>23.64</v>
      </c>
      <c r="J43">
        <v>5.7099999999999998E-3</v>
      </c>
      <c r="K43">
        <v>-6.178205846167347</v>
      </c>
    </row>
    <row r="44" spans="1:11" x14ac:dyDescent="0.3">
      <c r="A44">
        <v>0.6</v>
      </c>
      <c r="B44">
        <v>15</v>
      </c>
      <c r="C44">
        <v>2</v>
      </c>
      <c r="D44">
        <v>9.8000000000000007</v>
      </c>
      <c r="E44">
        <v>49.303369707274811</v>
      </c>
      <c r="F44">
        <v>12.87102705542422</v>
      </c>
      <c r="G44">
        <v>1.41</v>
      </c>
      <c r="H44">
        <v>-83.267074413863398</v>
      </c>
      <c r="I44">
        <v>31</v>
      </c>
      <c r="J44">
        <v>5.7099999999999998E-3</v>
      </c>
      <c r="K44">
        <v>-8.6658671858157081</v>
      </c>
    </row>
    <row r="45" spans="1:11" x14ac:dyDescent="0.3">
      <c r="A45">
        <v>0.6</v>
      </c>
      <c r="B45">
        <v>15</v>
      </c>
      <c r="C45">
        <v>4</v>
      </c>
      <c r="D45">
        <v>1.4</v>
      </c>
      <c r="E45">
        <v>0</v>
      </c>
      <c r="F45">
        <v>1.8387181507748882</v>
      </c>
      <c r="G45">
        <v>1.41</v>
      </c>
      <c r="H45">
        <v>0</v>
      </c>
      <c r="I45">
        <v>0</v>
      </c>
      <c r="J45">
        <v>5.7099999999999998E-3</v>
      </c>
      <c r="K45">
        <v>58.589260778703682</v>
      </c>
    </row>
    <row r="46" spans="1:11" x14ac:dyDescent="0.3">
      <c r="A46">
        <v>0.6</v>
      </c>
      <c r="B46">
        <v>15</v>
      </c>
      <c r="C46">
        <v>4</v>
      </c>
      <c r="D46">
        <v>2.8</v>
      </c>
      <c r="E46">
        <v>5.3279447909474396</v>
      </c>
      <c r="F46">
        <v>3.6774363015497764</v>
      </c>
      <c r="G46">
        <v>1.41</v>
      </c>
      <c r="H46">
        <v>-0.97238786952089706</v>
      </c>
      <c r="I46">
        <v>3.35</v>
      </c>
      <c r="J46">
        <v>5.7099999999999998E-3</v>
      </c>
      <c r="K46">
        <v>13.236571175623626</v>
      </c>
    </row>
    <row r="47" spans="1:11" x14ac:dyDescent="0.3">
      <c r="A47">
        <v>0.6</v>
      </c>
      <c r="B47">
        <v>15</v>
      </c>
      <c r="C47">
        <v>4</v>
      </c>
      <c r="D47">
        <v>4.2</v>
      </c>
      <c r="E47">
        <v>14.027603897360127</v>
      </c>
      <c r="F47">
        <v>5.5161544523246651</v>
      </c>
      <c r="G47">
        <v>1.41</v>
      </c>
      <c r="H47">
        <v>-6.7404220183486236</v>
      </c>
      <c r="I47">
        <v>8.82</v>
      </c>
      <c r="J47">
        <v>5.7099999999999998E-3</v>
      </c>
      <c r="K47">
        <v>2.1636823541804087</v>
      </c>
    </row>
    <row r="48" spans="1:11" x14ac:dyDescent="0.3">
      <c r="A48">
        <v>0.6</v>
      </c>
      <c r="B48">
        <v>15</v>
      </c>
      <c r="C48">
        <v>4</v>
      </c>
      <c r="D48">
        <v>5.6</v>
      </c>
      <c r="E48">
        <v>24.524450351167022</v>
      </c>
      <c r="F48">
        <v>7.3548726030995528</v>
      </c>
      <c r="G48">
        <v>1.41</v>
      </c>
      <c r="H48">
        <v>-20.602440366972477</v>
      </c>
      <c r="I48">
        <v>15.42</v>
      </c>
      <c r="J48">
        <v>5.7099999999999998E-3</v>
      </c>
      <c r="K48">
        <v>-3.8106959099918885</v>
      </c>
    </row>
    <row r="49" spans="1:11" x14ac:dyDescent="0.3">
      <c r="A49">
        <v>0.6</v>
      </c>
      <c r="B49">
        <v>15</v>
      </c>
      <c r="C49">
        <v>4</v>
      </c>
      <c r="D49">
        <v>7</v>
      </c>
      <c r="E49">
        <v>33.303631021623701</v>
      </c>
      <c r="F49">
        <v>9.1935907538744406</v>
      </c>
      <c r="G49">
        <v>1.41</v>
      </c>
      <c r="H49">
        <v>-37.992972477064221</v>
      </c>
      <c r="I49">
        <v>20.94</v>
      </c>
      <c r="J49">
        <v>5.7099999999999998E-3</v>
      </c>
      <c r="K49">
        <v>-6.4756854017235952</v>
      </c>
    </row>
    <row r="50" spans="1:11" x14ac:dyDescent="0.3">
      <c r="A50">
        <v>0.6</v>
      </c>
      <c r="B50">
        <v>15</v>
      </c>
      <c r="C50">
        <v>4</v>
      </c>
      <c r="D50">
        <v>8.4</v>
      </c>
      <c r="E50">
        <v>43.641434347342617</v>
      </c>
      <c r="F50">
        <v>11.03230890464933</v>
      </c>
      <c r="G50">
        <v>1.41</v>
      </c>
      <c r="H50">
        <v>-65.240627930682976</v>
      </c>
      <c r="I50">
        <v>27.44</v>
      </c>
      <c r="J50">
        <v>5.7099999999999998E-3</v>
      </c>
      <c r="K50">
        <v>-8.8893373238449005</v>
      </c>
    </row>
    <row r="51" spans="1:11" x14ac:dyDescent="0.3">
      <c r="A51">
        <v>0.6</v>
      </c>
      <c r="B51">
        <v>15</v>
      </c>
      <c r="C51">
        <v>4</v>
      </c>
      <c r="D51">
        <v>9.8000000000000007</v>
      </c>
      <c r="E51">
        <v>52.070720136005733</v>
      </c>
      <c r="F51">
        <v>12.87102705542422</v>
      </c>
      <c r="G51">
        <v>1.41</v>
      </c>
      <c r="H51">
        <v>-92.876805300713571</v>
      </c>
      <c r="I51">
        <v>32.74</v>
      </c>
      <c r="J51">
        <v>5.7099999999999998E-3</v>
      </c>
      <c r="K51">
        <v>-9.8039760932488953</v>
      </c>
    </row>
    <row r="52" spans="1:11" x14ac:dyDescent="0.3">
      <c r="A52">
        <v>0.6</v>
      </c>
      <c r="B52">
        <v>15</v>
      </c>
      <c r="C52">
        <v>6</v>
      </c>
      <c r="D52">
        <v>1.4</v>
      </c>
      <c r="E52">
        <v>0</v>
      </c>
      <c r="F52">
        <v>1.8387181507748882</v>
      </c>
      <c r="G52">
        <v>1.41</v>
      </c>
      <c r="H52">
        <v>0</v>
      </c>
      <c r="I52">
        <v>0</v>
      </c>
      <c r="J52">
        <v>5.7099999999999998E-3</v>
      </c>
      <c r="K52">
        <v>58.589260778703682</v>
      </c>
    </row>
    <row r="53" spans="1:11" x14ac:dyDescent="0.3">
      <c r="A53">
        <v>0.6</v>
      </c>
      <c r="B53">
        <v>15</v>
      </c>
      <c r="C53">
        <v>6</v>
      </c>
      <c r="D53">
        <v>2.8</v>
      </c>
      <c r="E53">
        <v>2.3856469213197493</v>
      </c>
      <c r="F53">
        <v>3.6774363015497764</v>
      </c>
      <c r="G53">
        <v>1.41</v>
      </c>
      <c r="H53">
        <v>-0.19495412844036694</v>
      </c>
      <c r="I53">
        <v>1.5</v>
      </c>
      <c r="J53">
        <v>5.7099999999999998E-3</v>
      </c>
      <c r="K53">
        <v>14.364475003732045</v>
      </c>
    </row>
    <row r="54" spans="1:11" x14ac:dyDescent="0.3">
      <c r="A54">
        <v>0.6</v>
      </c>
      <c r="B54">
        <v>15</v>
      </c>
      <c r="C54">
        <v>6</v>
      </c>
      <c r="D54">
        <v>4.2</v>
      </c>
      <c r="E54">
        <v>13.423240010625786</v>
      </c>
      <c r="F54">
        <v>5.5161544523246651</v>
      </c>
      <c r="G54">
        <v>1.41</v>
      </c>
      <c r="H54">
        <v>-6.1721264016309876</v>
      </c>
      <c r="I54">
        <v>8.44</v>
      </c>
      <c r="J54">
        <v>5.7099999999999998E-3</v>
      </c>
      <c r="K54">
        <v>2.5301203283755114</v>
      </c>
    </row>
    <row r="55" spans="1:11" x14ac:dyDescent="0.3">
      <c r="A55">
        <v>0.6</v>
      </c>
      <c r="B55">
        <v>15</v>
      </c>
      <c r="C55">
        <v>6</v>
      </c>
      <c r="D55">
        <v>5.6</v>
      </c>
      <c r="E55">
        <v>26.098977319238053</v>
      </c>
      <c r="F55">
        <v>7.3548726030995528</v>
      </c>
      <c r="G55">
        <v>1.41</v>
      </c>
      <c r="H55">
        <v>-23.332811926605501</v>
      </c>
      <c r="I55">
        <v>16.41</v>
      </c>
      <c r="J55">
        <v>5.7099999999999998E-3</v>
      </c>
      <c r="K55">
        <v>-4.8010042705436859</v>
      </c>
    </row>
    <row r="56" spans="1:11" x14ac:dyDescent="0.3">
      <c r="A56">
        <v>0.6</v>
      </c>
      <c r="B56">
        <v>15</v>
      </c>
      <c r="C56">
        <v>6</v>
      </c>
      <c r="D56">
        <v>7</v>
      </c>
      <c r="E56">
        <v>34.162463913298808</v>
      </c>
      <c r="F56">
        <v>9.1935907538744406</v>
      </c>
      <c r="G56">
        <v>1.41</v>
      </c>
      <c r="H56">
        <v>-39.977761467889906</v>
      </c>
      <c r="I56">
        <v>21.48</v>
      </c>
      <c r="J56">
        <v>5.7099999999999998E-3</v>
      </c>
      <c r="K56">
        <v>-6.936411708277423</v>
      </c>
    </row>
    <row r="57" spans="1:11" x14ac:dyDescent="0.3">
      <c r="A57">
        <v>0.6</v>
      </c>
      <c r="B57">
        <v>15</v>
      </c>
      <c r="C57">
        <v>6</v>
      </c>
      <c r="D57">
        <v>8.4</v>
      </c>
      <c r="E57">
        <v>37.884073110557615</v>
      </c>
      <c r="F57">
        <v>11.03230890464933</v>
      </c>
      <c r="G57">
        <v>1.41</v>
      </c>
      <c r="H57">
        <v>-49.162440366972476</v>
      </c>
      <c r="I57">
        <v>23.82</v>
      </c>
      <c r="J57">
        <v>5.7099999999999998E-3</v>
      </c>
      <c r="K57">
        <v>-6.2975266947202053</v>
      </c>
    </row>
    <row r="58" spans="1:11" x14ac:dyDescent="0.3">
      <c r="A58">
        <v>0.6</v>
      </c>
      <c r="B58">
        <v>15</v>
      </c>
      <c r="C58">
        <v>6</v>
      </c>
      <c r="D58">
        <v>9.8000000000000007</v>
      </c>
      <c r="E58">
        <v>42.082811692080377</v>
      </c>
      <c r="F58">
        <v>12.87102705542422</v>
      </c>
      <c r="G58">
        <v>1.41</v>
      </c>
      <c r="H58">
        <v>-60.663798165137607</v>
      </c>
      <c r="I58">
        <v>26.46</v>
      </c>
      <c r="J58">
        <v>5.7099999999999998E-3</v>
      </c>
      <c r="K58">
        <v>-5.988894194714617</v>
      </c>
    </row>
    <row r="59" spans="1:11" x14ac:dyDescent="0.3">
      <c r="A59">
        <v>0.6</v>
      </c>
      <c r="B59">
        <v>20</v>
      </c>
      <c r="C59">
        <v>1</v>
      </c>
      <c r="D59">
        <v>1.8</v>
      </c>
      <c r="E59">
        <v>0</v>
      </c>
      <c r="F59">
        <v>1.7730496453900713</v>
      </c>
      <c r="G59">
        <v>1.88</v>
      </c>
      <c r="H59">
        <v>0</v>
      </c>
      <c r="I59">
        <v>0</v>
      </c>
      <c r="J59">
        <v>6.9699999999999996E-3</v>
      </c>
      <c r="K59">
        <v>63.00957537791998</v>
      </c>
    </row>
    <row r="60" spans="1:11" x14ac:dyDescent="0.3">
      <c r="A60">
        <v>0.6</v>
      </c>
      <c r="B60">
        <v>20</v>
      </c>
      <c r="C60">
        <v>1</v>
      </c>
      <c r="D60">
        <v>3.6</v>
      </c>
      <c r="E60">
        <v>3.3399056898476487</v>
      </c>
      <c r="F60">
        <v>3.5460992907801425</v>
      </c>
      <c r="G60">
        <v>1.88</v>
      </c>
      <c r="H60">
        <v>-0.38211009174311922</v>
      </c>
      <c r="I60">
        <v>2.1</v>
      </c>
      <c r="J60">
        <v>6.9699999999999996E-3</v>
      </c>
      <c r="K60">
        <v>15.156202416479996</v>
      </c>
    </row>
    <row r="61" spans="1:11" x14ac:dyDescent="0.3">
      <c r="A61">
        <v>0.6</v>
      </c>
      <c r="B61">
        <v>20</v>
      </c>
      <c r="C61">
        <v>1</v>
      </c>
      <c r="D61">
        <v>5.4</v>
      </c>
      <c r="E61">
        <v>11.164827591776426</v>
      </c>
      <c r="F61">
        <v>5.3191489361702136</v>
      </c>
      <c r="G61">
        <v>1.88</v>
      </c>
      <c r="H61">
        <v>-4.2699633027522923</v>
      </c>
      <c r="I61">
        <v>7.02</v>
      </c>
      <c r="J61">
        <v>6.9699999999999996E-3</v>
      </c>
      <c r="K61">
        <v>4.0400609529600002</v>
      </c>
    </row>
    <row r="62" spans="1:11" x14ac:dyDescent="0.3">
      <c r="A62">
        <v>0.6</v>
      </c>
      <c r="B62">
        <v>20</v>
      </c>
      <c r="C62">
        <v>1</v>
      </c>
      <c r="D62">
        <v>7.2</v>
      </c>
      <c r="E62">
        <v>18.639854611911641</v>
      </c>
      <c r="F62">
        <v>7.092198581560285</v>
      </c>
      <c r="G62">
        <v>1.88</v>
      </c>
      <c r="H62">
        <v>-11.901594291539245</v>
      </c>
      <c r="I62">
        <v>11.72</v>
      </c>
      <c r="J62">
        <v>6.9699999999999996E-3</v>
      </c>
      <c r="K62">
        <v>-0.70429953455999961</v>
      </c>
    </row>
    <row r="63" spans="1:11" x14ac:dyDescent="0.3">
      <c r="A63">
        <v>0.6</v>
      </c>
      <c r="B63">
        <v>20</v>
      </c>
      <c r="C63">
        <v>1</v>
      </c>
      <c r="D63">
        <v>9</v>
      </c>
      <c r="E63">
        <v>24.937962484195776</v>
      </c>
      <c r="F63">
        <v>8.8652482269503565</v>
      </c>
      <c r="G63">
        <v>1.88</v>
      </c>
      <c r="H63">
        <v>-21.303062181447501</v>
      </c>
      <c r="I63">
        <v>15.68</v>
      </c>
      <c r="J63">
        <v>6.9699999999999996E-3</v>
      </c>
      <c r="K63">
        <v>-2.7977505122303983</v>
      </c>
    </row>
    <row r="64" spans="1:11" x14ac:dyDescent="0.3">
      <c r="A64">
        <v>0.6</v>
      </c>
      <c r="B64">
        <v>20</v>
      </c>
      <c r="C64">
        <v>1</v>
      </c>
      <c r="D64">
        <v>10.8</v>
      </c>
      <c r="E64">
        <v>30.822558223451161</v>
      </c>
      <c r="F64">
        <v>10.638297872340427</v>
      </c>
      <c r="G64">
        <v>1.88</v>
      </c>
      <c r="H64">
        <v>-32.542990825688065</v>
      </c>
      <c r="I64">
        <v>19.38</v>
      </c>
      <c r="J64">
        <v>6.9699999999999996E-3</v>
      </c>
      <c r="K64">
        <v>-3.8914624065599983</v>
      </c>
    </row>
    <row r="65" spans="1:11" x14ac:dyDescent="0.3">
      <c r="A65">
        <v>0.6</v>
      </c>
      <c r="B65">
        <v>20</v>
      </c>
      <c r="C65">
        <v>1</v>
      </c>
      <c r="D65">
        <v>13.1</v>
      </c>
      <c r="E65">
        <v>37.804551546513622</v>
      </c>
      <c r="F65">
        <v>12.903861308116628</v>
      </c>
      <c r="G65">
        <v>1.88</v>
      </c>
      <c r="H65">
        <v>-48.956265545361866</v>
      </c>
      <c r="I65">
        <v>23.77</v>
      </c>
      <c r="J65">
        <v>6.9699999999999996E-3</v>
      </c>
      <c r="K65">
        <v>-4.5789446502782249</v>
      </c>
    </row>
    <row r="66" spans="1:11" x14ac:dyDescent="0.3">
      <c r="A66">
        <v>0.6</v>
      </c>
      <c r="B66">
        <v>20</v>
      </c>
      <c r="C66">
        <v>2</v>
      </c>
      <c r="D66">
        <v>1.8</v>
      </c>
      <c r="E66">
        <v>0</v>
      </c>
      <c r="F66">
        <v>1.7730496453900713</v>
      </c>
      <c r="G66">
        <v>1.88</v>
      </c>
      <c r="H66">
        <v>0</v>
      </c>
      <c r="I66">
        <v>0</v>
      </c>
      <c r="J66">
        <v>6.9699999999999996E-3</v>
      </c>
      <c r="K66">
        <v>63.00957537791998</v>
      </c>
    </row>
    <row r="67" spans="1:11" x14ac:dyDescent="0.3">
      <c r="A67">
        <v>0.6</v>
      </c>
      <c r="B67">
        <v>20</v>
      </c>
      <c r="C67">
        <v>2</v>
      </c>
      <c r="D67">
        <v>3.6</v>
      </c>
      <c r="E67">
        <v>0</v>
      </c>
      <c r="F67">
        <v>3.5460992907801425</v>
      </c>
      <c r="G67">
        <v>1.88</v>
      </c>
      <c r="H67">
        <v>0</v>
      </c>
      <c r="I67">
        <v>0</v>
      </c>
      <c r="J67">
        <v>6.9699999999999996E-3</v>
      </c>
      <c r="K67">
        <v>15.752393844479995</v>
      </c>
    </row>
    <row r="68" spans="1:11" x14ac:dyDescent="0.3">
      <c r="A68">
        <v>0.6</v>
      </c>
      <c r="B68">
        <v>20</v>
      </c>
      <c r="C68">
        <v>2</v>
      </c>
      <c r="D68">
        <v>5.4</v>
      </c>
      <c r="E68">
        <v>12.166799298730721</v>
      </c>
      <c r="F68">
        <v>5.3191489361702136</v>
      </c>
      <c r="G68">
        <v>1.88</v>
      </c>
      <c r="H68">
        <v>-5.0707568807339447</v>
      </c>
      <c r="I68">
        <v>7.65</v>
      </c>
      <c r="J68">
        <v>6.9699999999999996E-3</v>
      </c>
      <c r="K68">
        <v>3.4847512228799995</v>
      </c>
    </row>
    <row r="69" spans="1:11" x14ac:dyDescent="0.3">
      <c r="A69">
        <v>0.6</v>
      </c>
      <c r="B69">
        <v>20</v>
      </c>
      <c r="C69">
        <v>2</v>
      </c>
      <c r="D69">
        <v>7.2</v>
      </c>
      <c r="E69">
        <v>17.924160535515714</v>
      </c>
      <c r="F69">
        <v>7.092198581560285</v>
      </c>
      <c r="G69">
        <v>1.88</v>
      </c>
      <c r="H69">
        <v>-11.005195208970436</v>
      </c>
      <c r="I69">
        <v>11.27</v>
      </c>
      <c r="J69">
        <v>6.9699999999999996E-3</v>
      </c>
      <c r="K69">
        <v>-0.35464542920999897</v>
      </c>
    </row>
    <row r="70" spans="1:11" x14ac:dyDescent="0.3">
      <c r="A70">
        <v>0.6</v>
      </c>
      <c r="B70">
        <v>20</v>
      </c>
      <c r="C70">
        <v>2</v>
      </c>
      <c r="D70">
        <v>9</v>
      </c>
      <c r="E70">
        <v>26.28982907294364</v>
      </c>
      <c r="F70">
        <v>8.8652482269503565</v>
      </c>
      <c r="G70">
        <v>1.88</v>
      </c>
      <c r="H70">
        <v>-23.675307339449539</v>
      </c>
      <c r="I70">
        <v>16.53</v>
      </c>
      <c r="J70">
        <v>6.9699999999999996E-3</v>
      </c>
      <c r="K70">
        <v>-3.3899619230783977</v>
      </c>
    </row>
    <row r="71" spans="1:11" x14ac:dyDescent="0.3">
      <c r="A71">
        <v>0.6</v>
      </c>
      <c r="B71">
        <v>20</v>
      </c>
      <c r="C71">
        <v>2</v>
      </c>
      <c r="D71">
        <v>10.8</v>
      </c>
      <c r="E71">
        <v>34.639593297562762</v>
      </c>
      <c r="F71">
        <v>10.638297872340427</v>
      </c>
      <c r="G71">
        <v>1.88</v>
      </c>
      <c r="H71">
        <v>-41.102256880733947</v>
      </c>
      <c r="I71">
        <v>21.78</v>
      </c>
      <c r="J71">
        <v>6.9699999999999996E-3</v>
      </c>
      <c r="K71">
        <v>-5.3753166273599993</v>
      </c>
    </row>
    <row r="72" spans="1:11" x14ac:dyDescent="0.3">
      <c r="A72">
        <v>0.6</v>
      </c>
      <c r="B72">
        <v>20</v>
      </c>
      <c r="C72">
        <v>2</v>
      </c>
      <c r="D72">
        <v>13.1</v>
      </c>
      <c r="E72">
        <v>45.518143258780817</v>
      </c>
      <c r="F72">
        <v>12.903861308116628</v>
      </c>
      <c r="G72">
        <v>1.88</v>
      </c>
      <c r="H72">
        <v>-70.972348623853208</v>
      </c>
      <c r="I72">
        <v>28.62</v>
      </c>
      <c r="J72">
        <v>6.9699999999999996E-3</v>
      </c>
      <c r="K72">
        <v>-7.1731221325360899</v>
      </c>
    </row>
    <row r="73" spans="1:11" x14ac:dyDescent="0.3">
      <c r="A73">
        <v>0.6</v>
      </c>
      <c r="B73">
        <v>20</v>
      </c>
      <c r="C73">
        <v>4</v>
      </c>
      <c r="D73">
        <v>1.8</v>
      </c>
      <c r="E73">
        <v>0</v>
      </c>
      <c r="F73">
        <v>1.7730496453900713</v>
      </c>
      <c r="G73">
        <v>1.88</v>
      </c>
      <c r="H73">
        <v>0</v>
      </c>
      <c r="I73">
        <v>0</v>
      </c>
      <c r="J73">
        <v>6.9699999999999996E-3</v>
      </c>
      <c r="K73">
        <v>63.00957537791998</v>
      </c>
    </row>
    <row r="74" spans="1:11" x14ac:dyDescent="0.3">
      <c r="A74">
        <v>0.6</v>
      </c>
      <c r="B74">
        <v>20</v>
      </c>
      <c r="C74">
        <v>4</v>
      </c>
      <c r="D74">
        <v>3.6</v>
      </c>
      <c r="E74">
        <v>0</v>
      </c>
      <c r="F74">
        <v>3.5460992907801425</v>
      </c>
      <c r="G74">
        <v>1.88</v>
      </c>
      <c r="H74">
        <v>0</v>
      </c>
      <c r="I74">
        <v>0</v>
      </c>
      <c r="J74">
        <v>6.9699999999999996E-3</v>
      </c>
      <c r="K74">
        <v>15.752393844479995</v>
      </c>
    </row>
    <row r="75" spans="1:11" x14ac:dyDescent="0.3">
      <c r="A75">
        <v>0.6</v>
      </c>
      <c r="B75">
        <v>20</v>
      </c>
      <c r="C75">
        <v>4</v>
      </c>
      <c r="D75">
        <v>5.4</v>
      </c>
      <c r="E75">
        <v>12.262225175583511</v>
      </c>
      <c r="F75">
        <v>5.3191489361702136</v>
      </c>
      <c r="G75">
        <v>1.88</v>
      </c>
      <c r="H75">
        <v>-5.1506100917431192</v>
      </c>
      <c r="I75">
        <v>7.71</v>
      </c>
      <c r="J75">
        <v>6.9699999999999996E-3</v>
      </c>
      <c r="K75">
        <v>3.4293770711999993</v>
      </c>
    </row>
    <row r="76" spans="1:11" x14ac:dyDescent="0.3">
      <c r="A76">
        <v>0.6</v>
      </c>
      <c r="B76">
        <v>20</v>
      </c>
      <c r="C76">
        <v>4</v>
      </c>
      <c r="D76">
        <v>7.2</v>
      </c>
      <c r="E76">
        <v>18.258151104500481</v>
      </c>
      <c r="F76">
        <v>7.092198581560285</v>
      </c>
      <c r="G76">
        <v>1.88</v>
      </c>
      <c r="H76">
        <v>-11.419147808358817</v>
      </c>
      <c r="I76">
        <v>11.48</v>
      </c>
      <c r="J76">
        <v>6.9699999999999996E-3</v>
      </c>
      <c r="K76">
        <v>-0.51611394095999952</v>
      </c>
    </row>
    <row r="77" spans="1:11" x14ac:dyDescent="0.3">
      <c r="A77">
        <v>0.6</v>
      </c>
      <c r="B77">
        <v>20</v>
      </c>
      <c r="C77">
        <v>4</v>
      </c>
      <c r="D77">
        <v>9</v>
      </c>
      <c r="E77">
        <v>27.05323608776596</v>
      </c>
      <c r="F77">
        <v>8.8652482269503565</v>
      </c>
      <c r="G77">
        <v>1.88</v>
      </c>
      <c r="H77">
        <v>-25.070243119266056</v>
      </c>
      <c r="I77">
        <v>17.010000000000002</v>
      </c>
      <c r="J77">
        <v>6.9699999999999996E-3</v>
      </c>
      <c r="K77">
        <v>-3.7381961194559987</v>
      </c>
    </row>
    <row r="78" spans="1:11" x14ac:dyDescent="0.3">
      <c r="A78">
        <v>0.6</v>
      </c>
      <c r="B78">
        <v>20</v>
      </c>
      <c r="C78">
        <v>4</v>
      </c>
      <c r="D78">
        <v>10.8</v>
      </c>
      <c r="E78">
        <v>37.597795479999249</v>
      </c>
      <c r="F78">
        <v>10.638297872340427</v>
      </c>
      <c r="G78">
        <v>1.88</v>
      </c>
      <c r="H78">
        <v>-48.422238532110086</v>
      </c>
      <c r="I78">
        <v>23.64</v>
      </c>
      <c r="J78">
        <v>6.9699999999999996E-3</v>
      </c>
      <c r="K78">
        <v>-6.6443256287999981</v>
      </c>
    </row>
    <row r="79" spans="1:11" x14ac:dyDescent="0.3">
      <c r="A79">
        <v>0.6</v>
      </c>
      <c r="B79">
        <v>20</v>
      </c>
      <c r="C79">
        <v>4</v>
      </c>
      <c r="D79">
        <v>13.1</v>
      </c>
      <c r="E79">
        <v>46.313358899220738</v>
      </c>
      <c r="F79">
        <v>12.903861308116628</v>
      </c>
      <c r="G79">
        <v>1.88</v>
      </c>
      <c r="H79">
        <v>-73.473826707441376</v>
      </c>
      <c r="I79">
        <v>29.12</v>
      </c>
      <c r="J79">
        <v>6.9699999999999996E-3</v>
      </c>
      <c r="K79">
        <v>-7.4678738417148081</v>
      </c>
    </row>
    <row r="80" spans="1:11" x14ac:dyDescent="0.3">
      <c r="A80">
        <v>0.6</v>
      </c>
      <c r="B80">
        <v>20</v>
      </c>
      <c r="C80">
        <v>6</v>
      </c>
      <c r="D80">
        <v>1.8</v>
      </c>
      <c r="E80">
        <v>0</v>
      </c>
      <c r="F80">
        <v>1.7730496453900713</v>
      </c>
      <c r="G80">
        <v>1.88</v>
      </c>
      <c r="H80">
        <v>0</v>
      </c>
      <c r="I80">
        <v>0</v>
      </c>
      <c r="J80">
        <v>6.9699999999999988E-3</v>
      </c>
      <c r="K80">
        <v>63.00957537791998</v>
      </c>
    </row>
    <row r="81" spans="1:11" x14ac:dyDescent="0.3">
      <c r="A81">
        <v>0.6</v>
      </c>
      <c r="B81">
        <v>20</v>
      </c>
      <c r="C81">
        <v>6</v>
      </c>
      <c r="D81">
        <v>3.6</v>
      </c>
      <c r="E81">
        <v>0</v>
      </c>
      <c r="F81">
        <v>3.5460992907801425</v>
      </c>
      <c r="G81">
        <v>1.88</v>
      </c>
      <c r="H81">
        <v>0</v>
      </c>
      <c r="I81">
        <v>0</v>
      </c>
      <c r="J81">
        <v>6.9699999999999988E-3</v>
      </c>
      <c r="K81">
        <v>15.752393844479995</v>
      </c>
    </row>
    <row r="82" spans="1:11" x14ac:dyDescent="0.3">
      <c r="A82">
        <v>0.6</v>
      </c>
      <c r="B82">
        <v>20</v>
      </c>
      <c r="C82">
        <v>6</v>
      </c>
      <c r="D82">
        <v>5.4</v>
      </c>
      <c r="E82">
        <v>4.2941644583755485</v>
      </c>
      <c r="F82">
        <v>5.3191489361702136</v>
      </c>
      <c r="G82">
        <v>1.88</v>
      </c>
      <c r="H82">
        <v>-0.63165137614678901</v>
      </c>
      <c r="I82">
        <v>2.7</v>
      </c>
      <c r="J82">
        <v>6.9699999999999988E-3</v>
      </c>
      <c r="K82">
        <v>6.5630457388799979</v>
      </c>
    </row>
    <row r="83" spans="1:11" x14ac:dyDescent="0.3">
      <c r="A83">
        <v>0.6</v>
      </c>
      <c r="B83">
        <v>20</v>
      </c>
      <c r="C83">
        <v>6</v>
      </c>
      <c r="D83">
        <v>7.2</v>
      </c>
      <c r="E83">
        <v>12.91430200074424</v>
      </c>
      <c r="F83">
        <v>7.092198581560285</v>
      </c>
      <c r="G83">
        <v>1.88</v>
      </c>
      <c r="H83">
        <v>-5.7129704383282345</v>
      </c>
      <c r="I83">
        <v>8.1199999999999992</v>
      </c>
      <c r="J83">
        <v>6.9699999999999988E-3</v>
      </c>
      <c r="K83">
        <v>1.7096673902400004</v>
      </c>
    </row>
    <row r="84" spans="1:11" x14ac:dyDescent="0.3">
      <c r="A84">
        <v>0.6</v>
      </c>
      <c r="B84">
        <v>20</v>
      </c>
      <c r="C84">
        <v>6</v>
      </c>
      <c r="D84">
        <v>9</v>
      </c>
      <c r="E84">
        <v>23.411148454551139</v>
      </c>
      <c r="F84">
        <v>8.8652482269503565</v>
      </c>
      <c r="G84">
        <v>1.88</v>
      </c>
      <c r="H84">
        <v>-18.774377166156981</v>
      </c>
      <c r="I84">
        <v>14.72</v>
      </c>
      <c r="J84">
        <v>6.9699999999999988E-3</v>
      </c>
      <c r="K84">
        <v>-2.1664851830783984</v>
      </c>
    </row>
    <row r="85" spans="1:11" x14ac:dyDescent="0.3">
      <c r="A85">
        <v>0.6</v>
      </c>
      <c r="B85">
        <v>20</v>
      </c>
      <c r="C85">
        <v>6</v>
      </c>
      <c r="D85">
        <v>10.8</v>
      </c>
      <c r="E85">
        <v>28.91404068639536</v>
      </c>
      <c r="F85">
        <v>10.638297872340427</v>
      </c>
      <c r="G85">
        <v>1.88</v>
      </c>
      <c r="H85">
        <v>-28.637669724770642</v>
      </c>
      <c r="I85">
        <v>18.18</v>
      </c>
      <c r="J85">
        <v>6.9699999999999988E-3</v>
      </c>
      <c r="K85">
        <v>-3.2144268801599991</v>
      </c>
    </row>
    <row r="86" spans="1:11" x14ac:dyDescent="0.3">
      <c r="A86">
        <v>0.6</v>
      </c>
      <c r="B86">
        <v>20</v>
      </c>
      <c r="C86">
        <v>6</v>
      </c>
      <c r="D86">
        <v>13.1</v>
      </c>
      <c r="E86">
        <v>35.243957184297095</v>
      </c>
      <c r="F86">
        <v>12.903861308116628</v>
      </c>
      <c r="G86">
        <v>1.88</v>
      </c>
      <c r="H86">
        <v>-42.549007135575941</v>
      </c>
      <c r="I86">
        <v>22.16</v>
      </c>
      <c r="J86">
        <v>6.9699999999999988E-3</v>
      </c>
      <c r="K86">
        <v>-3.823970869046792</v>
      </c>
    </row>
    <row r="87" spans="1:11" x14ac:dyDescent="0.3">
      <c r="A87">
        <v>0.6</v>
      </c>
      <c r="B87">
        <v>30</v>
      </c>
      <c r="C87">
        <v>1</v>
      </c>
      <c r="D87">
        <v>2.5</v>
      </c>
      <c r="E87">
        <v>0</v>
      </c>
      <c r="F87">
        <v>1.6417126346204358</v>
      </c>
      <c r="G87">
        <v>2.82</v>
      </c>
      <c r="H87">
        <v>0</v>
      </c>
      <c r="I87">
        <v>0</v>
      </c>
      <c r="J87">
        <v>9.2599999999999991E-3</v>
      </c>
      <c r="K87">
        <v>73.494368720805909</v>
      </c>
    </row>
    <row r="88" spans="1:11" x14ac:dyDescent="0.3">
      <c r="A88">
        <v>0.6</v>
      </c>
      <c r="B88">
        <v>30</v>
      </c>
      <c r="C88">
        <v>1</v>
      </c>
      <c r="D88">
        <v>5</v>
      </c>
      <c r="E88">
        <v>0</v>
      </c>
      <c r="F88">
        <v>3.2834252692408716</v>
      </c>
      <c r="G88">
        <v>2.82</v>
      </c>
      <c r="H88">
        <v>0</v>
      </c>
      <c r="I88">
        <v>0</v>
      </c>
      <c r="J88">
        <v>9.2599999999999991E-3</v>
      </c>
      <c r="K88">
        <v>18.373592180201477</v>
      </c>
    </row>
    <row r="89" spans="1:11" x14ac:dyDescent="0.3">
      <c r="A89">
        <v>0.6</v>
      </c>
      <c r="B89">
        <v>30</v>
      </c>
      <c r="C89">
        <v>1</v>
      </c>
      <c r="D89">
        <v>7.5</v>
      </c>
      <c r="E89">
        <v>3.7534178228764055</v>
      </c>
      <c r="F89">
        <v>4.925137903861307</v>
      </c>
      <c r="G89">
        <v>2.82</v>
      </c>
      <c r="H89">
        <v>-0.48258511722731895</v>
      </c>
      <c r="I89">
        <v>2.36</v>
      </c>
      <c r="J89">
        <v>9.2599999999999991E-3</v>
      </c>
      <c r="K89">
        <v>7.7757071894323238</v>
      </c>
    </row>
    <row r="90" spans="1:11" x14ac:dyDescent="0.3">
      <c r="A90">
        <v>0.6</v>
      </c>
      <c r="B90">
        <v>30</v>
      </c>
      <c r="C90">
        <v>1</v>
      </c>
      <c r="D90">
        <v>10</v>
      </c>
      <c r="E90">
        <v>21.868430112097702</v>
      </c>
      <c r="F90">
        <v>6.5668505384817433</v>
      </c>
      <c r="G90">
        <v>2.82</v>
      </c>
      <c r="H90">
        <v>-16.381562181447503</v>
      </c>
      <c r="I90">
        <v>13.75</v>
      </c>
      <c r="J90">
        <v>9.2599999999999991E-3</v>
      </c>
      <c r="K90">
        <v>-2.8597552531996331</v>
      </c>
    </row>
    <row r="91" spans="1:11" x14ac:dyDescent="0.3">
      <c r="A91">
        <v>0.6</v>
      </c>
      <c r="B91">
        <v>30</v>
      </c>
      <c r="C91">
        <v>1</v>
      </c>
      <c r="D91">
        <v>12.5</v>
      </c>
      <c r="E91">
        <v>32.492511068374981</v>
      </c>
      <c r="F91">
        <v>8.2085631731021795</v>
      </c>
      <c r="G91">
        <v>2.82</v>
      </c>
      <c r="H91">
        <v>-36.16484862385321</v>
      </c>
      <c r="I91">
        <v>20.43</v>
      </c>
      <c r="J91">
        <v>9.2599999999999991E-3</v>
      </c>
      <c r="K91">
        <v>-7.590782776895173</v>
      </c>
    </row>
    <row r="92" spans="1:11" x14ac:dyDescent="0.3">
      <c r="A92">
        <v>0.6</v>
      </c>
      <c r="B92">
        <v>30</v>
      </c>
      <c r="C92">
        <v>1</v>
      </c>
      <c r="D92">
        <v>15</v>
      </c>
      <c r="E92">
        <v>37.343326475058475</v>
      </c>
      <c r="F92">
        <v>9.850275807722614</v>
      </c>
      <c r="G92">
        <v>2.82</v>
      </c>
      <c r="H92">
        <v>-47.768994903160042</v>
      </c>
      <c r="I92">
        <v>23.48</v>
      </c>
      <c r="J92">
        <v>9.2599999999999991E-3</v>
      </c>
      <c r="K92">
        <v>-7.6178491433072688</v>
      </c>
    </row>
    <row r="93" spans="1:11" x14ac:dyDescent="0.3">
      <c r="A93">
        <v>0.6</v>
      </c>
      <c r="B93">
        <v>30</v>
      </c>
      <c r="C93">
        <v>1</v>
      </c>
      <c r="D93">
        <v>17.600000000000001</v>
      </c>
      <c r="E93">
        <v>46.361071837647124</v>
      </c>
      <c r="F93">
        <v>11.557656947727869</v>
      </c>
      <c r="G93">
        <v>2.82</v>
      </c>
      <c r="H93">
        <v>-73.625293068297637</v>
      </c>
      <c r="I93">
        <v>29.15</v>
      </c>
      <c r="J93">
        <v>9.2599999999999991E-3</v>
      </c>
      <c r="K93">
        <v>-9.3311125189193014</v>
      </c>
    </row>
    <row r="94" spans="1:11" x14ac:dyDescent="0.3">
      <c r="A94">
        <v>0.6</v>
      </c>
      <c r="B94">
        <v>30</v>
      </c>
      <c r="C94">
        <v>2</v>
      </c>
      <c r="D94">
        <v>2.5</v>
      </c>
      <c r="E94">
        <v>0</v>
      </c>
      <c r="F94">
        <v>1.6417126346204358</v>
      </c>
      <c r="G94">
        <v>2.82</v>
      </c>
      <c r="H94">
        <v>0</v>
      </c>
      <c r="I94">
        <v>0</v>
      </c>
      <c r="J94">
        <v>9.2599999999999991E-3</v>
      </c>
      <c r="K94">
        <v>73.494368720805909</v>
      </c>
    </row>
    <row r="95" spans="1:11" x14ac:dyDescent="0.3">
      <c r="A95">
        <v>0.6</v>
      </c>
      <c r="B95">
        <v>30</v>
      </c>
      <c r="C95">
        <v>2</v>
      </c>
      <c r="D95">
        <v>5</v>
      </c>
      <c r="E95">
        <v>0.9542587685278997</v>
      </c>
      <c r="F95">
        <v>3.2834252692408716</v>
      </c>
      <c r="G95">
        <v>2.82</v>
      </c>
      <c r="H95">
        <v>-3.1192660550458714E-2</v>
      </c>
      <c r="I95">
        <v>0.6</v>
      </c>
      <c r="J95">
        <v>9.2599999999999991E-3</v>
      </c>
      <c r="K95">
        <v>18.316825022518277</v>
      </c>
    </row>
    <row r="96" spans="1:11" x14ac:dyDescent="0.3">
      <c r="A96">
        <v>0.6</v>
      </c>
      <c r="B96">
        <v>30</v>
      </c>
      <c r="C96">
        <v>2</v>
      </c>
      <c r="D96">
        <v>7.5</v>
      </c>
      <c r="E96">
        <v>5.3120404781386412</v>
      </c>
      <c r="F96">
        <v>4.925137903861307</v>
      </c>
      <c r="G96">
        <v>2.82</v>
      </c>
      <c r="H96">
        <v>-0.96659123343527009</v>
      </c>
      <c r="I96">
        <v>3.34</v>
      </c>
      <c r="J96">
        <v>9.2599999999999991E-3</v>
      </c>
      <c r="K96">
        <v>7.3842240501504035</v>
      </c>
    </row>
    <row r="97" spans="1:11" x14ac:dyDescent="0.3">
      <c r="A97">
        <v>0.6</v>
      </c>
      <c r="B97">
        <v>30</v>
      </c>
      <c r="C97">
        <v>2</v>
      </c>
      <c r="D97">
        <v>10</v>
      </c>
      <c r="E97">
        <v>20.771032528290615</v>
      </c>
      <c r="F97">
        <v>6.5668505384817433</v>
      </c>
      <c r="G97">
        <v>2.82</v>
      </c>
      <c r="H97">
        <v>-14.778701325178389</v>
      </c>
      <c r="I97">
        <v>13.06</v>
      </c>
      <c r="J97">
        <v>9.2599999999999991E-3</v>
      </c>
      <c r="K97">
        <v>-2.1304983273206406</v>
      </c>
    </row>
    <row r="98" spans="1:11" x14ac:dyDescent="0.3">
      <c r="A98">
        <v>0.6</v>
      </c>
      <c r="B98">
        <v>30</v>
      </c>
      <c r="C98">
        <v>2</v>
      </c>
      <c r="D98">
        <v>12.5</v>
      </c>
      <c r="E98">
        <v>32.603841258036567</v>
      </c>
      <c r="F98">
        <v>8.2085631731021795</v>
      </c>
      <c r="G98">
        <v>2.82</v>
      </c>
      <c r="H98">
        <v>-36.413098878695202</v>
      </c>
      <c r="I98">
        <v>20.5</v>
      </c>
      <c r="J98">
        <v>9.2599999999999991E-3</v>
      </c>
      <c r="K98">
        <v>-7.6630688139965653</v>
      </c>
    </row>
    <row r="99" spans="1:11" x14ac:dyDescent="0.3">
      <c r="A99">
        <v>0.6</v>
      </c>
      <c r="B99">
        <v>30</v>
      </c>
      <c r="C99">
        <v>2</v>
      </c>
      <c r="D99">
        <v>15</v>
      </c>
      <c r="E99">
        <v>38.059020551454395</v>
      </c>
      <c r="F99">
        <v>9.850275807722614</v>
      </c>
      <c r="G99">
        <v>2.82</v>
      </c>
      <c r="H99">
        <v>-49.617549949031599</v>
      </c>
      <c r="I99">
        <v>23.93</v>
      </c>
      <c r="J99">
        <v>9.2599999999999991E-3</v>
      </c>
      <c r="K99">
        <v>-7.9916451079962281</v>
      </c>
    </row>
    <row r="100" spans="1:11" x14ac:dyDescent="0.3">
      <c r="A100">
        <v>0.6</v>
      </c>
      <c r="B100">
        <v>30</v>
      </c>
      <c r="C100">
        <v>2</v>
      </c>
      <c r="D100">
        <v>17.600000000000001</v>
      </c>
      <c r="E100">
        <v>50.877896675345852</v>
      </c>
      <c r="F100">
        <v>11.557656947727869</v>
      </c>
      <c r="G100">
        <v>2.82</v>
      </c>
      <c r="H100">
        <v>-88.67034505606523</v>
      </c>
      <c r="I100">
        <v>31.99</v>
      </c>
      <c r="J100">
        <v>9.2599999999999991E-3</v>
      </c>
      <c r="K100">
        <v>-11.540913166313972</v>
      </c>
    </row>
    <row r="101" spans="1:11" x14ac:dyDescent="0.3">
      <c r="A101">
        <v>0.6</v>
      </c>
      <c r="B101">
        <v>30</v>
      </c>
      <c r="C101">
        <v>4</v>
      </c>
      <c r="D101">
        <v>2.5</v>
      </c>
      <c r="E101">
        <v>0</v>
      </c>
      <c r="F101">
        <v>1.6417126346204358</v>
      </c>
      <c r="G101">
        <v>2.82</v>
      </c>
      <c r="H101">
        <v>0</v>
      </c>
      <c r="I101">
        <v>0</v>
      </c>
      <c r="J101">
        <v>9.2599999999999991E-3</v>
      </c>
      <c r="K101">
        <v>73.494368720805909</v>
      </c>
    </row>
    <row r="102" spans="1:11" x14ac:dyDescent="0.3">
      <c r="A102">
        <v>0.6</v>
      </c>
      <c r="B102">
        <v>30</v>
      </c>
      <c r="C102">
        <v>4</v>
      </c>
      <c r="D102">
        <v>5</v>
      </c>
      <c r="E102">
        <v>0</v>
      </c>
      <c r="F102">
        <v>3.2834252692408716</v>
      </c>
      <c r="G102">
        <v>2.82</v>
      </c>
      <c r="H102">
        <v>0</v>
      </c>
      <c r="I102">
        <v>0</v>
      </c>
      <c r="J102">
        <v>9.2599999999999991E-3</v>
      </c>
      <c r="K102">
        <v>18.373592180201477</v>
      </c>
    </row>
    <row r="103" spans="1:11" x14ac:dyDescent="0.3">
      <c r="A103">
        <v>0.6</v>
      </c>
      <c r="B103">
        <v>30</v>
      </c>
      <c r="C103">
        <v>4</v>
      </c>
      <c r="D103">
        <v>7.5</v>
      </c>
      <c r="E103">
        <v>5.820978488020188</v>
      </c>
      <c r="F103">
        <v>4.925137903861307</v>
      </c>
      <c r="G103">
        <v>2.82</v>
      </c>
      <c r="H103">
        <v>-1.1606788990825689</v>
      </c>
      <c r="I103">
        <v>3.66</v>
      </c>
      <c r="J103">
        <v>9.2599999999999991E-3</v>
      </c>
      <c r="K103">
        <v>7.2272383301376033</v>
      </c>
    </row>
    <row r="104" spans="1:11" x14ac:dyDescent="0.3">
      <c r="A104">
        <v>0.6</v>
      </c>
      <c r="B104">
        <v>30</v>
      </c>
      <c r="C104">
        <v>4</v>
      </c>
      <c r="D104">
        <v>10</v>
      </c>
      <c r="E104">
        <v>23.204392388036759</v>
      </c>
      <c r="F104">
        <v>6.5668505384817433</v>
      </c>
      <c r="G104">
        <v>2.82</v>
      </c>
      <c r="H104">
        <v>-18.444228848114168</v>
      </c>
      <c r="I104">
        <v>14.59</v>
      </c>
      <c r="J104">
        <v>9.2599999999999991E-3</v>
      </c>
      <c r="K104">
        <v>-3.7982109816324008</v>
      </c>
    </row>
    <row r="105" spans="1:11" x14ac:dyDescent="0.3">
      <c r="A105">
        <v>0.6</v>
      </c>
      <c r="B105">
        <v>30</v>
      </c>
      <c r="C105">
        <v>4</v>
      </c>
      <c r="D105">
        <v>12.5</v>
      </c>
      <c r="E105">
        <v>33.128683580726914</v>
      </c>
      <c r="F105">
        <v>8.2085631731021795</v>
      </c>
      <c r="G105">
        <v>2.82</v>
      </c>
      <c r="H105">
        <v>-37.594858817533122</v>
      </c>
      <c r="I105">
        <v>20.83</v>
      </c>
      <c r="J105">
        <v>9.2599999999999991E-3</v>
      </c>
      <c r="K105">
        <v>-8.0071761859634076</v>
      </c>
    </row>
    <row r="106" spans="1:11" x14ac:dyDescent="0.3">
      <c r="A106">
        <v>0.6</v>
      </c>
      <c r="B106">
        <v>30</v>
      </c>
      <c r="C106">
        <v>4</v>
      </c>
      <c r="D106">
        <v>15</v>
      </c>
      <c r="E106">
        <v>34.273794102960395</v>
      </c>
      <c r="F106">
        <v>9.850275807722614</v>
      </c>
      <c r="G106">
        <v>2.82</v>
      </c>
      <c r="H106">
        <v>-40.23874872579001</v>
      </c>
      <c r="I106">
        <v>21.55</v>
      </c>
      <c r="J106">
        <v>9.2599999999999991E-3</v>
      </c>
      <c r="K106">
        <v>-6.0951594941665954</v>
      </c>
    </row>
    <row r="107" spans="1:11" x14ac:dyDescent="0.3">
      <c r="A107">
        <v>0.6</v>
      </c>
      <c r="B107">
        <v>30</v>
      </c>
      <c r="C107">
        <v>4</v>
      </c>
      <c r="D107">
        <v>17.600000000000001</v>
      </c>
      <c r="E107">
        <v>42.035098753653983</v>
      </c>
      <c r="F107">
        <v>11.557656947727869</v>
      </c>
      <c r="G107">
        <v>2.82</v>
      </c>
      <c r="H107">
        <v>-60.526316513761458</v>
      </c>
      <c r="I107">
        <v>26.43</v>
      </c>
      <c r="J107">
        <v>9.2599999999999991E-3</v>
      </c>
      <c r="K107">
        <v>-7.4071492854285594</v>
      </c>
    </row>
    <row r="108" spans="1:11" x14ac:dyDescent="0.3">
      <c r="A108">
        <v>0.6</v>
      </c>
      <c r="B108">
        <v>30</v>
      </c>
      <c r="C108">
        <v>6</v>
      </c>
      <c r="D108">
        <v>2.5</v>
      </c>
      <c r="E108">
        <v>0</v>
      </c>
      <c r="F108">
        <v>1.6417126346204358</v>
      </c>
      <c r="G108">
        <v>2.82</v>
      </c>
      <c r="H108">
        <v>0</v>
      </c>
      <c r="I108">
        <v>0</v>
      </c>
      <c r="J108">
        <v>9.2599999999999991E-3</v>
      </c>
      <c r="K108">
        <v>73.494368720805909</v>
      </c>
    </row>
    <row r="109" spans="1:11" x14ac:dyDescent="0.3">
      <c r="A109">
        <v>0.6</v>
      </c>
      <c r="B109">
        <v>30</v>
      </c>
      <c r="C109">
        <v>6</v>
      </c>
      <c r="D109">
        <v>5</v>
      </c>
      <c r="E109">
        <v>0.63617251235193317</v>
      </c>
      <c r="F109">
        <v>3.2834252692408716</v>
      </c>
      <c r="G109">
        <v>2.82</v>
      </c>
      <c r="H109">
        <v>-1.3863404689092763E-2</v>
      </c>
      <c r="I109">
        <v>0.4</v>
      </c>
      <c r="J109">
        <v>9.2599999999999991E-3</v>
      </c>
      <c r="K109">
        <v>18.348362332342276</v>
      </c>
    </row>
    <row r="110" spans="1:11" x14ac:dyDescent="0.3">
      <c r="A110">
        <v>0.6</v>
      </c>
      <c r="B110">
        <v>30</v>
      </c>
      <c r="C110">
        <v>6</v>
      </c>
      <c r="D110">
        <v>7.5</v>
      </c>
      <c r="E110">
        <v>4.739485217021902</v>
      </c>
      <c r="F110">
        <v>4.925137903861307</v>
      </c>
      <c r="G110">
        <v>2.82</v>
      </c>
      <c r="H110">
        <v>-0.76945361875637097</v>
      </c>
      <c r="I110">
        <v>2.98</v>
      </c>
      <c r="J110">
        <v>9.2599999999999991E-3</v>
      </c>
      <c r="K110">
        <v>7.5436766886205477</v>
      </c>
    </row>
    <row r="111" spans="1:11" x14ac:dyDescent="0.3">
      <c r="A111">
        <v>0.6</v>
      </c>
      <c r="B111">
        <v>30</v>
      </c>
      <c r="C111">
        <v>6</v>
      </c>
      <c r="D111">
        <v>10</v>
      </c>
      <c r="E111">
        <v>19.578209067630741</v>
      </c>
      <c r="F111">
        <v>6.5668505384817433</v>
      </c>
      <c r="G111">
        <v>2.82</v>
      </c>
      <c r="H111">
        <v>-13.130039245667687</v>
      </c>
      <c r="I111">
        <v>12.31</v>
      </c>
      <c r="J111">
        <v>9.2599999999999991E-3</v>
      </c>
      <c r="K111">
        <v>-1.3804031239754408</v>
      </c>
    </row>
    <row r="112" spans="1:11" x14ac:dyDescent="0.3">
      <c r="A112">
        <v>0.6</v>
      </c>
      <c r="B112">
        <v>30</v>
      </c>
      <c r="C112">
        <v>6</v>
      </c>
      <c r="D112">
        <v>12.5</v>
      </c>
      <c r="E112">
        <v>20.675606651437828</v>
      </c>
      <c r="F112">
        <v>8.2085631731021795</v>
      </c>
      <c r="G112">
        <v>2.82</v>
      </c>
      <c r="H112">
        <v>-14.64322120285423</v>
      </c>
      <c r="I112">
        <v>13</v>
      </c>
      <c r="J112">
        <v>9.2599999999999991E-3</v>
      </c>
      <c r="K112">
        <v>-1.3240695393725646</v>
      </c>
    </row>
    <row r="113" spans="1:11" x14ac:dyDescent="0.3">
      <c r="A113">
        <v>0.6</v>
      </c>
      <c r="B113">
        <v>30</v>
      </c>
      <c r="C113">
        <v>6</v>
      </c>
      <c r="D113">
        <v>15</v>
      </c>
      <c r="E113">
        <v>26.162594570473249</v>
      </c>
      <c r="F113">
        <v>9.850275807722614</v>
      </c>
      <c r="G113">
        <v>2.82</v>
      </c>
      <c r="H113">
        <v>-23.446699796126396</v>
      </c>
      <c r="I113">
        <v>16.45</v>
      </c>
      <c r="J113">
        <v>9.2599999999999991E-3</v>
      </c>
      <c r="K113">
        <v>-2.6996424697825923</v>
      </c>
    </row>
    <row r="114" spans="1:11" x14ac:dyDescent="0.3">
      <c r="A114">
        <v>0.6</v>
      </c>
      <c r="B114">
        <v>30</v>
      </c>
      <c r="C114">
        <v>6</v>
      </c>
      <c r="D114">
        <v>17.600000000000001</v>
      </c>
      <c r="E114">
        <v>32.317563627478208</v>
      </c>
      <c r="F114">
        <v>11.557656947727869</v>
      </c>
      <c r="G114">
        <v>2.82</v>
      </c>
      <c r="H114">
        <v>-35.776456676860342</v>
      </c>
      <c r="I114">
        <v>20.32</v>
      </c>
      <c r="J114">
        <v>9.2599999999999991E-3</v>
      </c>
      <c r="K114">
        <v>-3.7719171616061162</v>
      </c>
    </row>
    <row r="115" spans="1:11" x14ac:dyDescent="0.3">
      <c r="A115">
        <v>0.6</v>
      </c>
      <c r="B115">
        <v>40</v>
      </c>
      <c r="C115">
        <v>1</v>
      </c>
      <c r="D115">
        <v>3.2</v>
      </c>
      <c r="E115">
        <v>0</v>
      </c>
      <c r="F115">
        <v>1.5760441292356187</v>
      </c>
      <c r="G115">
        <v>3.76</v>
      </c>
      <c r="H115">
        <v>0</v>
      </c>
      <c r="I115">
        <v>0</v>
      </c>
      <c r="J115">
        <v>9.2599999999999991E-3</v>
      </c>
      <c r="K115">
        <v>79.746493837680006</v>
      </c>
    </row>
    <row r="116" spans="1:11" x14ac:dyDescent="0.3">
      <c r="A116">
        <v>0.6</v>
      </c>
      <c r="B116">
        <v>40</v>
      </c>
      <c r="C116">
        <v>1</v>
      </c>
      <c r="D116">
        <v>6.4</v>
      </c>
      <c r="E116">
        <v>0</v>
      </c>
      <c r="F116">
        <v>3.1520882584712373</v>
      </c>
      <c r="G116">
        <v>3.76</v>
      </c>
      <c r="H116">
        <v>0</v>
      </c>
      <c r="I116">
        <v>0</v>
      </c>
      <c r="J116">
        <v>9.2599999999999991E-3</v>
      </c>
      <c r="K116">
        <v>19.936623459420002</v>
      </c>
    </row>
    <row r="117" spans="1:11" x14ac:dyDescent="0.3">
      <c r="A117">
        <v>0.6</v>
      </c>
      <c r="B117">
        <v>40</v>
      </c>
      <c r="C117">
        <v>1</v>
      </c>
      <c r="D117">
        <v>9.6</v>
      </c>
      <c r="E117">
        <v>1.6222399064974293</v>
      </c>
      <c r="F117">
        <v>4.7281323877068555</v>
      </c>
      <c r="G117">
        <v>3.76</v>
      </c>
      <c r="H117">
        <v>-9.0146788990825691E-2</v>
      </c>
      <c r="I117">
        <v>1.02</v>
      </c>
      <c r="J117">
        <v>9.2599999999999991E-3</v>
      </c>
      <c r="K117">
        <v>8.7816045015900031</v>
      </c>
    </row>
    <row r="118" spans="1:11" x14ac:dyDescent="0.3">
      <c r="A118">
        <v>0.6</v>
      </c>
      <c r="B118">
        <v>40</v>
      </c>
      <c r="C118">
        <v>1</v>
      </c>
      <c r="D118">
        <v>12.8</v>
      </c>
      <c r="E118">
        <v>5.9800216161081705</v>
      </c>
      <c r="F118">
        <v>6.3041765169424746</v>
      </c>
      <c r="G118">
        <v>3.76</v>
      </c>
      <c r="H118">
        <v>-1.2249704383282363</v>
      </c>
      <c r="I118">
        <v>3.76</v>
      </c>
      <c r="J118">
        <v>9.2599999999999991E-3</v>
      </c>
      <c r="K118">
        <v>4.3794169985250004</v>
      </c>
    </row>
    <row r="119" spans="1:11" x14ac:dyDescent="0.3">
      <c r="A119">
        <v>0.6</v>
      </c>
      <c r="B119">
        <v>40</v>
      </c>
      <c r="C119">
        <v>1</v>
      </c>
      <c r="D119">
        <v>16</v>
      </c>
      <c r="E119">
        <v>10.846741335600459</v>
      </c>
      <c r="F119">
        <v>7.8802206461780937</v>
      </c>
      <c r="G119">
        <v>3.76</v>
      </c>
      <c r="H119">
        <v>-4.030126401630989</v>
      </c>
      <c r="I119">
        <v>6.82</v>
      </c>
      <c r="J119">
        <v>9.2599999999999991E-3</v>
      </c>
      <c r="K119">
        <v>1.9165299189083997</v>
      </c>
    </row>
    <row r="120" spans="1:11" x14ac:dyDescent="0.3">
      <c r="A120">
        <v>0.6</v>
      </c>
      <c r="B120">
        <v>40</v>
      </c>
      <c r="C120">
        <v>1</v>
      </c>
      <c r="D120">
        <v>19.2</v>
      </c>
      <c r="E120">
        <v>18.957940868087608</v>
      </c>
      <c r="F120">
        <v>9.456264775413711</v>
      </c>
      <c r="G120">
        <v>3.76</v>
      </c>
      <c r="H120">
        <v>-12.311257900101936</v>
      </c>
      <c r="I120">
        <v>11.92</v>
      </c>
      <c r="J120">
        <v>9.2599999999999991E-3</v>
      </c>
      <c r="K120">
        <v>-0.48605347133999982</v>
      </c>
    </row>
    <row r="121" spans="1:11" x14ac:dyDescent="0.3">
      <c r="A121">
        <v>0.6</v>
      </c>
      <c r="B121">
        <v>40</v>
      </c>
      <c r="C121">
        <v>1</v>
      </c>
      <c r="D121">
        <v>22.3</v>
      </c>
      <c r="E121">
        <v>27.339513718324326</v>
      </c>
      <c r="F121">
        <v>10.983057525610718</v>
      </c>
      <c r="G121">
        <v>3.76</v>
      </c>
      <c r="H121">
        <v>-25.603637614678902</v>
      </c>
      <c r="I121">
        <v>17.190000000000001</v>
      </c>
      <c r="J121">
        <v>9.2599999999999991E-3</v>
      </c>
      <c r="K121">
        <v>-2.5223080748516482</v>
      </c>
    </row>
    <row r="122" spans="1:11" x14ac:dyDescent="0.3">
      <c r="A122">
        <v>0.6</v>
      </c>
      <c r="B122">
        <v>40</v>
      </c>
      <c r="C122">
        <v>2</v>
      </c>
      <c r="D122">
        <v>3.2</v>
      </c>
      <c r="E122">
        <v>0</v>
      </c>
      <c r="F122">
        <v>1.5760441292356187</v>
      </c>
      <c r="G122">
        <v>3.76</v>
      </c>
      <c r="H122">
        <v>0</v>
      </c>
      <c r="I122">
        <v>0</v>
      </c>
      <c r="J122">
        <v>9.2599999999999991E-3</v>
      </c>
      <c r="K122">
        <v>79.746493837680006</v>
      </c>
    </row>
    <row r="123" spans="1:11" x14ac:dyDescent="0.3">
      <c r="A123">
        <v>0.6</v>
      </c>
      <c r="B123">
        <v>40</v>
      </c>
      <c r="C123">
        <v>2</v>
      </c>
      <c r="D123">
        <v>6.4</v>
      </c>
      <c r="E123">
        <v>0.9542587685278997</v>
      </c>
      <c r="F123">
        <v>3.1520882584712373</v>
      </c>
      <c r="G123">
        <v>3.76</v>
      </c>
      <c r="H123">
        <v>-3.1192660550458714E-2</v>
      </c>
      <c r="I123">
        <v>0.6</v>
      </c>
      <c r="J123">
        <v>9.2599999999999991E-3</v>
      </c>
      <c r="K123">
        <v>19.875027151169999</v>
      </c>
    </row>
    <row r="124" spans="1:11" x14ac:dyDescent="0.3">
      <c r="A124">
        <v>0.6</v>
      </c>
      <c r="B124">
        <v>40</v>
      </c>
      <c r="C124">
        <v>2</v>
      </c>
      <c r="D124">
        <v>9.6</v>
      </c>
      <c r="E124">
        <v>5.1370930372418595</v>
      </c>
      <c r="F124">
        <v>4.7281323877068555</v>
      </c>
      <c r="G124">
        <v>3.76</v>
      </c>
      <c r="H124">
        <v>-0.90397196738022423</v>
      </c>
      <c r="I124">
        <v>3.23</v>
      </c>
      <c r="J124">
        <v>9.2599999999999991E-3</v>
      </c>
      <c r="K124">
        <v>8.0673534827775022</v>
      </c>
    </row>
    <row r="125" spans="1:11" x14ac:dyDescent="0.3">
      <c r="A125">
        <v>0.6</v>
      </c>
      <c r="B125">
        <v>40</v>
      </c>
      <c r="C125">
        <v>2</v>
      </c>
      <c r="D125">
        <v>12.8</v>
      </c>
      <c r="E125">
        <v>13.121058067258621</v>
      </c>
      <c r="F125">
        <v>6.3041765169424746</v>
      </c>
      <c r="G125">
        <v>3.76</v>
      </c>
      <c r="H125">
        <v>-5.8973623853211006</v>
      </c>
      <c r="I125">
        <v>8.25</v>
      </c>
      <c r="J125">
        <v>9.2599999999999991E-3</v>
      </c>
      <c r="K125">
        <v>2.072767857726094</v>
      </c>
    </row>
    <row r="126" spans="1:11" x14ac:dyDescent="0.3">
      <c r="A126">
        <v>0.6</v>
      </c>
      <c r="B126">
        <v>40</v>
      </c>
      <c r="C126">
        <v>2</v>
      </c>
      <c r="D126">
        <v>16</v>
      </c>
      <c r="E126">
        <v>21.773004235244912</v>
      </c>
      <c r="F126">
        <v>7.8802206461780937</v>
      </c>
      <c r="G126">
        <v>3.76</v>
      </c>
      <c r="H126">
        <v>-16.238907747196738</v>
      </c>
      <c r="I126">
        <v>13.69</v>
      </c>
      <c r="J126">
        <v>9.2599999999999991E-3</v>
      </c>
      <c r="K126">
        <v>-1.9408690760984997</v>
      </c>
    </row>
    <row r="127" spans="1:11" x14ac:dyDescent="0.3">
      <c r="A127">
        <v>0.6</v>
      </c>
      <c r="B127">
        <v>40</v>
      </c>
      <c r="C127">
        <v>2</v>
      </c>
      <c r="D127">
        <v>19.2</v>
      </c>
      <c r="E127">
        <v>27.450843907985917</v>
      </c>
      <c r="F127">
        <v>9.456264775413711</v>
      </c>
      <c r="G127">
        <v>3.76</v>
      </c>
      <c r="H127">
        <v>-25.812585117227322</v>
      </c>
      <c r="I127">
        <v>17.260000000000002</v>
      </c>
      <c r="J127">
        <v>9.2599999999999991E-3</v>
      </c>
      <c r="K127">
        <v>-3.4484024426625011</v>
      </c>
    </row>
    <row r="128" spans="1:11" x14ac:dyDescent="0.3">
      <c r="A128">
        <v>0.6</v>
      </c>
      <c r="B128">
        <v>40</v>
      </c>
      <c r="C128">
        <v>2</v>
      </c>
      <c r="D128">
        <v>22.3</v>
      </c>
      <c r="E128">
        <v>38.806523253467915</v>
      </c>
      <c r="F128">
        <v>10.983057525610718</v>
      </c>
      <c r="G128">
        <v>3.76</v>
      </c>
      <c r="H128">
        <v>-51.585728848114158</v>
      </c>
      <c r="I128">
        <v>24.4</v>
      </c>
      <c r="J128">
        <v>9.2599999999999991E-3</v>
      </c>
      <c r="K128">
        <v>-6.7482798281245868</v>
      </c>
    </row>
    <row r="129" spans="1:11" x14ac:dyDescent="0.3">
      <c r="A129">
        <v>0.6</v>
      </c>
      <c r="B129">
        <v>40</v>
      </c>
      <c r="C129">
        <v>4</v>
      </c>
      <c r="D129">
        <v>3.2</v>
      </c>
      <c r="E129">
        <v>0</v>
      </c>
      <c r="F129">
        <v>1.5760441292356187</v>
      </c>
      <c r="G129">
        <v>3.76</v>
      </c>
      <c r="H129">
        <v>0</v>
      </c>
      <c r="I129">
        <v>0</v>
      </c>
      <c r="J129">
        <v>9.2599999999999991E-3</v>
      </c>
      <c r="K129">
        <v>79.746493837680006</v>
      </c>
    </row>
    <row r="130" spans="1:11" x14ac:dyDescent="0.3">
      <c r="A130">
        <v>0.6</v>
      </c>
      <c r="B130">
        <v>40</v>
      </c>
      <c r="C130">
        <v>4</v>
      </c>
      <c r="D130">
        <v>6.4</v>
      </c>
      <c r="E130">
        <v>0</v>
      </c>
      <c r="F130">
        <v>3.1520882584712373</v>
      </c>
      <c r="G130">
        <v>3.76</v>
      </c>
      <c r="H130">
        <v>0</v>
      </c>
      <c r="I130">
        <v>0</v>
      </c>
      <c r="J130">
        <v>9.2599999999999991E-3</v>
      </c>
      <c r="K130">
        <v>19.936623459420002</v>
      </c>
    </row>
    <row r="131" spans="1:11" x14ac:dyDescent="0.3">
      <c r="A131">
        <v>0.6</v>
      </c>
      <c r="B131">
        <v>40</v>
      </c>
      <c r="C131">
        <v>4</v>
      </c>
      <c r="D131">
        <v>9.6</v>
      </c>
      <c r="E131">
        <v>5.868691426446583</v>
      </c>
      <c r="F131">
        <v>4.7281323877068555</v>
      </c>
      <c r="G131">
        <v>3.76</v>
      </c>
      <c r="H131">
        <v>-1.1797844036697247</v>
      </c>
      <c r="I131">
        <v>3.69</v>
      </c>
      <c r="J131">
        <v>9.2599999999999991E-3</v>
      </c>
      <c r="K131">
        <v>7.8252875958375014</v>
      </c>
    </row>
    <row r="132" spans="1:11" x14ac:dyDescent="0.3">
      <c r="A132">
        <v>0.6</v>
      </c>
      <c r="B132">
        <v>40</v>
      </c>
      <c r="C132">
        <v>4</v>
      </c>
      <c r="D132">
        <v>12.8</v>
      </c>
      <c r="E132">
        <v>13.629996077140168</v>
      </c>
      <c r="F132">
        <v>6.3041765169424746</v>
      </c>
      <c r="G132">
        <v>3.76</v>
      </c>
      <c r="H132">
        <v>-6.363727319062181</v>
      </c>
      <c r="I132">
        <v>8.57</v>
      </c>
      <c r="J132">
        <v>9.2599999999999991E-3</v>
      </c>
      <c r="K132">
        <v>1.842534545556094</v>
      </c>
    </row>
    <row r="133" spans="1:11" x14ac:dyDescent="0.3">
      <c r="A133">
        <v>0.6</v>
      </c>
      <c r="B133">
        <v>40</v>
      </c>
      <c r="C133">
        <v>4</v>
      </c>
      <c r="D133">
        <v>16</v>
      </c>
      <c r="E133">
        <v>21.025501533231392</v>
      </c>
      <c r="F133">
        <v>7.8802206461780937</v>
      </c>
      <c r="G133">
        <v>3.76</v>
      </c>
      <c r="H133">
        <v>-15.143031600407747</v>
      </c>
      <c r="I133">
        <v>13.22</v>
      </c>
      <c r="J133">
        <v>9.2599999999999991E-3</v>
      </c>
      <c r="K133">
        <v>-1.5946239081635998</v>
      </c>
    </row>
    <row r="134" spans="1:11" x14ac:dyDescent="0.3">
      <c r="A134">
        <v>0.6</v>
      </c>
      <c r="B134">
        <v>40</v>
      </c>
      <c r="C134">
        <v>4</v>
      </c>
      <c r="D134">
        <v>19.2</v>
      </c>
      <c r="E134">
        <v>25.144718550710156</v>
      </c>
      <c r="F134">
        <v>9.456264775413711</v>
      </c>
      <c r="G134">
        <v>3.76</v>
      </c>
      <c r="H134">
        <v>-21.657766055045872</v>
      </c>
      <c r="I134">
        <v>15.81</v>
      </c>
      <c r="J134">
        <v>9.2599999999999991E-3</v>
      </c>
      <c r="K134">
        <v>-2.5367865861656256</v>
      </c>
    </row>
    <row r="135" spans="1:11" x14ac:dyDescent="0.3">
      <c r="A135">
        <v>0.6</v>
      </c>
      <c r="B135">
        <v>40</v>
      </c>
      <c r="C135">
        <v>4</v>
      </c>
      <c r="D135">
        <v>22.3</v>
      </c>
      <c r="E135">
        <v>29.613830449982487</v>
      </c>
      <c r="F135">
        <v>10.983057525610718</v>
      </c>
      <c r="G135">
        <v>3.76</v>
      </c>
      <c r="H135">
        <v>-30.040646279306827</v>
      </c>
      <c r="I135">
        <v>18.62</v>
      </c>
      <c r="J135">
        <v>9.2599999999999991E-3</v>
      </c>
      <c r="K135">
        <v>-3.2439849066847786</v>
      </c>
    </row>
    <row r="136" spans="1:11" x14ac:dyDescent="0.3">
      <c r="A136">
        <v>0.6</v>
      </c>
      <c r="B136">
        <v>40</v>
      </c>
      <c r="C136">
        <v>6</v>
      </c>
      <c r="D136">
        <v>3.2</v>
      </c>
      <c r="E136">
        <v>0</v>
      </c>
      <c r="F136">
        <v>1.5760441292356187</v>
      </c>
      <c r="G136">
        <v>3.76</v>
      </c>
      <c r="H136">
        <v>0</v>
      </c>
      <c r="I136">
        <v>0</v>
      </c>
      <c r="J136">
        <v>9.2599999999999991E-3</v>
      </c>
      <c r="K136">
        <v>79.746493837680006</v>
      </c>
    </row>
    <row r="137" spans="1:11" x14ac:dyDescent="0.3">
      <c r="A137">
        <v>0.6</v>
      </c>
      <c r="B137">
        <v>40</v>
      </c>
      <c r="C137">
        <v>6</v>
      </c>
      <c r="D137">
        <v>6.4</v>
      </c>
      <c r="E137">
        <v>0.71569407639592475</v>
      </c>
      <c r="F137">
        <v>3.1520882584712373</v>
      </c>
      <c r="G137">
        <v>3.76</v>
      </c>
      <c r="H137">
        <v>-1.7545871559633025E-2</v>
      </c>
      <c r="I137">
        <v>0.45</v>
      </c>
      <c r="J137">
        <v>9.2599999999999991E-3</v>
      </c>
      <c r="K137">
        <v>19.901975536029376</v>
      </c>
    </row>
    <row r="138" spans="1:11" x14ac:dyDescent="0.3">
      <c r="A138">
        <v>0.6</v>
      </c>
      <c r="B138">
        <v>40</v>
      </c>
      <c r="C138">
        <v>6</v>
      </c>
      <c r="D138">
        <v>9.6</v>
      </c>
      <c r="E138">
        <v>3.5466617563620275</v>
      </c>
      <c r="F138">
        <v>4.7281323877068555</v>
      </c>
      <c r="G138">
        <v>3.76</v>
      </c>
      <c r="H138">
        <v>-0.43088328236493373</v>
      </c>
      <c r="I138">
        <v>2.23</v>
      </c>
      <c r="J138">
        <v>9.2599999999999991E-3</v>
      </c>
      <c r="K138">
        <v>8.4825582272775026</v>
      </c>
    </row>
    <row r="139" spans="1:11" x14ac:dyDescent="0.3">
      <c r="A139">
        <v>0.6</v>
      </c>
      <c r="B139">
        <v>40</v>
      </c>
      <c r="C139">
        <v>6</v>
      </c>
      <c r="D139">
        <v>12.8</v>
      </c>
      <c r="E139">
        <v>8.540615978324702</v>
      </c>
      <c r="F139">
        <v>6.3041765169424746</v>
      </c>
      <c r="G139">
        <v>3.76</v>
      </c>
      <c r="H139">
        <v>-2.4986100917431191</v>
      </c>
      <c r="I139">
        <v>5.37</v>
      </c>
      <c r="J139">
        <v>9.2599999999999991E-3</v>
      </c>
      <c r="K139">
        <v>3.7506512944560941</v>
      </c>
    </row>
    <row r="140" spans="1:11" x14ac:dyDescent="0.3">
      <c r="A140">
        <v>0.6</v>
      </c>
      <c r="B140">
        <v>40</v>
      </c>
      <c r="C140">
        <v>6</v>
      </c>
      <c r="D140">
        <v>16</v>
      </c>
      <c r="E140">
        <v>11.069401714923636</v>
      </c>
      <c r="F140">
        <v>7.8802206461780937</v>
      </c>
      <c r="G140">
        <v>3.76</v>
      </c>
      <c r="H140">
        <v>-4.1972844036697241</v>
      </c>
      <c r="I140">
        <v>6.96</v>
      </c>
      <c r="J140">
        <v>9.2599999999999991E-3</v>
      </c>
      <c r="K140">
        <v>1.8637158754080001</v>
      </c>
    </row>
    <row r="141" spans="1:11" x14ac:dyDescent="0.3">
      <c r="A141">
        <v>0.6</v>
      </c>
      <c r="B141">
        <v>40</v>
      </c>
      <c r="C141">
        <v>6</v>
      </c>
      <c r="D141">
        <v>19.2</v>
      </c>
      <c r="E141">
        <v>14.44111603038888</v>
      </c>
      <c r="F141">
        <v>9.456264775413711</v>
      </c>
      <c r="G141">
        <v>3.76</v>
      </c>
      <c r="H141">
        <v>-7.1436738022426081</v>
      </c>
      <c r="I141">
        <v>9.08</v>
      </c>
      <c r="J141">
        <v>9.2599999999999991E-3</v>
      </c>
      <c r="K141">
        <v>0.64777486941000051</v>
      </c>
    </row>
    <row r="142" spans="1:11" x14ac:dyDescent="0.3">
      <c r="A142">
        <v>0.6</v>
      </c>
      <c r="B142">
        <v>40</v>
      </c>
      <c r="C142">
        <v>6</v>
      </c>
      <c r="D142">
        <v>22.3</v>
      </c>
      <c r="E142">
        <v>18.115012289221294</v>
      </c>
      <c r="F142">
        <v>10.983057525610718</v>
      </c>
      <c r="G142">
        <v>3.76</v>
      </c>
      <c r="H142">
        <v>-11.240803771661568</v>
      </c>
      <c r="I142">
        <v>11.39</v>
      </c>
      <c r="J142">
        <v>9.2599999999999991E-3</v>
      </c>
      <c r="K142">
        <v>-0.18620165554096771</v>
      </c>
    </row>
    <row r="143" spans="1:11" x14ac:dyDescent="0.3">
      <c r="A143">
        <v>0.6</v>
      </c>
      <c r="B143">
        <v>60</v>
      </c>
      <c r="C143">
        <v>1</v>
      </c>
      <c r="D143">
        <v>4.2</v>
      </c>
      <c r="E143">
        <v>0</v>
      </c>
      <c r="F143">
        <v>1.3790386130811663</v>
      </c>
      <c r="G143">
        <v>5.64</v>
      </c>
      <c r="H143">
        <v>0</v>
      </c>
      <c r="I143">
        <v>0</v>
      </c>
      <c r="J143">
        <v>1.3789999999999998E-2</v>
      </c>
      <c r="K143">
        <v>104.15868582880654</v>
      </c>
    </row>
    <row r="144" spans="1:11" x14ac:dyDescent="0.3">
      <c r="A144">
        <v>0.6</v>
      </c>
      <c r="B144">
        <v>60</v>
      </c>
      <c r="C144">
        <v>1</v>
      </c>
      <c r="D144">
        <v>8.4</v>
      </c>
      <c r="E144">
        <v>0</v>
      </c>
      <c r="F144">
        <v>2.7580772261623325</v>
      </c>
      <c r="G144">
        <v>5.64</v>
      </c>
      <c r="H144">
        <v>0</v>
      </c>
      <c r="I144">
        <v>0</v>
      </c>
      <c r="J144">
        <v>1.3789999999999998E-2</v>
      </c>
      <c r="K144">
        <v>26.039671457201635</v>
      </c>
    </row>
    <row r="145" spans="1:11" x14ac:dyDescent="0.3">
      <c r="A145">
        <v>0.6</v>
      </c>
      <c r="B145">
        <v>60</v>
      </c>
      <c r="C145">
        <v>1</v>
      </c>
      <c r="D145">
        <v>12.6</v>
      </c>
      <c r="E145">
        <v>0.827024266057513</v>
      </c>
      <c r="F145">
        <v>4.1371158392434983</v>
      </c>
      <c r="G145">
        <v>5.64</v>
      </c>
      <c r="H145">
        <v>-2.3429153924566768E-2</v>
      </c>
      <c r="I145">
        <v>0.52</v>
      </c>
      <c r="J145">
        <v>1.3789999999999998E-2</v>
      </c>
      <c r="K145">
        <v>11.546330144444084</v>
      </c>
    </row>
    <row r="146" spans="1:11" x14ac:dyDescent="0.3">
      <c r="A146">
        <v>0.6</v>
      </c>
      <c r="B146">
        <v>60</v>
      </c>
      <c r="C146">
        <v>1</v>
      </c>
      <c r="D146">
        <v>16.8</v>
      </c>
      <c r="E146">
        <v>4.8190067810658928</v>
      </c>
      <c r="F146">
        <v>5.5161544523246651</v>
      </c>
      <c r="G146">
        <v>5.64</v>
      </c>
      <c r="H146">
        <v>-0.79549082568807328</v>
      </c>
      <c r="I146">
        <v>3.03</v>
      </c>
      <c r="J146">
        <v>1.3789999999999998E-2</v>
      </c>
      <c r="K146">
        <v>5.9969840353548989</v>
      </c>
    </row>
    <row r="147" spans="1:11" x14ac:dyDescent="0.3">
      <c r="A147">
        <v>0.6</v>
      </c>
      <c r="B147">
        <v>60</v>
      </c>
      <c r="C147">
        <v>1</v>
      </c>
      <c r="D147">
        <v>21</v>
      </c>
      <c r="E147">
        <v>10.178760197630931</v>
      </c>
      <c r="F147">
        <v>6.8951930654058309</v>
      </c>
      <c r="G147">
        <v>5.64</v>
      </c>
      <c r="H147">
        <v>-3.5490316004077473</v>
      </c>
      <c r="I147">
        <v>6.4</v>
      </c>
      <c r="J147">
        <v>1.3789999999999998E-2</v>
      </c>
      <c r="K147">
        <v>2.7017576254526694</v>
      </c>
    </row>
    <row r="148" spans="1:11" x14ac:dyDescent="0.3">
      <c r="A148">
        <v>0.6</v>
      </c>
      <c r="B148">
        <v>60</v>
      </c>
      <c r="C148">
        <v>1</v>
      </c>
      <c r="D148">
        <v>25.2</v>
      </c>
      <c r="E148">
        <v>14.313881527918493</v>
      </c>
      <c r="F148">
        <v>8.2742316784869967</v>
      </c>
      <c r="G148">
        <v>5.64</v>
      </c>
      <c r="H148">
        <v>-7.0183486238532105</v>
      </c>
      <c r="I148">
        <v>9</v>
      </c>
      <c r="J148">
        <v>1.3789999999999998E-2</v>
      </c>
      <c r="K148">
        <v>0.88198880408816371</v>
      </c>
    </row>
    <row r="149" spans="1:11" x14ac:dyDescent="0.3">
      <c r="A149">
        <v>0.6</v>
      </c>
      <c r="B149">
        <v>60</v>
      </c>
      <c r="C149">
        <v>1</v>
      </c>
      <c r="D149">
        <v>29.5</v>
      </c>
      <c r="E149">
        <v>20.341616082453061</v>
      </c>
      <c r="F149">
        <v>9.6861045442605729</v>
      </c>
      <c r="G149">
        <v>5.64</v>
      </c>
      <c r="H149">
        <v>-14.17395361875637</v>
      </c>
      <c r="I149">
        <v>12.79</v>
      </c>
      <c r="J149">
        <v>1.3789999999999998E-2</v>
      </c>
      <c r="K149">
        <v>-0.85279173107722117</v>
      </c>
    </row>
    <row r="150" spans="1:11" x14ac:dyDescent="0.3">
      <c r="A150">
        <v>0.6</v>
      </c>
      <c r="B150">
        <v>60</v>
      </c>
      <c r="C150">
        <v>2</v>
      </c>
      <c r="D150">
        <v>4.2</v>
      </c>
      <c r="E150">
        <v>0</v>
      </c>
      <c r="F150">
        <v>1.3790386130811663</v>
      </c>
      <c r="G150">
        <v>5.64</v>
      </c>
      <c r="H150">
        <v>0</v>
      </c>
      <c r="I150">
        <v>0</v>
      </c>
      <c r="J150">
        <v>1.3789999999999998E-2</v>
      </c>
      <c r="K150">
        <v>104.15868582880654</v>
      </c>
    </row>
    <row r="151" spans="1:11" x14ac:dyDescent="0.3">
      <c r="A151">
        <v>0.6</v>
      </c>
      <c r="B151">
        <v>60</v>
      </c>
      <c r="C151">
        <v>2</v>
      </c>
      <c r="D151">
        <v>8.4</v>
      </c>
      <c r="E151">
        <v>0</v>
      </c>
      <c r="F151">
        <v>2.7580772261623325</v>
      </c>
      <c r="G151">
        <v>5.64</v>
      </c>
      <c r="H151">
        <v>0</v>
      </c>
      <c r="I151">
        <v>0</v>
      </c>
      <c r="J151">
        <v>1.3789999999999998E-2</v>
      </c>
      <c r="K151">
        <v>26.039671457201635</v>
      </c>
    </row>
    <row r="152" spans="1:11" x14ac:dyDescent="0.3">
      <c r="A152">
        <v>0.6</v>
      </c>
      <c r="B152">
        <v>60</v>
      </c>
      <c r="C152">
        <v>2</v>
      </c>
      <c r="D152">
        <v>12.6</v>
      </c>
      <c r="E152">
        <v>3.8806523253467922</v>
      </c>
      <c r="F152">
        <v>4.1371158392434983</v>
      </c>
      <c r="G152">
        <v>5.64</v>
      </c>
      <c r="H152">
        <v>-0.51585728848114165</v>
      </c>
      <c r="I152">
        <v>2.44</v>
      </c>
      <c r="J152">
        <v>1.3789999999999998E-2</v>
      </c>
      <c r="K152">
        <v>10.981852822726534</v>
      </c>
    </row>
    <row r="153" spans="1:11" x14ac:dyDescent="0.3">
      <c r="A153">
        <v>0.6</v>
      </c>
      <c r="B153">
        <v>60</v>
      </c>
      <c r="C153">
        <v>2</v>
      </c>
      <c r="D153">
        <v>16.8</v>
      </c>
      <c r="E153">
        <v>7.7772089635023818</v>
      </c>
      <c r="F153">
        <v>5.5161544523246651</v>
      </c>
      <c r="G153">
        <v>5.64</v>
      </c>
      <c r="H153">
        <v>-2.0718944954128431</v>
      </c>
      <c r="I153">
        <v>4.8899999999999997</v>
      </c>
      <c r="J153">
        <v>1.3789999999999998E-2</v>
      </c>
      <c r="K153">
        <v>5.1739567917336746</v>
      </c>
    </row>
    <row r="154" spans="1:11" x14ac:dyDescent="0.3">
      <c r="A154">
        <v>0.6</v>
      </c>
      <c r="B154">
        <v>60</v>
      </c>
      <c r="C154">
        <v>2</v>
      </c>
      <c r="D154">
        <v>21</v>
      </c>
      <c r="E154">
        <v>14.600159158476865</v>
      </c>
      <c r="F154">
        <v>6.8951930654058309</v>
      </c>
      <c r="G154">
        <v>5.64</v>
      </c>
      <c r="H154">
        <v>-7.3018899082568787</v>
      </c>
      <c r="I154">
        <v>9.18</v>
      </c>
      <c r="J154">
        <v>1.3789999999999998E-2</v>
      </c>
      <c r="K154">
        <v>1.1530540222542378</v>
      </c>
    </row>
    <row r="155" spans="1:11" x14ac:dyDescent="0.3">
      <c r="A155">
        <v>0.6</v>
      </c>
      <c r="B155">
        <v>60</v>
      </c>
      <c r="C155">
        <v>2</v>
      </c>
      <c r="D155">
        <v>25.2</v>
      </c>
      <c r="E155">
        <v>17.685595843383737</v>
      </c>
      <c r="F155">
        <v>8.2742316784869967</v>
      </c>
      <c r="G155">
        <v>5.64</v>
      </c>
      <c r="H155">
        <v>-10.714193679918449</v>
      </c>
      <c r="I155">
        <v>11.12</v>
      </c>
      <c r="J155">
        <v>1.3789999999999998E-2</v>
      </c>
      <c r="K155">
        <v>-0.17716103541550965</v>
      </c>
    </row>
    <row r="156" spans="1:11" x14ac:dyDescent="0.3">
      <c r="A156">
        <v>0.6</v>
      </c>
      <c r="B156">
        <v>60</v>
      </c>
      <c r="C156">
        <v>2</v>
      </c>
      <c r="D156">
        <v>29.5</v>
      </c>
      <c r="E156">
        <v>22.695454378155212</v>
      </c>
      <c r="F156">
        <v>9.6861045442605729</v>
      </c>
      <c r="G156">
        <v>5.64</v>
      </c>
      <c r="H156">
        <v>-17.644033129459732</v>
      </c>
      <c r="I156">
        <v>14.27</v>
      </c>
      <c r="J156">
        <v>1.3789999999999998E-2</v>
      </c>
      <c r="K156">
        <v>-1.5784633275606514</v>
      </c>
    </row>
    <row r="157" spans="1:11" x14ac:dyDescent="0.3">
      <c r="A157">
        <v>0.6</v>
      </c>
      <c r="B157">
        <v>60</v>
      </c>
      <c r="C157">
        <v>4</v>
      </c>
      <c r="D157">
        <v>4.2</v>
      </c>
      <c r="E157">
        <v>0</v>
      </c>
      <c r="F157">
        <v>1.3790386130811663</v>
      </c>
      <c r="G157">
        <v>5.64</v>
      </c>
      <c r="H157">
        <v>0</v>
      </c>
      <c r="I157">
        <v>0</v>
      </c>
      <c r="J157">
        <v>1.3789999999999998E-2</v>
      </c>
      <c r="K157">
        <v>104.15868582880654</v>
      </c>
    </row>
    <row r="158" spans="1:11" x14ac:dyDescent="0.3">
      <c r="A158">
        <v>0.6</v>
      </c>
      <c r="B158">
        <v>60</v>
      </c>
      <c r="C158">
        <v>4</v>
      </c>
      <c r="D158">
        <v>8.4</v>
      </c>
      <c r="E158">
        <v>0</v>
      </c>
      <c r="F158">
        <v>2.7580772261623325</v>
      </c>
      <c r="G158">
        <v>5.64</v>
      </c>
      <c r="H158">
        <v>0</v>
      </c>
      <c r="I158">
        <v>0</v>
      </c>
      <c r="J158">
        <v>1.3789999999999998E-2</v>
      </c>
      <c r="K158">
        <v>26.039671457201635</v>
      </c>
    </row>
    <row r="159" spans="1:11" x14ac:dyDescent="0.3">
      <c r="A159">
        <v>0.6</v>
      </c>
      <c r="B159">
        <v>60</v>
      </c>
      <c r="C159">
        <v>4</v>
      </c>
      <c r="D159">
        <v>12.6</v>
      </c>
      <c r="E159">
        <v>2.4810727981725389</v>
      </c>
      <c r="F159">
        <v>4.1371158392434983</v>
      </c>
      <c r="G159">
        <v>5.64</v>
      </c>
      <c r="H159">
        <v>-0.21086238532110094</v>
      </c>
      <c r="I159">
        <v>1.56</v>
      </c>
      <c r="J159">
        <v>1.3789999999999998E-2</v>
      </c>
      <c r="K159">
        <v>11.331472785502044</v>
      </c>
    </row>
    <row r="160" spans="1:11" x14ac:dyDescent="0.3">
      <c r="A160">
        <v>0.6</v>
      </c>
      <c r="B160">
        <v>60</v>
      </c>
      <c r="C160">
        <v>4</v>
      </c>
      <c r="D160">
        <v>16.8</v>
      </c>
      <c r="E160">
        <v>7.14103645115045</v>
      </c>
      <c r="F160">
        <v>5.5161544523246651</v>
      </c>
      <c r="G160">
        <v>5.64</v>
      </c>
      <c r="H160">
        <v>-1.7467976554536189</v>
      </c>
      <c r="I160">
        <v>4.49</v>
      </c>
      <c r="J160">
        <v>1.3789999999999998E-2</v>
      </c>
      <c r="K160">
        <v>5.3835797836193882</v>
      </c>
    </row>
    <row r="161" spans="1:11" x14ac:dyDescent="0.3">
      <c r="A161">
        <v>0.6</v>
      </c>
      <c r="B161">
        <v>60</v>
      </c>
      <c r="C161">
        <v>4</v>
      </c>
      <c r="D161">
        <v>21</v>
      </c>
      <c r="E161">
        <v>10.703602520321276</v>
      </c>
      <c r="F161">
        <v>6.8951930654058309</v>
      </c>
      <c r="G161">
        <v>5.64</v>
      </c>
      <c r="H161">
        <v>-3.9244612640163097</v>
      </c>
      <c r="I161">
        <v>6.73</v>
      </c>
      <c r="J161">
        <v>1.3789999999999998E-2</v>
      </c>
      <c r="K161">
        <v>2.5468279091982371</v>
      </c>
    </row>
    <row r="162" spans="1:11" x14ac:dyDescent="0.3">
      <c r="A162">
        <v>0.6</v>
      </c>
      <c r="B162">
        <v>60</v>
      </c>
      <c r="C162">
        <v>4</v>
      </c>
      <c r="D162">
        <v>25.2</v>
      </c>
      <c r="E162">
        <v>11.419296596717199</v>
      </c>
      <c r="F162">
        <v>8.2742316784869967</v>
      </c>
      <c r="G162">
        <v>5.64</v>
      </c>
      <c r="H162">
        <v>-4.4668236493374103</v>
      </c>
      <c r="I162">
        <v>7.18</v>
      </c>
      <c r="J162">
        <v>1.3789999999999998E-2</v>
      </c>
      <c r="K162">
        <v>1.6132010779395924</v>
      </c>
    </row>
    <row r="163" spans="1:11" x14ac:dyDescent="0.3">
      <c r="A163">
        <v>0.6</v>
      </c>
      <c r="B163">
        <v>60</v>
      </c>
      <c r="C163">
        <v>4</v>
      </c>
      <c r="D163">
        <v>29.5</v>
      </c>
      <c r="E163">
        <v>14.027603897360127</v>
      </c>
      <c r="F163">
        <v>9.6861045442605729</v>
      </c>
      <c r="G163">
        <v>5.64</v>
      </c>
      <c r="H163">
        <v>-6.7404220183486236</v>
      </c>
      <c r="I163">
        <v>8.82</v>
      </c>
      <c r="J163">
        <v>1.3789999999999998E-2</v>
      </c>
      <c r="K163">
        <v>0.70172675397170747</v>
      </c>
    </row>
    <row r="164" spans="1:11" x14ac:dyDescent="0.3">
      <c r="A164">
        <v>0.6</v>
      </c>
      <c r="B164">
        <v>60</v>
      </c>
      <c r="C164">
        <v>6</v>
      </c>
      <c r="D164">
        <v>4.2</v>
      </c>
      <c r="E164">
        <v>0</v>
      </c>
      <c r="F164">
        <v>1.3790386130811663</v>
      </c>
      <c r="G164">
        <v>5.64</v>
      </c>
      <c r="H164">
        <v>0</v>
      </c>
      <c r="I164">
        <v>0</v>
      </c>
      <c r="J164">
        <v>1.379E-2</v>
      </c>
      <c r="K164">
        <v>104.15868582880654</v>
      </c>
    </row>
    <row r="165" spans="1:11" x14ac:dyDescent="0.3">
      <c r="A165">
        <v>0.6</v>
      </c>
      <c r="B165">
        <v>60</v>
      </c>
      <c r="C165">
        <v>6</v>
      </c>
      <c r="D165">
        <v>8.4</v>
      </c>
      <c r="E165">
        <v>0</v>
      </c>
      <c r="F165">
        <v>2.7580772261623325</v>
      </c>
      <c r="G165">
        <v>5.64</v>
      </c>
      <c r="H165">
        <v>0</v>
      </c>
      <c r="I165">
        <v>0</v>
      </c>
      <c r="J165">
        <v>1.379E-2</v>
      </c>
      <c r="K165">
        <v>26.039671457201635</v>
      </c>
    </row>
    <row r="166" spans="1:11" x14ac:dyDescent="0.3">
      <c r="A166">
        <v>0.6</v>
      </c>
      <c r="B166">
        <v>60</v>
      </c>
      <c r="C166">
        <v>6</v>
      </c>
      <c r="D166">
        <v>12.6</v>
      </c>
      <c r="E166">
        <v>0</v>
      </c>
      <c r="F166">
        <v>4.1371158392434983</v>
      </c>
      <c r="G166">
        <v>5.64</v>
      </c>
      <c r="H166">
        <v>0</v>
      </c>
      <c r="I166">
        <v>0</v>
      </c>
      <c r="J166">
        <v>1.379E-2</v>
      </c>
      <c r="K166">
        <v>11.57318731431184</v>
      </c>
    </row>
    <row r="167" spans="1:11" x14ac:dyDescent="0.3">
      <c r="A167">
        <v>0.6</v>
      </c>
      <c r="B167">
        <v>60</v>
      </c>
      <c r="C167">
        <v>6</v>
      </c>
      <c r="D167">
        <v>16.8</v>
      </c>
      <c r="E167">
        <v>0</v>
      </c>
      <c r="F167">
        <v>5.5161544523246651</v>
      </c>
      <c r="G167">
        <v>5.64</v>
      </c>
      <c r="H167">
        <v>0</v>
      </c>
      <c r="I167">
        <v>0</v>
      </c>
      <c r="J167">
        <v>1.379E-2</v>
      </c>
      <c r="K167">
        <v>6.5099178643004088</v>
      </c>
    </row>
    <row r="168" spans="1:11" x14ac:dyDescent="0.3">
      <c r="A168">
        <v>0.6</v>
      </c>
      <c r="B168">
        <v>60</v>
      </c>
      <c r="C168">
        <v>6</v>
      </c>
      <c r="D168">
        <v>21</v>
      </c>
      <c r="E168">
        <v>0.53014376029327759</v>
      </c>
      <c r="F168">
        <v>6.8951930654058309</v>
      </c>
      <c r="G168">
        <v>5.64</v>
      </c>
      <c r="H168">
        <v>-4.8738532110091735E-2</v>
      </c>
      <c r="I168">
        <v>0.75</v>
      </c>
      <c r="J168">
        <v>1.379E-2</v>
      </c>
      <c r="K168">
        <v>4.1462343529073635</v>
      </c>
    </row>
    <row r="169" spans="1:11" x14ac:dyDescent="0.3">
      <c r="A169">
        <v>0.6</v>
      </c>
      <c r="B169">
        <v>60</v>
      </c>
      <c r="C169">
        <v>6</v>
      </c>
      <c r="D169">
        <v>25.2</v>
      </c>
      <c r="E169">
        <v>1.6858571577326227</v>
      </c>
      <c r="F169">
        <v>8.2742316784869967</v>
      </c>
      <c r="G169">
        <v>5.64</v>
      </c>
      <c r="H169">
        <v>-9.7355759429153935E-2</v>
      </c>
      <c r="I169">
        <v>1.06</v>
      </c>
      <c r="J169">
        <v>1.379E-2</v>
      </c>
      <c r="K169">
        <v>2.8653967582530617</v>
      </c>
    </row>
    <row r="170" spans="1:11" x14ac:dyDescent="0.3">
      <c r="A170">
        <v>0.6</v>
      </c>
      <c r="B170">
        <v>60</v>
      </c>
      <c r="C170">
        <v>6</v>
      </c>
      <c r="D170">
        <v>29.5</v>
      </c>
      <c r="E170">
        <v>2.6083073006429252</v>
      </c>
      <c r="F170">
        <v>9.6861045442605729</v>
      </c>
      <c r="G170">
        <v>5.64</v>
      </c>
      <c r="H170">
        <v>-0.23304383282364929</v>
      </c>
      <c r="I170">
        <v>1.64</v>
      </c>
      <c r="J170">
        <v>1.379E-2</v>
      </c>
      <c r="K170">
        <v>2.0625657498061845</v>
      </c>
    </row>
    <row r="171" spans="1:11" x14ac:dyDescent="0.3">
      <c r="A171">
        <v>1.6666666666666667</v>
      </c>
      <c r="B171">
        <v>10</v>
      </c>
      <c r="C171">
        <v>1</v>
      </c>
      <c r="D171">
        <v>0.95</v>
      </c>
      <c r="E171">
        <v>0</v>
      </c>
      <c r="F171">
        <v>1.8715524034672972</v>
      </c>
      <c r="G171">
        <v>0.54</v>
      </c>
      <c r="H171">
        <v>0</v>
      </c>
      <c r="I171">
        <v>0</v>
      </c>
      <c r="J171">
        <v>2.5500000000000002E-3</v>
      </c>
      <c r="K171">
        <v>56.551530256083318</v>
      </c>
    </row>
    <row r="172" spans="1:11" x14ac:dyDescent="0.3">
      <c r="A172">
        <v>1.6666666666666667</v>
      </c>
      <c r="B172">
        <v>10</v>
      </c>
      <c r="C172">
        <v>1</v>
      </c>
      <c r="D172">
        <v>1.9</v>
      </c>
      <c r="E172">
        <v>0.9542587685278997</v>
      </c>
      <c r="F172">
        <v>3.7431048069345945</v>
      </c>
      <c r="G172">
        <v>0.54</v>
      </c>
      <c r="H172">
        <v>-3.1192660550458714E-2</v>
      </c>
      <c r="I172">
        <v>0.6</v>
      </c>
      <c r="J172">
        <v>2.5500000000000002E-3</v>
      </c>
      <c r="K172">
        <v>14.094202079500052</v>
      </c>
    </row>
    <row r="173" spans="1:11" x14ac:dyDescent="0.3">
      <c r="A173">
        <v>1.6666666666666667</v>
      </c>
      <c r="B173">
        <v>10</v>
      </c>
      <c r="C173">
        <v>1</v>
      </c>
      <c r="D173">
        <v>2.85</v>
      </c>
      <c r="E173">
        <v>3.3558100026564466</v>
      </c>
      <c r="F173">
        <v>5.6146572104018917</v>
      </c>
      <c r="G173">
        <v>0.54</v>
      </c>
      <c r="H173">
        <v>-0.38575790010193672</v>
      </c>
      <c r="I173">
        <v>2.11</v>
      </c>
      <c r="J173">
        <v>2.5500000000000002E-3</v>
      </c>
      <c r="K173">
        <v>6.0434170838426597</v>
      </c>
    </row>
    <row r="174" spans="1:11" x14ac:dyDescent="0.3">
      <c r="A174">
        <v>1.6666666666666667</v>
      </c>
      <c r="B174">
        <v>10</v>
      </c>
      <c r="C174">
        <v>1</v>
      </c>
      <c r="D174">
        <v>3.8</v>
      </c>
      <c r="E174">
        <v>8.1430081581047453</v>
      </c>
      <c r="F174">
        <v>7.4862096138691889</v>
      </c>
      <c r="G174">
        <v>0.54</v>
      </c>
      <c r="H174">
        <v>-2.2713802242609584</v>
      </c>
      <c r="I174">
        <v>5.12</v>
      </c>
      <c r="J174">
        <v>2.5500000000000002E-3</v>
      </c>
      <c r="K174">
        <v>2.7392916872403319</v>
      </c>
    </row>
    <row r="175" spans="1:11" x14ac:dyDescent="0.3">
      <c r="A175">
        <v>1.6666666666666667</v>
      </c>
      <c r="B175">
        <v>10</v>
      </c>
      <c r="C175">
        <v>1</v>
      </c>
      <c r="D175">
        <v>4.75</v>
      </c>
      <c r="E175">
        <v>14.63196778409446</v>
      </c>
      <c r="F175">
        <v>9.3577620173364853</v>
      </c>
      <c r="G175">
        <v>0.54</v>
      </c>
      <c r="H175">
        <v>-7.3337410805300696</v>
      </c>
      <c r="I175">
        <v>9.1999999999999993</v>
      </c>
      <c r="J175">
        <v>2.5500000000000002E-3</v>
      </c>
      <c r="K175">
        <v>0.61889845031513391</v>
      </c>
    </row>
    <row r="176" spans="1:11" x14ac:dyDescent="0.3">
      <c r="A176">
        <v>1.6666666666666667</v>
      </c>
      <c r="B176">
        <v>10</v>
      </c>
      <c r="C176">
        <v>1</v>
      </c>
      <c r="D176">
        <v>5.7</v>
      </c>
      <c r="E176">
        <v>23.872373526006289</v>
      </c>
      <c r="F176">
        <v>11.229314420803783</v>
      </c>
      <c r="G176">
        <v>0.54</v>
      </c>
      <c r="H176">
        <v>-19.521415392456674</v>
      </c>
      <c r="I176">
        <v>15.01</v>
      </c>
      <c r="J176">
        <v>2.5500000000000002E-3</v>
      </c>
      <c r="K176">
        <v>-1.4665369776332404</v>
      </c>
    </row>
    <row r="177" spans="1:11" x14ac:dyDescent="0.3">
      <c r="A177">
        <v>1.6666666666666667</v>
      </c>
      <c r="B177">
        <v>10</v>
      </c>
      <c r="C177">
        <v>1</v>
      </c>
      <c r="D177">
        <v>6.7</v>
      </c>
      <c r="E177">
        <v>28.834519122351367</v>
      </c>
      <c r="F177">
        <v>13.199369582348307</v>
      </c>
      <c r="G177">
        <v>0.54</v>
      </c>
      <c r="H177">
        <v>-28.48036340468909</v>
      </c>
      <c r="I177">
        <v>18.13</v>
      </c>
      <c r="J177">
        <v>2.5500000000000002E-3</v>
      </c>
      <c r="K177">
        <v>-2.0703378435707185</v>
      </c>
    </row>
    <row r="178" spans="1:11" x14ac:dyDescent="0.3">
      <c r="A178">
        <v>1.6666666666666667</v>
      </c>
      <c r="B178">
        <v>10</v>
      </c>
      <c r="C178">
        <v>2</v>
      </c>
      <c r="D178">
        <v>0.95</v>
      </c>
      <c r="E178">
        <v>0.9542587685278997</v>
      </c>
      <c r="F178">
        <v>1.8715524034672972</v>
      </c>
      <c r="G178">
        <v>0.54</v>
      </c>
      <c r="H178">
        <v>-3.1192660550458714E-2</v>
      </c>
      <c r="I178">
        <v>0.6</v>
      </c>
      <c r="J178">
        <v>2.5500000000000002E-3</v>
      </c>
      <c r="K178">
        <v>56.376808318000208</v>
      </c>
    </row>
    <row r="179" spans="1:11" x14ac:dyDescent="0.3">
      <c r="A179">
        <v>1.6666666666666667</v>
      </c>
      <c r="B179">
        <v>10</v>
      </c>
      <c r="C179">
        <v>2</v>
      </c>
      <c r="D179">
        <v>1.9</v>
      </c>
      <c r="E179">
        <v>3.4671401923180354</v>
      </c>
      <c r="F179">
        <v>3.7431048069345945</v>
      </c>
      <c r="G179">
        <v>0.54</v>
      </c>
      <c r="H179">
        <v>-0.4117777777777778</v>
      </c>
      <c r="I179">
        <v>2.1800000000000002</v>
      </c>
      <c r="J179">
        <v>2.5500000000000002E-3</v>
      </c>
      <c r="K179">
        <v>13.561251634474901</v>
      </c>
    </row>
    <row r="180" spans="1:11" x14ac:dyDescent="0.3">
      <c r="A180">
        <v>1.6666666666666667</v>
      </c>
      <c r="B180">
        <v>10</v>
      </c>
      <c r="C180">
        <v>2</v>
      </c>
      <c r="D180">
        <v>2.85</v>
      </c>
      <c r="E180">
        <v>9.4153531828086106</v>
      </c>
      <c r="F180">
        <v>5.6146572104018917</v>
      </c>
      <c r="G180">
        <v>0.54</v>
      </c>
      <c r="H180">
        <v>-3.0366401630988786</v>
      </c>
      <c r="I180">
        <v>5.92</v>
      </c>
      <c r="J180">
        <v>2.5500000000000002E-3</v>
      </c>
      <c r="K180">
        <v>4.3935728275785042</v>
      </c>
    </row>
    <row r="181" spans="1:11" x14ac:dyDescent="0.3">
      <c r="A181">
        <v>1.6666666666666667</v>
      </c>
      <c r="B181">
        <v>10</v>
      </c>
      <c r="C181">
        <v>2</v>
      </c>
      <c r="D181">
        <v>3.8</v>
      </c>
      <c r="E181">
        <v>16.62000688519425</v>
      </c>
      <c r="F181">
        <v>7.4862096138691889</v>
      </c>
      <c r="G181">
        <v>0.54</v>
      </c>
      <c r="H181">
        <v>-9.4619903160040764</v>
      </c>
      <c r="I181">
        <v>10.45</v>
      </c>
      <c r="J181">
        <v>2.5500000000000002E-3</v>
      </c>
      <c r="K181">
        <v>0.22195806400520815</v>
      </c>
    </row>
    <row r="182" spans="1:11" x14ac:dyDescent="0.3">
      <c r="A182">
        <v>1.6666666666666667</v>
      </c>
      <c r="B182">
        <v>10</v>
      </c>
      <c r="C182">
        <v>2</v>
      </c>
      <c r="D182">
        <v>4.75</v>
      </c>
      <c r="E182">
        <v>27.848451728205873</v>
      </c>
      <c r="F182">
        <v>9.3577620173364853</v>
      </c>
      <c r="G182">
        <v>0.54</v>
      </c>
      <c r="H182">
        <v>-26.565757900101939</v>
      </c>
      <c r="I182">
        <v>17.510000000000002</v>
      </c>
      <c r="J182">
        <v>2.5500000000000002E-3</v>
      </c>
      <c r="K182">
        <v>-3.6901347551425601</v>
      </c>
    </row>
    <row r="183" spans="1:11" x14ac:dyDescent="0.3">
      <c r="A183">
        <v>1.6666666666666667</v>
      </c>
      <c r="B183">
        <v>10</v>
      </c>
      <c r="C183">
        <v>2</v>
      </c>
      <c r="D183">
        <v>5.7</v>
      </c>
      <c r="E183">
        <v>39.108705196835089</v>
      </c>
      <c r="F183">
        <v>11.229314420803783</v>
      </c>
      <c r="G183">
        <v>0.54</v>
      </c>
      <c r="H183">
        <v>-52.39224108053007</v>
      </c>
      <c r="I183">
        <v>24.59</v>
      </c>
      <c r="J183">
        <v>2.5500000000000002E-3</v>
      </c>
      <c r="K183">
        <v>-6.5810363762991688</v>
      </c>
    </row>
    <row r="184" spans="1:11" x14ac:dyDescent="0.3">
      <c r="A184">
        <v>1.6666666666666667</v>
      </c>
      <c r="B184">
        <v>10</v>
      </c>
      <c r="C184">
        <v>2</v>
      </c>
      <c r="D184">
        <v>6.6</v>
      </c>
      <c r="E184">
        <v>45.486334633163224</v>
      </c>
      <c r="F184">
        <v>13.002364066193854</v>
      </c>
      <c r="G184">
        <v>0.54</v>
      </c>
      <c r="H184">
        <v>-70.873190621814473</v>
      </c>
      <c r="I184">
        <v>28.6</v>
      </c>
      <c r="J184">
        <v>2.5500000000000002E-3</v>
      </c>
      <c r="K184">
        <v>-7.0533426141461151</v>
      </c>
    </row>
    <row r="185" spans="1:11" x14ac:dyDescent="0.3">
      <c r="A185">
        <v>1.6666666666666667</v>
      </c>
      <c r="B185">
        <v>10</v>
      </c>
      <c r="C185">
        <v>4</v>
      </c>
      <c r="D185">
        <v>0.95</v>
      </c>
      <c r="E185">
        <v>0</v>
      </c>
      <c r="F185">
        <v>1.8715524034672972</v>
      </c>
      <c r="G185">
        <v>0.54</v>
      </c>
      <c r="H185">
        <v>0</v>
      </c>
      <c r="I185">
        <v>0</v>
      </c>
      <c r="J185">
        <v>2.5500000000000002E-3</v>
      </c>
      <c r="K185">
        <v>56.551530256083318</v>
      </c>
    </row>
    <row r="186" spans="1:11" x14ac:dyDescent="0.3">
      <c r="A186">
        <v>1.6666666666666667</v>
      </c>
      <c r="B186">
        <v>10</v>
      </c>
      <c r="C186">
        <v>4</v>
      </c>
      <c r="D186">
        <v>1.9</v>
      </c>
      <c r="E186">
        <v>2.2743167316581605</v>
      </c>
      <c r="F186">
        <v>3.7431048069345945</v>
      </c>
      <c r="G186">
        <v>0.54</v>
      </c>
      <c r="H186">
        <v>-0.17718297655453616</v>
      </c>
      <c r="I186">
        <v>1.43</v>
      </c>
      <c r="J186">
        <v>2.5500000000000002E-3</v>
      </c>
      <c r="K186">
        <v>13.889765278474901</v>
      </c>
    </row>
    <row r="187" spans="1:11" x14ac:dyDescent="0.3">
      <c r="A187">
        <v>1.6666666666666667</v>
      </c>
      <c r="B187">
        <v>10</v>
      </c>
      <c r="C187">
        <v>4</v>
      </c>
      <c r="D187">
        <v>2.85</v>
      </c>
      <c r="E187">
        <v>10.544559392233293</v>
      </c>
      <c r="F187">
        <v>5.6146572104018917</v>
      </c>
      <c r="G187">
        <v>0.54</v>
      </c>
      <c r="H187">
        <v>-3.8087018348623847</v>
      </c>
      <c r="I187">
        <v>6.63</v>
      </c>
      <c r="J187">
        <v>2.5500000000000002E-3</v>
      </c>
      <c r="K187">
        <v>3.9130605345879226</v>
      </c>
    </row>
    <row r="188" spans="1:11" x14ac:dyDescent="0.3">
      <c r="A188">
        <v>1.6666666666666667</v>
      </c>
      <c r="B188">
        <v>10</v>
      </c>
      <c r="C188">
        <v>4</v>
      </c>
      <c r="D188">
        <v>3.8</v>
      </c>
      <c r="E188">
        <v>16.492772382723864</v>
      </c>
      <c r="F188">
        <v>7.4862096138691889</v>
      </c>
      <c r="G188">
        <v>0.54</v>
      </c>
      <c r="H188">
        <v>-9.3176722731906203</v>
      </c>
      <c r="I188">
        <v>10.37</v>
      </c>
      <c r="J188">
        <v>2.5500000000000002E-3</v>
      </c>
      <c r="K188">
        <v>0.27248182443423874</v>
      </c>
    </row>
    <row r="189" spans="1:11" x14ac:dyDescent="0.3">
      <c r="A189">
        <v>1.6666666666666667</v>
      </c>
      <c r="B189">
        <v>10</v>
      </c>
      <c r="C189">
        <v>4</v>
      </c>
      <c r="D189">
        <v>4.75</v>
      </c>
      <c r="E189">
        <v>24.874345232960586</v>
      </c>
      <c r="F189">
        <v>9.3577620173364853</v>
      </c>
      <c r="G189">
        <v>0.54</v>
      </c>
      <c r="H189">
        <v>-21.194511722731907</v>
      </c>
      <c r="I189">
        <v>15.64</v>
      </c>
      <c r="J189">
        <v>2.5500000000000002E-3</v>
      </c>
      <c r="K189">
        <v>-2.4866791659491634</v>
      </c>
    </row>
    <row r="190" spans="1:11" x14ac:dyDescent="0.3">
      <c r="A190">
        <v>1.6666666666666667</v>
      </c>
      <c r="B190">
        <v>10</v>
      </c>
      <c r="C190">
        <v>4</v>
      </c>
      <c r="D190">
        <v>5.7</v>
      </c>
      <c r="E190">
        <v>30.583993531319187</v>
      </c>
      <c r="F190">
        <v>11.229314420803783</v>
      </c>
      <c r="G190">
        <v>0.54</v>
      </c>
      <c r="H190">
        <v>-32.041178899082574</v>
      </c>
      <c r="I190">
        <v>19.23</v>
      </c>
      <c r="J190">
        <v>2.5500000000000002E-3</v>
      </c>
      <c r="K190">
        <v>-3.4145355929923555</v>
      </c>
    </row>
    <row r="191" spans="1:11" x14ac:dyDescent="0.3">
      <c r="A191">
        <v>1.6666666666666667</v>
      </c>
      <c r="B191">
        <v>10</v>
      </c>
      <c r="C191">
        <v>4</v>
      </c>
      <c r="D191">
        <v>6.6</v>
      </c>
      <c r="E191">
        <v>36.055077137545808</v>
      </c>
      <c r="F191">
        <v>13.002364066193854</v>
      </c>
      <c r="G191">
        <v>0.54</v>
      </c>
      <c r="H191">
        <v>-44.530027013251789</v>
      </c>
      <c r="I191">
        <v>22.67</v>
      </c>
      <c r="J191">
        <v>2.5500000000000002E-3</v>
      </c>
      <c r="K191">
        <v>-3.996153616584794</v>
      </c>
    </row>
    <row r="192" spans="1:11" x14ac:dyDescent="0.3">
      <c r="A192">
        <v>1.6666666666666667</v>
      </c>
      <c r="B192">
        <v>10</v>
      </c>
      <c r="C192">
        <v>6</v>
      </c>
      <c r="D192">
        <v>0.95</v>
      </c>
      <c r="E192">
        <v>0</v>
      </c>
      <c r="F192">
        <v>1.8715524034672972</v>
      </c>
      <c r="G192">
        <v>0.54</v>
      </c>
      <c r="H192">
        <v>0</v>
      </c>
      <c r="I192">
        <v>0</v>
      </c>
      <c r="J192">
        <v>2.5499999999999997E-3</v>
      </c>
      <c r="K192">
        <v>56.551530256083318</v>
      </c>
    </row>
    <row r="193" spans="1:11" x14ac:dyDescent="0.3">
      <c r="A193">
        <v>1.6666666666666667</v>
      </c>
      <c r="B193">
        <v>10</v>
      </c>
      <c r="C193">
        <v>6</v>
      </c>
      <c r="D193">
        <v>1.9</v>
      </c>
      <c r="E193">
        <v>2.862776305583699</v>
      </c>
      <c r="F193">
        <v>3.7431048069345945</v>
      </c>
      <c r="G193">
        <v>0.54</v>
      </c>
      <c r="H193">
        <v>-0.2807339449541284</v>
      </c>
      <c r="I193">
        <v>1.8</v>
      </c>
      <c r="J193">
        <v>2.5499999999999997E-3</v>
      </c>
      <c r="K193">
        <v>13.744758203333848</v>
      </c>
    </row>
    <row r="194" spans="1:11" x14ac:dyDescent="0.3">
      <c r="A194">
        <v>1.6666666666666667</v>
      </c>
      <c r="B194">
        <v>10</v>
      </c>
      <c r="C194">
        <v>6</v>
      </c>
      <c r="D194">
        <v>2.85</v>
      </c>
      <c r="E194">
        <v>9.7016308133669789</v>
      </c>
      <c r="F194">
        <v>5.6146572104018917</v>
      </c>
      <c r="G194">
        <v>0.54</v>
      </c>
      <c r="H194">
        <v>-3.2241080530071349</v>
      </c>
      <c r="I194">
        <v>6.1</v>
      </c>
      <c r="J194">
        <v>2.5499999999999997E-3</v>
      </c>
      <c r="K194">
        <v>4.2768974000363436</v>
      </c>
    </row>
    <row r="195" spans="1:11" x14ac:dyDescent="0.3">
      <c r="A195">
        <v>1.6666666666666667</v>
      </c>
      <c r="B195">
        <v>10</v>
      </c>
      <c r="C195">
        <v>6</v>
      </c>
      <c r="D195">
        <v>3.8</v>
      </c>
      <c r="E195">
        <v>17.128944895075797</v>
      </c>
      <c r="F195">
        <v>7.4862096138691889</v>
      </c>
      <c r="G195">
        <v>0.54</v>
      </c>
      <c r="H195">
        <v>-10.050353211009174</v>
      </c>
      <c r="I195">
        <v>10.77</v>
      </c>
      <c r="J195">
        <v>2.5499999999999997E-3</v>
      </c>
      <c r="K195">
        <v>1.5980312553905942E-2</v>
      </c>
    </row>
    <row r="196" spans="1:11" x14ac:dyDescent="0.3">
      <c r="A196">
        <v>1.6666666666666667</v>
      </c>
      <c r="B196">
        <v>10</v>
      </c>
      <c r="C196">
        <v>6</v>
      </c>
      <c r="D196">
        <v>4.75</v>
      </c>
      <c r="E196">
        <v>24.524450351167022</v>
      </c>
      <c r="F196">
        <v>9.3577620173364853</v>
      </c>
      <c r="G196">
        <v>0.54</v>
      </c>
      <c r="H196">
        <v>-20.602440366972477</v>
      </c>
      <c r="I196">
        <v>15.42</v>
      </c>
      <c r="J196">
        <v>2.5499999999999997E-3</v>
      </c>
      <c r="K196">
        <v>-2.3540225051370016</v>
      </c>
    </row>
    <row r="197" spans="1:11" x14ac:dyDescent="0.3">
      <c r="A197">
        <v>1.6666666666666667</v>
      </c>
      <c r="B197">
        <v>10</v>
      </c>
      <c r="C197">
        <v>6</v>
      </c>
      <c r="D197">
        <v>5.7</v>
      </c>
      <c r="E197">
        <v>29.613830449982487</v>
      </c>
      <c r="F197">
        <v>11.229314420803783</v>
      </c>
      <c r="G197">
        <v>0.54</v>
      </c>
      <c r="H197">
        <v>-30.040646279306827</v>
      </c>
      <c r="I197">
        <v>18.62</v>
      </c>
      <c r="J197">
        <v>2.5499999999999997E-3</v>
      </c>
      <c r="K197">
        <v>-3.1032649550732407</v>
      </c>
    </row>
    <row r="198" spans="1:11" x14ac:dyDescent="0.3">
      <c r="A198">
        <v>1.6666666666666667</v>
      </c>
      <c r="B198">
        <v>10</v>
      </c>
      <c r="C198">
        <v>6</v>
      </c>
      <c r="D198">
        <v>6.7</v>
      </c>
      <c r="E198">
        <v>34.655497610371555</v>
      </c>
      <c r="F198">
        <v>13.199369582348307</v>
      </c>
      <c r="G198">
        <v>0.54</v>
      </c>
      <c r="H198">
        <v>-41.140008664627921</v>
      </c>
      <c r="I198">
        <v>21.79</v>
      </c>
      <c r="J198">
        <v>2.5499999999999997E-3</v>
      </c>
      <c r="K198">
        <v>-3.4959919220332347</v>
      </c>
    </row>
    <row r="199" spans="1:11" x14ac:dyDescent="0.3">
      <c r="A199">
        <v>1.6666666666666667</v>
      </c>
      <c r="B199">
        <v>15</v>
      </c>
      <c r="C199">
        <v>1</v>
      </c>
      <c r="D199">
        <v>1.4</v>
      </c>
      <c r="E199">
        <v>0</v>
      </c>
      <c r="F199">
        <v>1.8387181507748882</v>
      </c>
      <c r="G199">
        <v>0.81</v>
      </c>
      <c r="H199">
        <v>0</v>
      </c>
      <c r="I199">
        <v>0</v>
      </c>
      <c r="J199">
        <v>3.7299999999999998E-3</v>
      </c>
      <c r="K199">
        <v>58.589260778703682</v>
      </c>
    </row>
    <row r="200" spans="1:11" x14ac:dyDescent="0.3">
      <c r="A200">
        <v>1.6666666666666667</v>
      </c>
      <c r="B200">
        <v>15</v>
      </c>
      <c r="C200">
        <v>1</v>
      </c>
      <c r="D200">
        <v>2.8</v>
      </c>
      <c r="E200">
        <v>0.9542587685278997</v>
      </c>
      <c r="F200">
        <v>3.6774363015497764</v>
      </c>
      <c r="G200">
        <v>0.81</v>
      </c>
      <c r="H200">
        <v>-3.1192660550458714E-2</v>
      </c>
      <c r="I200">
        <v>0.6</v>
      </c>
      <c r="J200">
        <v>3.7299999999999998E-3</v>
      </c>
      <c r="K200">
        <v>14.6020607641249</v>
      </c>
    </row>
    <row r="201" spans="1:11" x14ac:dyDescent="0.3">
      <c r="A201">
        <v>1.6666666666666667</v>
      </c>
      <c r="B201">
        <v>15</v>
      </c>
      <c r="C201">
        <v>1</v>
      </c>
      <c r="D201">
        <v>4.2</v>
      </c>
      <c r="E201">
        <v>9.2881186803382239</v>
      </c>
      <c r="F201">
        <v>5.5161544523246651</v>
      </c>
      <c r="G201">
        <v>0.81</v>
      </c>
      <c r="H201">
        <v>-2.955123343527013</v>
      </c>
      <c r="I201">
        <v>5.84</v>
      </c>
      <c r="J201">
        <v>3.7299999999999998E-3</v>
      </c>
      <c r="K201">
        <v>4.6044493376326541</v>
      </c>
    </row>
    <row r="202" spans="1:11" x14ac:dyDescent="0.3">
      <c r="A202">
        <v>1.6666666666666667</v>
      </c>
      <c r="B202">
        <v>15</v>
      </c>
      <c r="C202">
        <v>1</v>
      </c>
      <c r="D202">
        <v>5.6</v>
      </c>
      <c r="E202">
        <v>17.049423331031807</v>
      </c>
      <c r="F202">
        <v>7.3548726030995528</v>
      </c>
      <c r="G202">
        <v>0.81</v>
      </c>
      <c r="H202">
        <v>-9.9572517838939856</v>
      </c>
      <c r="I202">
        <v>10.72</v>
      </c>
      <c r="J202">
        <v>3.7299999999999998E-3</v>
      </c>
      <c r="K202">
        <v>5.032410989510213E-2</v>
      </c>
    </row>
    <row r="203" spans="1:11" x14ac:dyDescent="0.3">
      <c r="A203">
        <v>1.6666666666666667</v>
      </c>
      <c r="B203">
        <v>15</v>
      </c>
      <c r="C203">
        <v>1</v>
      </c>
      <c r="D203">
        <v>7</v>
      </c>
      <c r="E203">
        <v>24.953866797004576</v>
      </c>
      <c r="F203">
        <v>9.1935907538744406</v>
      </c>
      <c r="G203">
        <v>0.81</v>
      </c>
      <c r="H203">
        <v>-21.330243119266054</v>
      </c>
      <c r="I203">
        <v>15.69</v>
      </c>
      <c r="J203">
        <v>3.7299999999999998E-3</v>
      </c>
      <c r="K203">
        <v>-2.6077892225278783</v>
      </c>
    </row>
    <row r="204" spans="1:11" x14ac:dyDescent="0.3">
      <c r="A204">
        <v>1.6666666666666667</v>
      </c>
      <c r="B204">
        <v>15</v>
      </c>
      <c r="C204">
        <v>1</v>
      </c>
      <c r="D204">
        <v>8.4</v>
      </c>
      <c r="E204">
        <v>29.343457132232913</v>
      </c>
      <c r="F204">
        <v>11.03230890464933</v>
      </c>
      <c r="G204">
        <v>0.81</v>
      </c>
      <c r="H204">
        <v>-29.494610091743112</v>
      </c>
      <c r="I204">
        <v>18.45</v>
      </c>
      <c r="J204">
        <v>3.7299999999999998E-3</v>
      </c>
      <c r="K204">
        <v>-3.1270641436914794</v>
      </c>
    </row>
    <row r="205" spans="1:11" x14ac:dyDescent="0.3">
      <c r="A205">
        <v>1.6666666666666667</v>
      </c>
      <c r="B205">
        <v>15</v>
      </c>
      <c r="C205">
        <v>1</v>
      </c>
      <c r="D205">
        <v>9.8000000000000007</v>
      </c>
      <c r="E205">
        <v>36.182311640016195</v>
      </c>
      <c r="F205">
        <v>12.87102705542422</v>
      </c>
      <c r="G205">
        <v>0.81</v>
      </c>
      <c r="H205">
        <v>-44.844864933741071</v>
      </c>
      <c r="I205">
        <v>22.75</v>
      </c>
      <c r="J205">
        <v>3.7299999999999998E-3</v>
      </c>
      <c r="K205">
        <v>-4.115411052602985</v>
      </c>
    </row>
    <row r="206" spans="1:11" x14ac:dyDescent="0.3">
      <c r="A206">
        <v>1.6666666666666667</v>
      </c>
      <c r="B206">
        <v>15</v>
      </c>
      <c r="C206">
        <v>2</v>
      </c>
      <c r="D206">
        <v>1.4</v>
      </c>
      <c r="E206">
        <v>0</v>
      </c>
      <c r="F206">
        <v>1.8387181507748882</v>
      </c>
      <c r="G206">
        <v>0.81</v>
      </c>
      <c r="H206">
        <v>0</v>
      </c>
      <c r="I206">
        <v>0</v>
      </c>
      <c r="J206">
        <v>3.7299999999999998E-3</v>
      </c>
      <c r="K206">
        <v>58.589260778703682</v>
      </c>
    </row>
    <row r="207" spans="1:11" x14ac:dyDescent="0.3">
      <c r="A207">
        <v>1.6666666666666667</v>
      </c>
      <c r="B207">
        <v>15</v>
      </c>
      <c r="C207">
        <v>2</v>
      </c>
      <c r="D207">
        <v>2.8</v>
      </c>
      <c r="E207">
        <v>2.3061253572757576</v>
      </c>
      <c r="F207">
        <v>3.6774363015497764</v>
      </c>
      <c r="G207">
        <v>0.81</v>
      </c>
      <c r="H207">
        <v>-0.18217380224260957</v>
      </c>
      <c r="I207">
        <v>1.45</v>
      </c>
      <c r="J207">
        <v>3.7299999999999998E-3</v>
      </c>
      <c r="K207">
        <v>14.38301674958281</v>
      </c>
    </row>
    <row r="208" spans="1:11" x14ac:dyDescent="0.3">
      <c r="A208">
        <v>1.6666666666666667</v>
      </c>
      <c r="B208">
        <v>15</v>
      </c>
      <c r="C208">
        <v>2</v>
      </c>
      <c r="D208">
        <v>4.2</v>
      </c>
      <c r="E208">
        <v>11.101210340541233</v>
      </c>
      <c r="F208">
        <v>5.5161544523246651</v>
      </c>
      <c r="G208">
        <v>0.81</v>
      </c>
      <c r="H208">
        <v>-4.2214413863404685</v>
      </c>
      <c r="I208">
        <v>6.98</v>
      </c>
      <c r="J208">
        <v>3.7299999999999998E-3</v>
      </c>
      <c r="K208">
        <v>3.7879253232906129</v>
      </c>
    </row>
    <row r="209" spans="1:11" x14ac:dyDescent="0.3">
      <c r="A209">
        <v>1.6666666666666667</v>
      </c>
      <c r="B209">
        <v>15</v>
      </c>
      <c r="C209">
        <v>2</v>
      </c>
      <c r="D209">
        <v>5.6</v>
      </c>
      <c r="E209">
        <v>25.415091868459729</v>
      </c>
      <c r="F209">
        <v>7.3548726030995528</v>
      </c>
      <c r="G209">
        <v>0.81</v>
      </c>
      <c r="H209">
        <v>-22.126028542303771</v>
      </c>
      <c r="I209">
        <v>15.98</v>
      </c>
      <c r="J209">
        <v>3.7299999999999998E-3</v>
      </c>
      <c r="K209">
        <v>-4.3633027897204597</v>
      </c>
    </row>
    <row r="210" spans="1:11" x14ac:dyDescent="0.3">
      <c r="A210">
        <v>1.6666666666666667</v>
      </c>
      <c r="B210">
        <v>15</v>
      </c>
      <c r="C210">
        <v>2</v>
      </c>
      <c r="D210">
        <v>7</v>
      </c>
      <c r="E210">
        <v>30.647610782554374</v>
      </c>
      <c r="F210">
        <v>9.1935907538744406</v>
      </c>
      <c r="G210">
        <v>0.81</v>
      </c>
      <c r="H210">
        <v>-32.174614169215083</v>
      </c>
      <c r="I210">
        <v>19.27</v>
      </c>
      <c r="J210">
        <v>3.7299999999999998E-3</v>
      </c>
      <c r="K210">
        <v>-5.125077984122524</v>
      </c>
    </row>
    <row r="211" spans="1:11" x14ac:dyDescent="0.3">
      <c r="A211">
        <v>1.6666666666666667</v>
      </c>
      <c r="B211">
        <v>15</v>
      </c>
      <c r="C211">
        <v>2</v>
      </c>
      <c r="D211">
        <v>8.4</v>
      </c>
      <c r="E211">
        <v>42.671271266005917</v>
      </c>
      <c r="F211">
        <v>11.03230890464933</v>
      </c>
      <c r="G211">
        <v>0.81</v>
      </c>
      <c r="H211">
        <v>-62.372228848114155</v>
      </c>
      <c r="I211">
        <v>26.83</v>
      </c>
      <c r="J211">
        <v>3.7299999999999998E-3</v>
      </c>
      <c r="K211">
        <v>-8.4269501796898467</v>
      </c>
    </row>
    <row r="212" spans="1:11" x14ac:dyDescent="0.3">
      <c r="A212">
        <v>1.6666666666666667</v>
      </c>
      <c r="B212">
        <v>15</v>
      </c>
      <c r="C212">
        <v>2</v>
      </c>
      <c r="D212">
        <v>9.8000000000000007</v>
      </c>
      <c r="E212">
        <v>51.195982931521812</v>
      </c>
      <c r="F212">
        <v>12.87102705542422</v>
      </c>
      <c r="G212">
        <v>0.81</v>
      </c>
      <c r="H212">
        <v>-89.782536697247679</v>
      </c>
      <c r="I212">
        <v>32.19</v>
      </c>
      <c r="J212">
        <v>3.7299999999999998E-3</v>
      </c>
      <c r="K212">
        <v>-9.4375126926541597</v>
      </c>
    </row>
    <row r="213" spans="1:11" x14ac:dyDescent="0.3">
      <c r="A213">
        <v>1.6666666666666667</v>
      </c>
      <c r="B213">
        <v>15</v>
      </c>
      <c r="C213">
        <v>4</v>
      </c>
      <c r="D213">
        <v>1.4</v>
      </c>
      <c r="E213">
        <v>0</v>
      </c>
      <c r="F213">
        <v>1.8387181507748882</v>
      </c>
      <c r="G213">
        <v>0.81</v>
      </c>
      <c r="H213">
        <v>0</v>
      </c>
      <c r="I213">
        <v>0</v>
      </c>
      <c r="J213">
        <v>3.7299999999999998E-3</v>
      </c>
      <c r="K213">
        <v>58.589260778703682</v>
      </c>
    </row>
    <row r="214" spans="1:11" x14ac:dyDescent="0.3">
      <c r="A214">
        <v>1.6666666666666667</v>
      </c>
      <c r="B214">
        <v>15</v>
      </c>
      <c r="C214">
        <v>4</v>
      </c>
      <c r="D214">
        <v>2.8</v>
      </c>
      <c r="E214">
        <v>1.4154838399830514</v>
      </c>
      <c r="F214">
        <v>3.6774363015497764</v>
      </c>
      <c r="G214">
        <v>0.81</v>
      </c>
      <c r="H214">
        <v>-6.8632517838939852E-2</v>
      </c>
      <c r="I214">
        <v>0.89</v>
      </c>
      <c r="J214">
        <v>3.7299999999999998E-3</v>
      </c>
      <c r="K214">
        <v>14.547742876788522</v>
      </c>
    </row>
    <row r="215" spans="1:11" x14ac:dyDescent="0.3">
      <c r="A215">
        <v>1.6666666666666667</v>
      </c>
      <c r="B215">
        <v>15</v>
      </c>
      <c r="C215">
        <v>4</v>
      </c>
      <c r="D215">
        <v>4.2</v>
      </c>
      <c r="E215">
        <v>10.783124084365266</v>
      </c>
      <c r="F215">
        <v>5.5161544523246651</v>
      </c>
      <c r="G215">
        <v>0.81</v>
      </c>
      <c r="H215">
        <v>-3.9829908256880735</v>
      </c>
      <c r="I215">
        <v>6.78</v>
      </c>
      <c r="J215">
        <v>3.7299999999999998E-3</v>
      </c>
      <c r="K215">
        <v>3.9416786478293884</v>
      </c>
    </row>
    <row r="216" spans="1:11" x14ac:dyDescent="0.3">
      <c r="A216">
        <v>1.6666666666666667</v>
      </c>
      <c r="B216">
        <v>15</v>
      </c>
      <c r="C216">
        <v>4</v>
      </c>
      <c r="D216">
        <v>5.6</v>
      </c>
      <c r="E216">
        <v>23.156679449610369</v>
      </c>
      <c r="F216">
        <v>7.3548726030995528</v>
      </c>
      <c r="G216">
        <v>0.81</v>
      </c>
      <c r="H216">
        <v>-18.368456676860344</v>
      </c>
      <c r="I216">
        <v>14.56</v>
      </c>
      <c r="J216">
        <v>3.7299999999999998E-3</v>
      </c>
      <c r="K216">
        <v>-3.0004279016510198</v>
      </c>
    </row>
    <row r="217" spans="1:11" x14ac:dyDescent="0.3">
      <c r="A217">
        <v>1.6666666666666667</v>
      </c>
      <c r="B217">
        <v>15</v>
      </c>
      <c r="C217">
        <v>4</v>
      </c>
      <c r="D217">
        <v>7</v>
      </c>
      <c r="E217">
        <v>28.818614809542574</v>
      </c>
      <c r="F217">
        <v>9.1935907538744406</v>
      </c>
      <c r="G217">
        <v>0.81</v>
      </c>
      <c r="H217">
        <v>-28.448954128440366</v>
      </c>
      <c r="I217">
        <v>18.12</v>
      </c>
      <c r="J217">
        <v>3.7299999999999998E-3</v>
      </c>
      <c r="K217">
        <v>-4.2602457032122789</v>
      </c>
    </row>
    <row r="218" spans="1:11" x14ac:dyDescent="0.3">
      <c r="A218">
        <v>1.6666666666666667</v>
      </c>
      <c r="B218">
        <v>15</v>
      </c>
      <c r="C218">
        <v>4</v>
      </c>
      <c r="D218">
        <v>8.4</v>
      </c>
      <c r="E218">
        <v>38.886044817511916</v>
      </c>
      <c r="F218">
        <v>11.03230890464933</v>
      </c>
      <c r="G218">
        <v>0.81</v>
      </c>
      <c r="H218">
        <v>-51.797362385321094</v>
      </c>
      <c r="I218">
        <v>24.45</v>
      </c>
      <c r="J218">
        <v>3.7299999999999998E-3</v>
      </c>
      <c r="K218">
        <v>-6.7222772374669901</v>
      </c>
    </row>
    <row r="219" spans="1:11" x14ac:dyDescent="0.3">
      <c r="A219">
        <v>1.6666666666666667</v>
      </c>
      <c r="B219">
        <v>15</v>
      </c>
      <c r="C219">
        <v>4</v>
      </c>
      <c r="D219">
        <v>9.8000000000000007</v>
      </c>
      <c r="E219">
        <v>49.589647337833185</v>
      </c>
      <c r="F219">
        <v>12.87102705542422</v>
      </c>
      <c r="G219">
        <v>0.81</v>
      </c>
      <c r="H219">
        <v>-84.236854230377162</v>
      </c>
      <c r="I219">
        <v>31.18</v>
      </c>
      <c r="J219">
        <v>3.7299999999999998E-3</v>
      </c>
      <c r="K219">
        <v>-8.7807210834345835</v>
      </c>
    </row>
    <row r="220" spans="1:11" x14ac:dyDescent="0.3">
      <c r="A220">
        <v>1.6666666666666667</v>
      </c>
      <c r="B220">
        <v>15</v>
      </c>
      <c r="C220">
        <v>6</v>
      </c>
      <c r="D220">
        <v>1.4</v>
      </c>
      <c r="E220">
        <v>0</v>
      </c>
      <c r="F220">
        <v>1.8387181507748882</v>
      </c>
      <c r="G220">
        <v>0.81</v>
      </c>
      <c r="H220">
        <v>0</v>
      </c>
      <c r="I220">
        <v>0</v>
      </c>
      <c r="J220">
        <v>3.7301999999999999E-3</v>
      </c>
      <c r="K220">
        <v>58.589260778703682</v>
      </c>
    </row>
    <row r="221" spans="1:11" x14ac:dyDescent="0.3">
      <c r="A221">
        <v>1.6666666666666667</v>
      </c>
      <c r="B221">
        <v>15</v>
      </c>
      <c r="C221">
        <v>6</v>
      </c>
      <c r="D221">
        <v>2.8</v>
      </c>
      <c r="E221">
        <v>1.9085175370557994</v>
      </c>
      <c r="F221">
        <v>3.6774363015497764</v>
      </c>
      <c r="G221">
        <v>0.81</v>
      </c>
      <c r="H221">
        <v>-0.12477064220183486</v>
      </c>
      <c r="I221">
        <v>1.2</v>
      </c>
      <c r="J221">
        <v>3.7301999999999999E-3</v>
      </c>
      <c r="K221">
        <v>14.46629747247184</v>
      </c>
    </row>
    <row r="222" spans="1:11" x14ac:dyDescent="0.3">
      <c r="A222">
        <v>1.6666666666666667</v>
      </c>
      <c r="B222">
        <v>15</v>
      </c>
      <c r="C222">
        <v>6</v>
      </c>
      <c r="D222">
        <v>4.2</v>
      </c>
      <c r="E222">
        <v>10.942167212453249</v>
      </c>
      <c r="F222">
        <v>5.5161544523246651</v>
      </c>
      <c r="G222">
        <v>0.81</v>
      </c>
      <c r="H222">
        <v>-4.1013496432212015</v>
      </c>
      <c r="I222">
        <v>6.88</v>
      </c>
      <c r="J222">
        <v>3.7301999999999999E-3</v>
      </c>
      <c r="K222">
        <v>3.865360682233471</v>
      </c>
    </row>
    <row r="223" spans="1:11" x14ac:dyDescent="0.3">
      <c r="A223">
        <v>1.6666666666666667</v>
      </c>
      <c r="B223">
        <v>15</v>
      </c>
      <c r="C223">
        <v>6</v>
      </c>
      <c r="D223">
        <v>5.6</v>
      </c>
      <c r="E223">
        <v>20.325711769644261</v>
      </c>
      <c r="F223">
        <v>7.3548726030995528</v>
      </c>
      <c r="G223">
        <v>0.81</v>
      </c>
      <c r="H223">
        <v>-14.151798165137613</v>
      </c>
      <c r="I223">
        <v>12.78</v>
      </c>
      <c r="J223">
        <v>3.7301999999999999E-3</v>
      </c>
      <c r="K223">
        <v>-1.4710418505041325</v>
      </c>
    </row>
    <row r="224" spans="1:11" x14ac:dyDescent="0.3">
      <c r="A224">
        <v>1.6666666666666667</v>
      </c>
      <c r="B224">
        <v>15</v>
      </c>
      <c r="C224">
        <v>6</v>
      </c>
      <c r="D224">
        <v>7</v>
      </c>
      <c r="E224">
        <v>29.78877789087927</v>
      </c>
      <c r="F224">
        <v>9.1935907538744406</v>
      </c>
      <c r="G224">
        <v>0.81</v>
      </c>
      <c r="H224">
        <v>-30.396632517838938</v>
      </c>
      <c r="I224">
        <v>18.73</v>
      </c>
      <c r="J224">
        <v>3.7301999999999999E-3</v>
      </c>
      <c r="K224">
        <v>-4.7123575774972188</v>
      </c>
    </row>
    <row r="225" spans="1:11" x14ac:dyDescent="0.3">
      <c r="A225">
        <v>1.6666666666666667</v>
      </c>
      <c r="B225">
        <v>15</v>
      </c>
      <c r="C225">
        <v>6</v>
      </c>
      <c r="D225">
        <v>8.4</v>
      </c>
      <c r="E225">
        <v>34.146559600490008</v>
      </c>
      <c r="F225">
        <v>11.03230890464933</v>
      </c>
      <c r="G225">
        <v>0.81</v>
      </c>
      <c r="H225">
        <v>-39.940546890927614</v>
      </c>
      <c r="I225">
        <v>21.47</v>
      </c>
      <c r="J225">
        <v>3.7301999999999999E-3</v>
      </c>
      <c r="K225">
        <v>-4.8109535696612751</v>
      </c>
    </row>
    <row r="226" spans="1:11" x14ac:dyDescent="0.3">
      <c r="A226">
        <v>1.6666666666666667</v>
      </c>
      <c r="B226">
        <v>15</v>
      </c>
      <c r="C226">
        <v>6</v>
      </c>
      <c r="D226">
        <v>9.8000000000000007</v>
      </c>
      <c r="E226">
        <v>39.267748324923076</v>
      </c>
      <c r="F226">
        <v>12.87102705542422</v>
      </c>
      <c r="G226">
        <v>0.81</v>
      </c>
      <c r="H226">
        <v>-52.819233944954128</v>
      </c>
      <c r="I226">
        <v>24.69</v>
      </c>
      <c r="J226">
        <v>3.7301999999999999E-3</v>
      </c>
      <c r="K226">
        <v>-5.0598392066983129</v>
      </c>
    </row>
    <row r="227" spans="1:11" x14ac:dyDescent="0.3">
      <c r="A227">
        <v>1.6666666666666667</v>
      </c>
      <c r="B227">
        <v>20</v>
      </c>
      <c r="C227">
        <v>1</v>
      </c>
      <c r="D227">
        <v>1.7</v>
      </c>
      <c r="E227">
        <v>0</v>
      </c>
      <c r="F227">
        <v>1.6745468873128448</v>
      </c>
      <c r="G227">
        <v>1.08</v>
      </c>
      <c r="H227">
        <v>0</v>
      </c>
      <c r="I227">
        <v>0</v>
      </c>
      <c r="J227">
        <v>4.8399999999999997E-3</v>
      </c>
      <c r="K227">
        <v>70.640492811232093</v>
      </c>
    </row>
    <row r="228" spans="1:11" x14ac:dyDescent="0.3">
      <c r="A228">
        <v>1.6666666666666667</v>
      </c>
      <c r="B228">
        <v>20</v>
      </c>
      <c r="C228">
        <v>1</v>
      </c>
      <c r="D228">
        <v>3.4</v>
      </c>
      <c r="E228">
        <v>0.63617251235193317</v>
      </c>
      <c r="F228">
        <v>3.3490937746256897</v>
      </c>
      <c r="G228">
        <v>1.08</v>
      </c>
      <c r="H228">
        <v>-1.3863404689092763E-2</v>
      </c>
      <c r="I228">
        <v>0.4</v>
      </c>
      <c r="J228">
        <v>4.8399999999999997E-3</v>
      </c>
      <c r="K228">
        <v>17.635873060690376</v>
      </c>
    </row>
    <row r="229" spans="1:11" x14ac:dyDescent="0.3">
      <c r="A229">
        <v>1.6666666666666667</v>
      </c>
      <c r="B229">
        <v>20</v>
      </c>
      <c r="C229">
        <v>1</v>
      </c>
      <c r="D229">
        <v>5.0999999999999996</v>
      </c>
      <c r="E229">
        <v>5.9959259289169697</v>
      </c>
      <c r="F229">
        <v>5.0236406619385336</v>
      </c>
      <c r="G229">
        <v>1.08</v>
      </c>
      <c r="H229">
        <v>-1.2314949031600406</v>
      </c>
      <c r="I229">
        <v>3.77</v>
      </c>
      <c r="J229">
        <v>4.8399999999999997E-3</v>
      </c>
      <c r="K229">
        <v>6.8915412987371649</v>
      </c>
    </row>
    <row r="230" spans="1:11" x14ac:dyDescent="0.3">
      <c r="A230">
        <v>1.6666666666666667</v>
      </c>
      <c r="B230">
        <v>20</v>
      </c>
      <c r="C230">
        <v>1</v>
      </c>
      <c r="D230">
        <v>6.8</v>
      </c>
      <c r="E230">
        <v>12.818876123891453</v>
      </c>
      <c r="F230">
        <v>6.6981875492513794</v>
      </c>
      <c r="G230">
        <v>1.08</v>
      </c>
      <c r="H230">
        <v>-5.6288542303771676</v>
      </c>
      <c r="I230">
        <v>8.06</v>
      </c>
      <c r="J230">
        <v>4.8399999999999997E-3</v>
      </c>
      <c r="K230">
        <v>1.9535049687114177</v>
      </c>
    </row>
    <row r="231" spans="1:11" x14ac:dyDescent="0.3">
      <c r="A231">
        <v>1.6666666666666667</v>
      </c>
      <c r="B231">
        <v>20</v>
      </c>
      <c r="C231">
        <v>1</v>
      </c>
      <c r="D231">
        <v>8.5</v>
      </c>
      <c r="E231">
        <v>19.514591816395548</v>
      </c>
      <c r="F231">
        <v>8.3727344365642242</v>
      </c>
      <c r="G231">
        <v>1.08</v>
      </c>
      <c r="H231">
        <v>-13.044848623853209</v>
      </c>
      <c r="I231">
        <v>12.27</v>
      </c>
      <c r="J231">
        <v>4.8399999999999997E-3</v>
      </c>
      <c r="K231">
        <v>-0.82530950877462084</v>
      </c>
    </row>
    <row r="232" spans="1:11" x14ac:dyDescent="0.3">
      <c r="A232">
        <v>1.6666666666666667</v>
      </c>
      <c r="B232">
        <v>20</v>
      </c>
      <c r="C232">
        <v>1</v>
      </c>
      <c r="D232">
        <v>10.199999999999999</v>
      </c>
      <c r="E232">
        <v>25.001579735430973</v>
      </c>
      <c r="F232">
        <v>10.047281323877067</v>
      </c>
      <c r="G232">
        <v>1.08</v>
      </c>
      <c r="H232">
        <v>-21.411889908256882</v>
      </c>
      <c r="I232">
        <v>15.72</v>
      </c>
      <c r="J232">
        <v>4.8399999999999997E-3</v>
      </c>
      <c r="K232">
        <v>-2.1993309773862983</v>
      </c>
    </row>
    <row r="233" spans="1:11" x14ac:dyDescent="0.3">
      <c r="A233">
        <v>1.6666666666666667</v>
      </c>
      <c r="B233">
        <v>20</v>
      </c>
      <c r="C233">
        <v>1</v>
      </c>
      <c r="D233">
        <v>12.2</v>
      </c>
      <c r="E233">
        <v>33.160492206344514</v>
      </c>
      <c r="F233">
        <v>12.017336485421591</v>
      </c>
      <c r="G233">
        <v>1.08</v>
      </c>
      <c r="H233">
        <v>-37.667087155963301</v>
      </c>
      <c r="I233">
        <v>20.85</v>
      </c>
      <c r="J233">
        <v>4.8399999999999997E-3</v>
      </c>
      <c r="K233">
        <v>-3.7457298418598453</v>
      </c>
    </row>
    <row r="234" spans="1:11" x14ac:dyDescent="0.3">
      <c r="A234">
        <v>1.6666666666666667</v>
      </c>
      <c r="B234">
        <v>20</v>
      </c>
      <c r="C234">
        <v>2</v>
      </c>
      <c r="D234">
        <v>1.7</v>
      </c>
      <c r="E234">
        <v>0</v>
      </c>
      <c r="F234">
        <v>1.6745468873128448</v>
      </c>
      <c r="G234">
        <v>1.08</v>
      </c>
      <c r="H234">
        <v>0</v>
      </c>
      <c r="I234">
        <v>0</v>
      </c>
      <c r="J234">
        <v>4.8399999999999997E-3</v>
      </c>
      <c r="K234">
        <v>70.640492811232093</v>
      </c>
    </row>
    <row r="235" spans="1:11" x14ac:dyDescent="0.3">
      <c r="A235">
        <v>1.6666666666666667</v>
      </c>
      <c r="B235">
        <v>20</v>
      </c>
      <c r="C235">
        <v>2</v>
      </c>
      <c r="D235">
        <v>3.4</v>
      </c>
      <c r="E235">
        <v>7.1887493895768433</v>
      </c>
      <c r="F235">
        <v>3.3490937746256897</v>
      </c>
      <c r="G235">
        <v>1.08</v>
      </c>
      <c r="H235">
        <v>-1.7702181447502543</v>
      </c>
      <c r="I235">
        <v>4.5199999999999996</v>
      </c>
      <c r="J235">
        <v>4.8399999999999997E-3</v>
      </c>
      <c r="K235">
        <v>14.563622555805674</v>
      </c>
    </row>
    <row r="236" spans="1:11" x14ac:dyDescent="0.3">
      <c r="A236">
        <v>1.6666666666666667</v>
      </c>
      <c r="B236">
        <v>20</v>
      </c>
      <c r="C236">
        <v>2</v>
      </c>
      <c r="D236">
        <v>5.0999999999999996</v>
      </c>
      <c r="E236">
        <v>13.02563219040583</v>
      </c>
      <c r="F236">
        <v>5.0236406619385336</v>
      </c>
      <c r="G236">
        <v>1.08</v>
      </c>
      <c r="H236">
        <v>-5.8118944954128429</v>
      </c>
      <c r="I236">
        <v>8.19</v>
      </c>
      <c r="J236">
        <v>4.8399999999999997E-3</v>
      </c>
      <c r="K236">
        <v>3.3305965409771647</v>
      </c>
    </row>
    <row r="237" spans="1:11" x14ac:dyDescent="0.3">
      <c r="A237">
        <v>1.6666666666666667</v>
      </c>
      <c r="B237">
        <v>20</v>
      </c>
      <c r="C237">
        <v>2</v>
      </c>
      <c r="D237">
        <v>6.8</v>
      </c>
      <c r="E237">
        <v>19.498687503586748</v>
      </c>
      <c r="F237">
        <v>6.6981875492513794</v>
      </c>
      <c r="G237">
        <v>1.08</v>
      </c>
      <c r="H237">
        <v>-13.023594291539245</v>
      </c>
      <c r="I237">
        <v>12.26</v>
      </c>
      <c r="J237">
        <v>4.8399999999999997E-3</v>
      </c>
      <c r="K237">
        <v>-1.2802514826768161</v>
      </c>
    </row>
    <row r="238" spans="1:11" x14ac:dyDescent="0.3">
      <c r="A238">
        <v>1.6666666666666667</v>
      </c>
      <c r="B238">
        <v>20</v>
      </c>
      <c r="C238">
        <v>2</v>
      </c>
      <c r="D238">
        <v>8.5</v>
      </c>
      <c r="E238">
        <v>29.31164850661532</v>
      </c>
      <c r="F238">
        <v>8.3727344365642242</v>
      </c>
      <c r="G238">
        <v>1.08</v>
      </c>
      <c r="H238">
        <v>-29.430699796126397</v>
      </c>
      <c r="I238">
        <v>18.43</v>
      </c>
      <c r="J238">
        <v>4.8399999999999997E-3</v>
      </c>
      <c r="K238">
        <v>-5.4113023849270911</v>
      </c>
    </row>
    <row r="239" spans="1:11" x14ac:dyDescent="0.3">
      <c r="A239">
        <v>1.6666666666666667</v>
      </c>
      <c r="B239">
        <v>20</v>
      </c>
      <c r="C239">
        <v>2</v>
      </c>
      <c r="D239">
        <v>10.199999999999999</v>
      </c>
      <c r="E239">
        <v>40.174294155024576</v>
      </c>
      <c r="F239">
        <v>10.047281323877067</v>
      </c>
      <c r="G239">
        <v>1.08</v>
      </c>
      <c r="H239">
        <v>-55.286183486238535</v>
      </c>
      <c r="I239">
        <v>25.26</v>
      </c>
      <c r="J239">
        <v>4.8399999999999997E-3</v>
      </c>
      <c r="K239">
        <v>-8.7830626862615961</v>
      </c>
    </row>
    <row r="240" spans="1:11" x14ac:dyDescent="0.3">
      <c r="A240">
        <v>1.6666666666666667</v>
      </c>
      <c r="B240">
        <v>20</v>
      </c>
      <c r="C240">
        <v>2</v>
      </c>
      <c r="D240">
        <v>12.2</v>
      </c>
      <c r="E240">
        <v>51.673112315785772</v>
      </c>
      <c r="F240">
        <v>12.017336485421591</v>
      </c>
      <c r="G240">
        <v>1.08</v>
      </c>
      <c r="H240">
        <v>-91.463821100917443</v>
      </c>
      <c r="I240">
        <v>32.49</v>
      </c>
      <c r="J240">
        <v>4.8399999999999997E-3</v>
      </c>
      <c r="K240">
        <v>-11.054401806527926</v>
      </c>
    </row>
    <row r="241" spans="1:11" x14ac:dyDescent="0.3">
      <c r="A241">
        <v>1.6666666666666667</v>
      </c>
      <c r="B241">
        <v>20</v>
      </c>
      <c r="C241">
        <v>4</v>
      </c>
      <c r="D241">
        <v>1.7</v>
      </c>
      <c r="E241">
        <v>0</v>
      </c>
      <c r="F241">
        <v>1.6745468873128448</v>
      </c>
      <c r="G241">
        <v>1.08</v>
      </c>
      <c r="H241">
        <v>0</v>
      </c>
      <c r="I241">
        <v>0</v>
      </c>
      <c r="J241">
        <v>4.8399999999999997E-3</v>
      </c>
      <c r="K241">
        <v>70.640492811232093</v>
      </c>
    </row>
    <row r="242" spans="1:11" x14ac:dyDescent="0.3">
      <c r="A242">
        <v>1.6666666666666667</v>
      </c>
      <c r="B242">
        <v>20</v>
      </c>
      <c r="C242">
        <v>4</v>
      </c>
      <c r="D242">
        <v>3.4</v>
      </c>
      <c r="E242">
        <v>9.9560998183077523</v>
      </c>
      <c r="F242">
        <v>3.3490937746256897</v>
      </c>
      <c r="G242">
        <v>1.08</v>
      </c>
      <c r="H242">
        <v>-3.3954597349643212</v>
      </c>
      <c r="I242">
        <v>6.26</v>
      </c>
      <c r="J242">
        <v>4.8399999999999997E-3</v>
      </c>
      <c r="K242">
        <v>11.720717769998616</v>
      </c>
    </row>
    <row r="243" spans="1:11" x14ac:dyDescent="0.3">
      <c r="A243">
        <v>1.6666666666666667</v>
      </c>
      <c r="B243">
        <v>20</v>
      </c>
      <c r="C243">
        <v>4</v>
      </c>
      <c r="D243">
        <v>5.0999999999999996</v>
      </c>
      <c r="E243">
        <v>14.854628163417638</v>
      </c>
      <c r="F243">
        <v>5.0236406619385336</v>
      </c>
      <c r="G243">
        <v>1.08</v>
      </c>
      <c r="H243">
        <v>-7.5586401630988771</v>
      </c>
      <c r="I243">
        <v>9.34</v>
      </c>
      <c r="J243">
        <v>4.8399999999999997E-3</v>
      </c>
      <c r="K243">
        <v>1.9726222631418706</v>
      </c>
    </row>
    <row r="244" spans="1:11" x14ac:dyDescent="0.3">
      <c r="A244">
        <v>1.6666666666666667</v>
      </c>
      <c r="B244">
        <v>20</v>
      </c>
      <c r="C244">
        <v>4</v>
      </c>
      <c r="D244">
        <v>6.8</v>
      </c>
      <c r="E244">
        <v>22.059281865803278</v>
      </c>
      <c r="F244">
        <v>6.6981875492513794</v>
      </c>
      <c r="G244">
        <v>1.08</v>
      </c>
      <c r="H244">
        <v>-16.668742609582054</v>
      </c>
      <c r="I244">
        <v>13.87</v>
      </c>
      <c r="J244">
        <v>4.8399999999999997E-3</v>
      </c>
      <c r="K244">
        <v>-2.8742928948485784</v>
      </c>
    </row>
    <row r="245" spans="1:11" x14ac:dyDescent="0.3">
      <c r="A245">
        <v>1.6666666666666667</v>
      </c>
      <c r="B245">
        <v>20</v>
      </c>
      <c r="C245">
        <v>4</v>
      </c>
      <c r="D245">
        <v>8.5</v>
      </c>
      <c r="E245">
        <v>29.025370876056947</v>
      </c>
      <c r="F245">
        <v>8.3727344365642242</v>
      </c>
      <c r="G245">
        <v>1.08</v>
      </c>
      <c r="H245">
        <v>-28.858626401630985</v>
      </c>
      <c r="I245">
        <v>18.25</v>
      </c>
      <c r="J245">
        <v>4.8399999999999997E-3</v>
      </c>
      <c r="K245">
        <v>-5.2511932466095388</v>
      </c>
    </row>
    <row r="246" spans="1:11" x14ac:dyDescent="0.3">
      <c r="A246">
        <v>1.6666666666666667</v>
      </c>
      <c r="B246">
        <v>20</v>
      </c>
      <c r="C246">
        <v>4</v>
      </c>
      <c r="D246">
        <v>10.199999999999999</v>
      </c>
      <c r="E246">
        <v>36.913910029220922</v>
      </c>
      <c r="F246">
        <v>10.047281323877067</v>
      </c>
      <c r="G246">
        <v>1.08</v>
      </c>
      <c r="H246">
        <v>-46.676705912334349</v>
      </c>
      <c r="I246">
        <v>23.21</v>
      </c>
      <c r="J246">
        <v>4.8399999999999997E-3</v>
      </c>
      <c r="K246">
        <v>-7.1097439388263002</v>
      </c>
    </row>
    <row r="247" spans="1:11" x14ac:dyDescent="0.3">
      <c r="A247">
        <v>1.6666666666666667</v>
      </c>
      <c r="B247">
        <v>20</v>
      </c>
      <c r="C247">
        <v>4</v>
      </c>
      <c r="D247">
        <v>12.2</v>
      </c>
      <c r="E247">
        <v>42.941644583755483</v>
      </c>
      <c r="F247">
        <v>12.017336485421591</v>
      </c>
      <c r="G247">
        <v>1.08</v>
      </c>
      <c r="H247">
        <v>-63.165137614678891</v>
      </c>
      <c r="I247">
        <v>27</v>
      </c>
      <c r="J247">
        <v>4.8399999999999997E-3</v>
      </c>
      <c r="K247">
        <v>-7.2098227872046454</v>
      </c>
    </row>
    <row r="248" spans="1:11" x14ac:dyDescent="0.3">
      <c r="A248">
        <v>1.6666666666666667</v>
      </c>
      <c r="B248">
        <v>20</v>
      </c>
      <c r="C248">
        <v>6</v>
      </c>
      <c r="D248">
        <v>1.7</v>
      </c>
      <c r="E248">
        <v>0</v>
      </c>
      <c r="F248">
        <v>1.6745468873128448</v>
      </c>
      <c r="G248">
        <v>1.08</v>
      </c>
      <c r="H248">
        <v>0</v>
      </c>
      <c r="I248">
        <v>0</v>
      </c>
      <c r="J248">
        <v>4.8402000000000002E-3</v>
      </c>
      <c r="K248">
        <v>70.640492811232093</v>
      </c>
    </row>
    <row r="249" spans="1:11" x14ac:dyDescent="0.3">
      <c r="A249">
        <v>1.6666666666666667</v>
      </c>
      <c r="B249">
        <v>20</v>
      </c>
      <c r="C249">
        <v>6</v>
      </c>
      <c r="D249">
        <v>3.4</v>
      </c>
      <c r="E249">
        <v>7.0774191999152567</v>
      </c>
      <c r="F249">
        <v>3.3490937746256897</v>
      </c>
      <c r="G249">
        <v>1.08</v>
      </c>
      <c r="H249">
        <v>-1.7158129459734965</v>
      </c>
      <c r="I249">
        <v>4.45</v>
      </c>
      <c r="J249">
        <v>4.8402000000000002E-3</v>
      </c>
      <c r="K249">
        <v>14.658789207278613</v>
      </c>
    </row>
    <row r="250" spans="1:11" x14ac:dyDescent="0.3">
      <c r="A250">
        <v>1.6666666666666667</v>
      </c>
      <c r="B250">
        <v>20</v>
      </c>
      <c r="C250">
        <v>6</v>
      </c>
      <c r="D250">
        <v>5.0999999999999996</v>
      </c>
      <c r="E250">
        <v>12.532598493333081</v>
      </c>
      <c r="F250">
        <v>5.0236406619385336</v>
      </c>
      <c r="G250">
        <v>1.08</v>
      </c>
      <c r="H250">
        <v>-5.3802487257900102</v>
      </c>
      <c r="I250">
        <v>7.88</v>
      </c>
      <c r="J250">
        <v>4.8402000000000002E-3</v>
      </c>
      <c r="K250">
        <v>3.6661713548312815</v>
      </c>
    </row>
    <row r="251" spans="1:11" x14ac:dyDescent="0.3">
      <c r="A251">
        <v>1.6666666666666667</v>
      </c>
      <c r="B251">
        <v>20</v>
      </c>
      <c r="C251">
        <v>6</v>
      </c>
      <c r="D251">
        <v>6.8</v>
      </c>
      <c r="E251">
        <v>19.228314185837178</v>
      </c>
      <c r="F251">
        <v>6.6981875492513794</v>
      </c>
      <c r="G251">
        <v>1.08</v>
      </c>
      <c r="H251">
        <v>-12.664922018348623</v>
      </c>
      <c r="I251">
        <v>12.09</v>
      </c>
      <c r="J251">
        <v>4.8402000000000002E-3</v>
      </c>
      <c r="K251">
        <v>-1.1234023212768161</v>
      </c>
    </row>
    <row r="252" spans="1:11" x14ac:dyDescent="0.3">
      <c r="A252">
        <v>1.6666666666666667</v>
      </c>
      <c r="B252">
        <v>20</v>
      </c>
      <c r="C252">
        <v>6</v>
      </c>
      <c r="D252">
        <v>8.5</v>
      </c>
      <c r="E252">
        <v>25.446900494077322</v>
      </c>
      <c r="F252">
        <v>8.3727344365642242</v>
      </c>
      <c r="G252">
        <v>1.08</v>
      </c>
      <c r="H252">
        <v>-22.181447502548419</v>
      </c>
      <c r="I252">
        <v>16</v>
      </c>
      <c r="J252">
        <v>4.8402000000000002E-3</v>
      </c>
      <c r="K252">
        <v>-3.3824166696683622</v>
      </c>
    </row>
    <row r="253" spans="1:11" x14ac:dyDescent="0.3">
      <c r="A253">
        <v>1.6666666666666667</v>
      </c>
      <c r="B253">
        <v>20</v>
      </c>
      <c r="C253">
        <v>6</v>
      </c>
      <c r="D253">
        <v>10.199999999999999</v>
      </c>
      <c r="E253">
        <v>28.16653798438184</v>
      </c>
      <c r="F253">
        <v>10.047281323877067</v>
      </c>
      <c r="G253">
        <v>1.08</v>
      </c>
      <c r="H253">
        <v>-27.176094291539243</v>
      </c>
      <c r="I253">
        <v>17.71</v>
      </c>
      <c r="J253">
        <v>4.8402000000000002E-3</v>
      </c>
      <c r="K253">
        <v>-3.3196488103557109</v>
      </c>
    </row>
    <row r="254" spans="1:11" x14ac:dyDescent="0.3">
      <c r="A254">
        <v>1.6666666666666667</v>
      </c>
      <c r="B254">
        <v>20</v>
      </c>
      <c r="C254">
        <v>6</v>
      </c>
      <c r="D254">
        <v>12.2</v>
      </c>
      <c r="E254">
        <v>33.589908652182075</v>
      </c>
      <c r="F254">
        <v>12.017336485421591</v>
      </c>
      <c r="G254">
        <v>1.08</v>
      </c>
      <c r="H254">
        <v>-38.648954128440366</v>
      </c>
      <c r="I254">
        <v>21.12</v>
      </c>
      <c r="J254">
        <v>4.8402000000000002E-3</v>
      </c>
      <c r="K254">
        <v>-3.8791235088828175</v>
      </c>
    </row>
    <row r="255" spans="1:11" x14ac:dyDescent="0.3">
      <c r="A255">
        <v>1.6666666666666667</v>
      </c>
      <c r="B255">
        <v>30</v>
      </c>
      <c r="C255">
        <v>1</v>
      </c>
      <c r="D255">
        <v>2.6</v>
      </c>
      <c r="E255">
        <v>0</v>
      </c>
      <c r="F255">
        <v>1.7073811400052534</v>
      </c>
      <c r="G255">
        <v>1.62</v>
      </c>
      <c r="H255">
        <v>0</v>
      </c>
      <c r="I255">
        <v>0</v>
      </c>
      <c r="J255">
        <v>6.9100000000000003E-3</v>
      </c>
      <c r="K255">
        <v>67.949675222638575</v>
      </c>
    </row>
    <row r="256" spans="1:11" x14ac:dyDescent="0.3">
      <c r="A256">
        <v>1.6666666666666667</v>
      </c>
      <c r="B256">
        <v>30</v>
      </c>
      <c r="C256">
        <v>1</v>
      </c>
      <c r="D256">
        <v>5.2</v>
      </c>
      <c r="E256">
        <v>0.79521564043991633</v>
      </c>
      <c r="F256">
        <v>3.4147622800105069</v>
      </c>
      <c r="G256">
        <v>1.62</v>
      </c>
      <c r="H256">
        <v>-2.1661569826707441E-2</v>
      </c>
      <c r="I256">
        <v>0.5</v>
      </c>
      <c r="J256">
        <v>6.9100000000000003E-3</v>
      </c>
      <c r="K256">
        <v>16.950971285985091</v>
      </c>
    </row>
    <row r="257" spans="1:11" x14ac:dyDescent="0.3">
      <c r="A257">
        <v>1.6666666666666667</v>
      </c>
      <c r="B257">
        <v>30</v>
      </c>
      <c r="C257">
        <v>1</v>
      </c>
      <c r="D257">
        <v>7.8</v>
      </c>
      <c r="E257">
        <v>7.9998693428255594</v>
      </c>
      <c r="F257">
        <v>5.1221434200157594</v>
      </c>
      <c r="G257">
        <v>1.62</v>
      </c>
      <c r="H257">
        <v>-2.1922288481141692</v>
      </c>
      <c r="I257">
        <v>5.03</v>
      </c>
      <c r="J257">
        <v>6.9100000000000003E-3</v>
      </c>
      <c r="K257">
        <v>5.9105771571216597</v>
      </c>
    </row>
    <row r="258" spans="1:11" x14ac:dyDescent="0.3">
      <c r="A258">
        <v>1.6666666666666667</v>
      </c>
      <c r="B258">
        <v>30</v>
      </c>
      <c r="C258">
        <v>1</v>
      </c>
      <c r="D258">
        <v>10.4</v>
      </c>
      <c r="E258">
        <v>19.816773759762718</v>
      </c>
      <c r="F258">
        <v>6.8295245600210137</v>
      </c>
      <c r="G258">
        <v>1.62</v>
      </c>
      <c r="H258">
        <v>-13.451973496432213</v>
      </c>
      <c r="I258">
        <v>12.46</v>
      </c>
      <c r="J258">
        <v>6.9100000000000003E-3</v>
      </c>
      <c r="K258">
        <v>-1.4116810440914205</v>
      </c>
    </row>
    <row r="259" spans="1:11" x14ac:dyDescent="0.3">
      <c r="A259">
        <v>1.6666666666666667</v>
      </c>
      <c r="B259">
        <v>30</v>
      </c>
      <c r="C259">
        <v>1</v>
      </c>
      <c r="D259">
        <v>13</v>
      </c>
      <c r="E259">
        <v>26.194403196090843</v>
      </c>
      <c r="F259">
        <v>8.5369057000262671</v>
      </c>
      <c r="G259">
        <v>1.62</v>
      </c>
      <c r="H259">
        <v>-23.503747706422011</v>
      </c>
      <c r="I259">
        <v>16.47</v>
      </c>
      <c r="J259">
        <v>6.9100000000000003E-3</v>
      </c>
      <c r="K259">
        <v>-3.6095566644946637</v>
      </c>
    </row>
    <row r="260" spans="1:11" x14ac:dyDescent="0.3">
      <c r="A260">
        <v>1.6666666666666667</v>
      </c>
      <c r="B260">
        <v>30</v>
      </c>
      <c r="C260">
        <v>1</v>
      </c>
      <c r="D260">
        <v>15.6</v>
      </c>
      <c r="E260">
        <v>35.927842635075422</v>
      </c>
      <c r="F260">
        <v>10.244286840031519</v>
      </c>
      <c r="G260">
        <v>1.62</v>
      </c>
      <c r="H260">
        <v>-44.216298165137609</v>
      </c>
      <c r="I260">
        <v>22.59</v>
      </c>
      <c r="J260">
        <v>6.9100000000000003E-3</v>
      </c>
      <c r="K260">
        <v>-6.3789376948535521</v>
      </c>
    </row>
    <row r="261" spans="1:11" x14ac:dyDescent="0.3">
      <c r="A261">
        <v>1.6666666666666667</v>
      </c>
      <c r="B261">
        <v>30</v>
      </c>
      <c r="C261">
        <v>1</v>
      </c>
      <c r="D261">
        <v>18.100000000000001</v>
      </c>
      <c r="E261">
        <v>45.677186386868797</v>
      </c>
      <c r="F261">
        <v>11.885999474651957</v>
      </c>
      <c r="G261">
        <v>1.62</v>
      </c>
      <c r="H261">
        <v>-71.469178389398564</v>
      </c>
      <c r="I261">
        <v>28.72</v>
      </c>
      <c r="J261">
        <v>6.9100000000000003E-3</v>
      </c>
      <c r="K261">
        <v>-8.5232691842023076</v>
      </c>
    </row>
    <row r="262" spans="1:11" x14ac:dyDescent="0.3">
      <c r="A262">
        <v>1.6666666666666667</v>
      </c>
      <c r="B262">
        <v>30</v>
      </c>
      <c r="C262">
        <v>2</v>
      </c>
      <c r="D262">
        <v>2.6</v>
      </c>
      <c r="E262">
        <v>0</v>
      </c>
      <c r="F262">
        <v>1.7073811400052534</v>
      </c>
      <c r="G262">
        <v>1.62</v>
      </c>
      <c r="H262">
        <v>0</v>
      </c>
      <c r="I262">
        <v>0</v>
      </c>
      <c r="J262">
        <v>6.9100000000000003E-3</v>
      </c>
      <c r="K262">
        <v>67.949675222638575</v>
      </c>
    </row>
    <row r="263" spans="1:11" x14ac:dyDescent="0.3">
      <c r="A263">
        <v>1.6666666666666667</v>
      </c>
      <c r="B263">
        <v>30</v>
      </c>
      <c r="C263">
        <v>2</v>
      </c>
      <c r="D263">
        <v>5.2</v>
      </c>
      <c r="E263">
        <v>8.0316779684431552</v>
      </c>
      <c r="F263">
        <v>3.4147622800105069</v>
      </c>
      <c r="G263">
        <v>1.62</v>
      </c>
      <c r="H263">
        <v>-2.2096967380224255</v>
      </c>
      <c r="I263">
        <v>5.05</v>
      </c>
      <c r="J263">
        <v>6.9100000000000003E-3</v>
      </c>
      <c r="K263">
        <v>13.269407323658168</v>
      </c>
    </row>
    <row r="264" spans="1:11" x14ac:dyDescent="0.3">
      <c r="A264">
        <v>1.6666666666666667</v>
      </c>
      <c r="B264">
        <v>30</v>
      </c>
      <c r="C264">
        <v>2</v>
      </c>
      <c r="D264">
        <v>7.8</v>
      </c>
      <c r="E264">
        <v>14.902341101844033</v>
      </c>
      <c r="F264">
        <v>5.1221434200157594</v>
      </c>
      <c r="G264">
        <v>1.62</v>
      </c>
      <c r="H264">
        <v>-7.6072747196738</v>
      </c>
      <c r="I264">
        <v>9.3699999999999992</v>
      </c>
      <c r="J264">
        <v>6.9100000000000003E-3</v>
      </c>
      <c r="K264">
        <v>1.8611119311997659</v>
      </c>
    </row>
    <row r="265" spans="1:11" x14ac:dyDescent="0.3">
      <c r="A265">
        <v>1.6666666666666667</v>
      </c>
      <c r="B265">
        <v>30</v>
      </c>
      <c r="C265">
        <v>2</v>
      </c>
      <c r="D265">
        <v>10.4</v>
      </c>
      <c r="E265">
        <v>24.842536607342986</v>
      </c>
      <c r="F265">
        <v>6.8295245600210137</v>
      </c>
      <c r="G265">
        <v>1.62</v>
      </c>
      <c r="H265">
        <v>-21.140340468909272</v>
      </c>
      <c r="I265">
        <v>15.62</v>
      </c>
      <c r="J265">
        <v>6.9100000000000003E-3</v>
      </c>
      <c r="K265">
        <v>-4.6457715178698802</v>
      </c>
    </row>
    <row r="266" spans="1:11" x14ac:dyDescent="0.3">
      <c r="A266">
        <v>1.6666666666666667</v>
      </c>
      <c r="B266">
        <v>30</v>
      </c>
      <c r="C266">
        <v>2</v>
      </c>
      <c r="D266">
        <v>13</v>
      </c>
      <c r="E266">
        <v>35.800608132605035</v>
      </c>
      <c r="F266">
        <v>8.5369057000262671</v>
      </c>
      <c r="G266">
        <v>1.62</v>
      </c>
      <c r="H266">
        <v>-43.903678389398578</v>
      </c>
      <c r="I266">
        <v>22.51</v>
      </c>
      <c r="J266">
        <v>6.9100000000000003E-3</v>
      </c>
      <c r="K266">
        <v>-9.1015085839582053</v>
      </c>
    </row>
    <row r="267" spans="1:11" x14ac:dyDescent="0.3">
      <c r="A267">
        <v>1.6666666666666667</v>
      </c>
      <c r="B267">
        <v>30</v>
      </c>
      <c r="C267">
        <v>2</v>
      </c>
      <c r="D267">
        <v>15.6</v>
      </c>
      <c r="E267">
        <v>45.740803638103998</v>
      </c>
      <c r="F267">
        <v>10.244286840031519</v>
      </c>
      <c r="G267">
        <v>1.62</v>
      </c>
      <c r="H267">
        <v>-71.66839551478084</v>
      </c>
      <c r="I267">
        <v>28.76</v>
      </c>
      <c r="J267">
        <v>6.9100000000000003E-3</v>
      </c>
      <c r="K267">
        <v>-11.511226332511249</v>
      </c>
    </row>
    <row r="268" spans="1:11" x14ac:dyDescent="0.3">
      <c r="A268">
        <v>1.6666666666666667</v>
      </c>
      <c r="B268">
        <v>30</v>
      </c>
      <c r="C268">
        <v>2</v>
      </c>
      <c r="D268">
        <v>18.100000000000001</v>
      </c>
      <c r="E268">
        <v>53.024978904533633</v>
      </c>
      <c r="F268">
        <v>11.885999474651957</v>
      </c>
      <c r="G268">
        <v>1.62</v>
      </c>
      <c r="H268">
        <v>-96.312156982670757</v>
      </c>
      <c r="I268">
        <v>33.340000000000003</v>
      </c>
      <c r="J268">
        <v>6.9100000000000003E-3</v>
      </c>
      <c r="K268">
        <v>-11.973365780868228</v>
      </c>
    </row>
    <row r="269" spans="1:11" x14ac:dyDescent="0.3">
      <c r="A269">
        <v>1.6666666666666667</v>
      </c>
      <c r="B269">
        <v>30</v>
      </c>
      <c r="C269">
        <v>4</v>
      </c>
      <c r="D269">
        <v>2.6</v>
      </c>
      <c r="E269">
        <v>0</v>
      </c>
      <c r="F269">
        <v>1.7073811400052534</v>
      </c>
      <c r="G269">
        <v>1.62</v>
      </c>
      <c r="H269">
        <v>0</v>
      </c>
      <c r="I269">
        <v>0</v>
      </c>
      <c r="J269">
        <v>6.9100000000000003E-3</v>
      </c>
      <c r="K269">
        <v>67.949675222638575</v>
      </c>
    </row>
    <row r="270" spans="1:11" x14ac:dyDescent="0.3">
      <c r="A270">
        <v>1.6666666666666667</v>
      </c>
      <c r="B270">
        <v>30</v>
      </c>
      <c r="C270">
        <v>4</v>
      </c>
      <c r="D270">
        <v>5.2</v>
      </c>
      <c r="E270">
        <v>8.2384340349575336</v>
      </c>
      <c r="F270">
        <v>3.4147622800105069</v>
      </c>
      <c r="G270">
        <v>1.62</v>
      </c>
      <c r="H270">
        <v>-2.3249276248725783</v>
      </c>
      <c r="I270">
        <v>5.18</v>
      </c>
      <c r="J270">
        <v>6.9100000000000003E-3</v>
      </c>
      <c r="K270">
        <v>13.075521097997399</v>
      </c>
    </row>
    <row r="271" spans="1:11" x14ac:dyDescent="0.3">
      <c r="A271">
        <v>1.6666666666666667</v>
      </c>
      <c r="B271">
        <v>30</v>
      </c>
      <c r="C271">
        <v>4</v>
      </c>
      <c r="D271">
        <v>7.8</v>
      </c>
      <c r="E271">
        <v>14.027603897360127</v>
      </c>
      <c r="F271">
        <v>5.1221434200157594</v>
      </c>
      <c r="G271">
        <v>1.62</v>
      </c>
      <c r="H271">
        <v>-6.7404220183486236</v>
      </c>
      <c r="I271">
        <v>8.82</v>
      </c>
      <c r="J271">
        <v>6.9100000000000003E-3</v>
      </c>
      <c r="K271">
        <v>2.5093594166826048</v>
      </c>
    </row>
    <row r="272" spans="1:11" x14ac:dyDescent="0.3">
      <c r="A272">
        <v>1.6666666666666667</v>
      </c>
      <c r="B272">
        <v>30</v>
      </c>
      <c r="C272">
        <v>4</v>
      </c>
      <c r="D272">
        <v>10.4</v>
      </c>
      <c r="E272">
        <v>21.248161912554565</v>
      </c>
      <c r="F272">
        <v>6.8295245600210137</v>
      </c>
      <c r="G272">
        <v>1.62</v>
      </c>
      <c r="H272">
        <v>-15.465459734964321</v>
      </c>
      <c r="I272">
        <v>13.36</v>
      </c>
      <c r="J272">
        <v>6.9100000000000003E-3</v>
      </c>
      <c r="K272">
        <v>-2.2586485062887571</v>
      </c>
    </row>
    <row r="273" spans="1:11" x14ac:dyDescent="0.3">
      <c r="A273">
        <v>1.6666666666666667</v>
      </c>
      <c r="B273">
        <v>30</v>
      </c>
      <c r="C273">
        <v>4</v>
      </c>
      <c r="D273">
        <v>13</v>
      </c>
      <c r="E273">
        <v>30.45675902884879</v>
      </c>
      <c r="F273">
        <v>8.5369057000262671</v>
      </c>
      <c r="G273">
        <v>1.62</v>
      </c>
      <c r="H273">
        <v>-31.775140163098875</v>
      </c>
      <c r="I273">
        <v>19.149999999999999</v>
      </c>
      <c r="J273">
        <v>6.9100000000000003E-3</v>
      </c>
      <c r="K273">
        <v>-5.8363333327600202</v>
      </c>
    </row>
    <row r="274" spans="1:11" x14ac:dyDescent="0.3">
      <c r="A274">
        <v>1.6666666666666667</v>
      </c>
      <c r="B274">
        <v>30</v>
      </c>
      <c r="C274">
        <v>4</v>
      </c>
      <c r="D274">
        <v>15.6</v>
      </c>
      <c r="E274">
        <v>37.438752351911262</v>
      </c>
      <c r="F274">
        <v>10.244286840031519</v>
      </c>
      <c r="G274">
        <v>1.62</v>
      </c>
      <c r="H274">
        <v>-48.01344138634046</v>
      </c>
      <c r="I274">
        <v>23.54</v>
      </c>
      <c r="J274">
        <v>6.9100000000000003E-3</v>
      </c>
      <c r="K274">
        <v>-7.0888300852792918</v>
      </c>
    </row>
    <row r="275" spans="1:11" x14ac:dyDescent="0.3">
      <c r="A275">
        <v>1.6666666666666667</v>
      </c>
      <c r="B275">
        <v>30</v>
      </c>
      <c r="C275">
        <v>4</v>
      </c>
      <c r="D275">
        <v>18.100000000000001</v>
      </c>
      <c r="E275">
        <v>43.29153946554905</v>
      </c>
      <c r="F275">
        <v>11.885999474651957</v>
      </c>
      <c r="G275">
        <v>1.62</v>
      </c>
      <c r="H275">
        <v>-64.198689092762464</v>
      </c>
      <c r="I275">
        <v>27.22</v>
      </c>
      <c r="J275">
        <v>6.9100000000000003E-3</v>
      </c>
      <c r="K275">
        <v>-7.5135718049511233</v>
      </c>
    </row>
    <row r="276" spans="1:11" x14ac:dyDescent="0.3">
      <c r="A276">
        <v>1.6666666666666667</v>
      </c>
      <c r="B276">
        <v>30</v>
      </c>
      <c r="C276">
        <v>6</v>
      </c>
      <c r="D276">
        <v>2.6</v>
      </c>
      <c r="E276">
        <v>0</v>
      </c>
      <c r="F276">
        <v>1.7073811400052534</v>
      </c>
      <c r="G276">
        <v>1.62</v>
      </c>
      <c r="H276">
        <v>0</v>
      </c>
      <c r="I276">
        <v>0</v>
      </c>
      <c r="J276">
        <v>6.9102E-3</v>
      </c>
      <c r="K276">
        <v>67.949675222638575</v>
      </c>
    </row>
    <row r="277" spans="1:11" x14ac:dyDescent="0.3">
      <c r="A277">
        <v>1.6666666666666667</v>
      </c>
      <c r="B277">
        <v>30</v>
      </c>
      <c r="C277">
        <v>6</v>
      </c>
      <c r="D277">
        <v>5.2</v>
      </c>
      <c r="E277">
        <v>1.3518665887478578</v>
      </c>
      <c r="F277">
        <v>3.4147622800105069</v>
      </c>
      <c r="G277">
        <v>1.62</v>
      </c>
      <c r="H277">
        <v>-6.2601936799184493E-2</v>
      </c>
      <c r="I277">
        <v>0.85</v>
      </c>
      <c r="J277">
        <v>6.9102E-3</v>
      </c>
      <c r="K277">
        <v>16.882085473800178</v>
      </c>
    </row>
    <row r="278" spans="1:11" x14ac:dyDescent="0.3">
      <c r="A278">
        <v>1.6666666666666667</v>
      </c>
      <c r="B278">
        <v>30</v>
      </c>
      <c r="C278">
        <v>6</v>
      </c>
      <c r="D278">
        <v>7.8</v>
      </c>
      <c r="E278">
        <v>13.13696238006742</v>
      </c>
      <c r="F278">
        <v>5.1221434200157594</v>
      </c>
      <c r="G278">
        <v>1.62</v>
      </c>
      <c r="H278">
        <v>-5.9116676860346571</v>
      </c>
      <c r="I278">
        <v>8.26</v>
      </c>
      <c r="J278">
        <v>6.9102E-3</v>
      </c>
      <c r="K278">
        <v>3.1291162810082866</v>
      </c>
    </row>
    <row r="279" spans="1:11" x14ac:dyDescent="0.3">
      <c r="A279">
        <v>1.6666666666666667</v>
      </c>
      <c r="B279">
        <v>30</v>
      </c>
      <c r="C279">
        <v>6</v>
      </c>
      <c r="D279">
        <v>10.4</v>
      </c>
      <c r="E279">
        <v>18.449002858206061</v>
      </c>
      <c r="F279">
        <v>6.8295245600210137</v>
      </c>
      <c r="G279">
        <v>1.62</v>
      </c>
      <c r="H279">
        <v>-11.659123343527012</v>
      </c>
      <c r="I279">
        <v>11.6</v>
      </c>
      <c r="J279">
        <v>6.9102E-3</v>
      </c>
      <c r="K279">
        <v>-0.65752354599337237</v>
      </c>
    </row>
    <row r="280" spans="1:11" x14ac:dyDescent="0.3">
      <c r="A280">
        <v>1.6666666666666667</v>
      </c>
      <c r="B280">
        <v>30</v>
      </c>
      <c r="C280">
        <v>6</v>
      </c>
      <c r="D280">
        <v>13</v>
      </c>
      <c r="E280">
        <v>18.194533853265284</v>
      </c>
      <c r="F280">
        <v>8.5369057000262671</v>
      </c>
      <c r="G280">
        <v>1.62</v>
      </c>
      <c r="H280">
        <v>-11.339710499490314</v>
      </c>
      <c r="I280">
        <v>11.44</v>
      </c>
      <c r="J280">
        <v>6.9102E-3</v>
      </c>
      <c r="K280">
        <v>-0.33482458205765636</v>
      </c>
    </row>
    <row r="281" spans="1:11" x14ac:dyDescent="0.3">
      <c r="A281">
        <v>1.6666666666666667</v>
      </c>
      <c r="B281">
        <v>30</v>
      </c>
      <c r="C281">
        <v>6</v>
      </c>
      <c r="D281">
        <v>15.6</v>
      </c>
      <c r="E281">
        <v>24.413120161505429</v>
      </c>
      <c r="F281">
        <v>10.244286840031519</v>
      </c>
      <c r="G281">
        <v>1.62</v>
      </c>
      <c r="H281">
        <v>-20.415812945973496</v>
      </c>
      <c r="I281">
        <v>15.35</v>
      </c>
      <c r="J281">
        <v>6.9102E-3</v>
      </c>
      <c r="K281">
        <v>-1.9293337791569829</v>
      </c>
    </row>
    <row r="282" spans="1:11" x14ac:dyDescent="0.3">
      <c r="A282">
        <v>1.6666666666666667</v>
      </c>
      <c r="B282">
        <v>30</v>
      </c>
      <c r="C282">
        <v>6</v>
      </c>
      <c r="D282">
        <v>18.100000000000001</v>
      </c>
      <c r="E282">
        <v>31.029314289965544</v>
      </c>
      <c r="F282">
        <v>11.885999474651957</v>
      </c>
      <c r="G282">
        <v>1.62</v>
      </c>
      <c r="H282">
        <v>-32.981048419979615</v>
      </c>
      <c r="I282">
        <v>19.510000000000002</v>
      </c>
      <c r="J282">
        <v>6.9102E-3</v>
      </c>
      <c r="K282">
        <v>-3.1781868414799801</v>
      </c>
    </row>
    <row r="283" spans="1:11" x14ac:dyDescent="0.3">
      <c r="A283">
        <v>1.6666666666666667</v>
      </c>
      <c r="B283">
        <v>40</v>
      </c>
      <c r="C283">
        <v>1</v>
      </c>
      <c r="D283">
        <v>3.2</v>
      </c>
      <c r="E283">
        <v>0</v>
      </c>
      <c r="F283">
        <v>1.5760441292356187</v>
      </c>
      <c r="G283">
        <v>2.16</v>
      </c>
      <c r="H283">
        <v>0</v>
      </c>
      <c r="I283">
        <v>0</v>
      </c>
      <c r="J283">
        <v>8.7799999999999996E-3</v>
      </c>
      <c r="K283">
        <v>79.746493837680006</v>
      </c>
    </row>
    <row r="284" spans="1:11" x14ac:dyDescent="0.3">
      <c r="A284">
        <v>1.6666666666666667</v>
      </c>
      <c r="B284">
        <v>40</v>
      </c>
      <c r="C284">
        <v>1</v>
      </c>
      <c r="D284">
        <v>6.4</v>
      </c>
      <c r="E284">
        <v>0</v>
      </c>
      <c r="F284">
        <v>3.1520882584712373</v>
      </c>
      <c r="G284">
        <v>2.16</v>
      </c>
      <c r="H284">
        <v>0</v>
      </c>
      <c r="I284">
        <v>0</v>
      </c>
      <c r="J284">
        <v>8.7799999999999996E-3</v>
      </c>
      <c r="K284">
        <v>19.936623459420002</v>
      </c>
    </row>
    <row r="285" spans="1:11" x14ac:dyDescent="0.3">
      <c r="A285">
        <v>1.6666666666666667</v>
      </c>
      <c r="B285">
        <v>40</v>
      </c>
      <c r="C285">
        <v>1</v>
      </c>
      <c r="D285">
        <v>9.6</v>
      </c>
      <c r="E285">
        <v>1.7812830345854131</v>
      </c>
      <c r="F285">
        <v>4.7281323877068555</v>
      </c>
      <c r="G285">
        <v>2.16</v>
      </c>
      <c r="H285">
        <v>-0.10868909276248725</v>
      </c>
      <c r="I285">
        <v>1.1200000000000001</v>
      </c>
      <c r="J285">
        <v>8.7799999999999996E-3</v>
      </c>
      <c r="K285">
        <v>8.7653309090400011</v>
      </c>
    </row>
    <row r="286" spans="1:11" x14ac:dyDescent="0.3">
      <c r="A286">
        <v>1.6666666666666667</v>
      </c>
      <c r="B286">
        <v>40</v>
      </c>
      <c r="C286">
        <v>1</v>
      </c>
      <c r="D286">
        <v>12.8</v>
      </c>
      <c r="E286">
        <v>5.5347008574618179</v>
      </c>
      <c r="F286">
        <v>6.3041765169424746</v>
      </c>
      <c r="G286">
        <v>2.16</v>
      </c>
      <c r="H286">
        <v>-1.049321100917431</v>
      </c>
      <c r="I286">
        <v>3.48</v>
      </c>
      <c r="J286">
        <v>8.7799999999999996E-3</v>
      </c>
      <c r="K286">
        <v>4.4661309124724999</v>
      </c>
    </row>
    <row r="287" spans="1:11" x14ac:dyDescent="0.3">
      <c r="A287">
        <v>1.6666666666666667</v>
      </c>
      <c r="B287">
        <v>40</v>
      </c>
      <c r="C287">
        <v>1</v>
      </c>
      <c r="D287">
        <v>16</v>
      </c>
      <c r="E287">
        <v>10.226473136057324</v>
      </c>
      <c r="F287">
        <v>7.8802206461780937</v>
      </c>
      <c r="G287">
        <v>2.16</v>
      </c>
      <c r="H287">
        <v>-3.5823817533129456</v>
      </c>
      <c r="I287">
        <v>6.43</v>
      </c>
      <c r="J287">
        <v>8.7799999999999996E-3</v>
      </c>
      <c r="K287">
        <v>2.0579961068558998</v>
      </c>
    </row>
    <row r="288" spans="1:11" x14ac:dyDescent="0.3">
      <c r="A288">
        <v>1.6666666666666667</v>
      </c>
      <c r="B288">
        <v>40</v>
      </c>
      <c r="C288">
        <v>1</v>
      </c>
      <c r="D288">
        <v>19.2</v>
      </c>
      <c r="E288">
        <v>19.276027124263571</v>
      </c>
      <c r="F288">
        <v>9.456264775413711</v>
      </c>
      <c r="G288">
        <v>2.16</v>
      </c>
      <c r="H288">
        <v>-12.727853211009172</v>
      </c>
      <c r="I288">
        <v>12.12</v>
      </c>
      <c r="J288">
        <v>8.7799999999999996E-3</v>
      </c>
      <c r="K288">
        <v>-0.57745935098999968</v>
      </c>
    </row>
    <row r="289" spans="1:11" x14ac:dyDescent="0.3">
      <c r="A289">
        <v>1.6666666666666667</v>
      </c>
      <c r="B289">
        <v>40</v>
      </c>
      <c r="C289">
        <v>1</v>
      </c>
      <c r="D289">
        <v>22.3</v>
      </c>
      <c r="E289">
        <v>27.196374903045143</v>
      </c>
      <c r="F289">
        <v>10.983057525610718</v>
      </c>
      <c r="G289">
        <v>2.16</v>
      </c>
      <c r="H289">
        <v>-25.336238532110091</v>
      </c>
      <c r="I289">
        <v>17.100000000000001</v>
      </c>
      <c r="J289">
        <v>8.7799999999999996E-3</v>
      </c>
      <c r="K289">
        <v>-2.4788157724178577</v>
      </c>
    </row>
    <row r="290" spans="1:11" x14ac:dyDescent="0.3">
      <c r="A290">
        <v>1.6666666666666667</v>
      </c>
      <c r="B290">
        <v>40</v>
      </c>
      <c r="C290">
        <v>2</v>
      </c>
      <c r="D290">
        <v>3.2</v>
      </c>
      <c r="E290">
        <v>0</v>
      </c>
      <c r="F290">
        <v>1.5760441292356187</v>
      </c>
      <c r="G290">
        <v>2.16</v>
      </c>
      <c r="H290">
        <v>0</v>
      </c>
      <c r="I290">
        <v>0</v>
      </c>
      <c r="J290">
        <v>8.7799999999999996E-3</v>
      </c>
      <c r="K290">
        <v>79.746493837680006</v>
      </c>
    </row>
    <row r="291" spans="1:11" x14ac:dyDescent="0.3">
      <c r="A291">
        <v>1.6666666666666667</v>
      </c>
      <c r="B291">
        <v>40</v>
      </c>
      <c r="C291">
        <v>2</v>
      </c>
      <c r="D291">
        <v>6.4</v>
      </c>
      <c r="E291">
        <v>0.63617251235193317</v>
      </c>
      <c r="F291">
        <v>3.1520882584712373</v>
      </c>
      <c r="G291">
        <v>2.16</v>
      </c>
      <c r="H291">
        <v>-1.3863404689092763E-2</v>
      </c>
      <c r="I291">
        <v>0.4</v>
      </c>
      <c r="J291">
        <v>8.7799999999999996E-3</v>
      </c>
      <c r="K291">
        <v>19.909247322420001</v>
      </c>
    </row>
    <row r="292" spans="1:11" x14ac:dyDescent="0.3">
      <c r="A292">
        <v>1.6666666666666667</v>
      </c>
      <c r="B292">
        <v>40</v>
      </c>
      <c r="C292">
        <v>2</v>
      </c>
      <c r="D292">
        <v>9.6</v>
      </c>
      <c r="E292">
        <v>4.5804420889339186</v>
      </c>
      <c r="F292">
        <v>4.7281323877068555</v>
      </c>
      <c r="G292">
        <v>2.16</v>
      </c>
      <c r="H292">
        <v>-0.71867889908256877</v>
      </c>
      <c r="I292">
        <v>2.88</v>
      </c>
      <c r="J292">
        <v>8.7799999999999996E-3</v>
      </c>
      <c r="K292">
        <v>8.2299753410400012</v>
      </c>
    </row>
    <row r="293" spans="1:11" x14ac:dyDescent="0.3">
      <c r="A293">
        <v>1.6666666666666667</v>
      </c>
      <c r="B293">
        <v>40</v>
      </c>
      <c r="C293">
        <v>2</v>
      </c>
      <c r="D293">
        <v>12.8</v>
      </c>
      <c r="E293">
        <v>12.437172616480293</v>
      </c>
      <c r="F293">
        <v>6.3041765169424746</v>
      </c>
      <c r="G293">
        <v>2.16</v>
      </c>
      <c r="H293">
        <v>-5.2986279306829767</v>
      </c>
      <c r="I293">
        <v>7.82</v>
      </c>
      <c r="J293">
        <v>8.7799999999999996E-3</v>
      </c>
      <c r="K293">
        <v>2.3683488644193749</v>
      </c>
    </row>
    <row r="294" spans="1:11" x14ac:dyDescent="0.3">
      <c r="A294">
        <v>1.6666666666666667</v>
      </c>
      <c r="B294">
        <v>40</v>
      </c>
      <c r="C294">
        <v>2</v>
      </c>
      <c r="D294">
        <v>16</v>
      </c>
      <c r="E294">
        <v>20.866458405143401</v>
      </c>
      <c r="F294">
        <v>7.8802206461780937</v>
      </c>
      <c r="G294">
        <v>2.16</v>
      </c>
      <c r="H294">
        <v>-14.914805300713555</v>
      </c>
      <c r="I294">
        <v>13.12</v>
      </c>
      <c r="J294">
        <v>8.7799999999999996E-3</v>
      </c>
      <c r="K294">
        <v>-1.5225151633055989</v>
      </c>
    </row>
    <row r="295" spans="1:11" x14ac:dyDescent="0.3">
      <c r="A295">
        <v>1.6666666666666667</v>
      </c>
      <c r="B295">
        <v>40</v>
      </c>
      <c r="C295">
        <v>2</v>
      </c>
      <c r="D295">
        <v>19.2</v>
      </c>
      <c r="E295">
        <v>26.862384334060373</v>
      </c>
      <c r="F295">
        <v>9.456264775413711</v>
      </c>
      <c r="G295">
        <v>2.16</v>
      </c>
      <c r="H295">
        <v>-24.717766055045871</v>
      </c>
      <c r="I295">
        <v>16.89</v>
      </c>
      <c r="J295">
        <v>8.7799999999999996E-3</v>
      </c>
      <c r="K295">
        <v>-3.2081863460906255</v>
      </c>
    </row>
    <row r="296" spans="1:11" x14ac:dyDescent="0.3">
      <c r="A296">
        <v>1.6666666666666667</v>
      </c>
      <c r="B296">
        <v>40</v>
      </c>
      <c r="C296">
        <v>2</v>
      </c>
      <c r="D296">
        <v>22.3</v>
      </c>
      <c r="E296">
        <v>37.931786048984016</v>
      </c>
      <c r="F296">
        <v>10.983057525610718</v>
      </c>
      <c r="G296">
        <v>2.16</v>
      </c>
      <c r="H296">
        <v>-49.286353211009178</v>
      </c>
      <c r="I296">
        <v>23.85</v>
      </c>
      <c r="J296">
        <v>8.7799999999999996E-3</v>
      </c>
      <c r="K296">
        <v>-6.3742877423734177</v>
      </c>
    </row>
    <row r="297" spans="1:11" x14ac:dyDescent="0.3">
      <c r="A297">
        <v>1.6666666666666667</v>
      </c>
      <c r="B297">
        <v>40</v>
      </c>
      <c r="C297">
        <v>4</v>
      </c>
      <c r="D297">
        <v>3.2</v>
      </c>
      <c r="E297">
        <v>0</v>
      </c>
      <c r="F297">
        <v>1.5760441292356187</v>
      </c>
      <c r="G297">
        <v>2.16</v>
      </c>
      <c r="H297">
        <v>0</v>
      </c>
      <c r="I297">
        <v>0</v>
      </c>
      <c r="J297">
        <v>8.7799999999999996E-3</v>
      </c>
      <c r="K297">
        <v>79.746493837680006</v>
      </c>
    </row>
    <row r="298" spans="1:11" x14ac:dyDescent="0.3">
      <c r="A298">
        <v>1.6666666666666667</v>
      </c>
      <c r="B298">
        <v>40</v>
      </c>
      <c r="C298">
        <v>4</v>
      </c>
      <c r="D298">
        <v>6.4</v>
      </c>
      <c r="E298">
        <v>0.63617251235193317</v>
      </c>
      <c r="F298">
        <v>3.1520882584712373</v>
      </c>
      <c r="G298">
        <v>2.16</v>
      </c>
      <c r="H298">
        <v>-1.3863404689092763E-2</v>
      </c>
      <c r="I298">
        <v>0.4</v>
      </c>
      <c r="J298">
        <v>8.7799999999999996E-3</v>
      </c>
      <c r="K298">
        <v>19.909247322420001</v>
      </c>
    </row>
    <row r="299" spans="1:11" x14ac:dyDescent="0.3">
      <c r="A299">
        <v>1.6666666666666667</v>
      </c>
      <c r="B299">
        <v>40</v>
      </c>
      <c r="C299">
        <v>4</v>
      </c>
      <c r="D299">
        <v>9.6</v>
      </c>
      <c r="E299">
        <v>5.4869879190354229</v>
      </c>
      <c r="F299">
        <v>4.7281323877068555</v>
      </c>
      <c r="G299">
        <v>2.16</v>
      </c>
      <c r="H299">
        <v>-1.0313073394495413</v>
      </c>
      <c r="I299">
        <v>3.45</v>
      </c>
      <c r="J299">
        <v>8.7799999999999996E-3</v>
      </c>
      <c r="K299">
        <v>7.9555980079575006</v>
      </c>
    </row>
    <row r="300" spans="1:11" x14ac:dyDescent="0.3">
      <c r="A300">
        <v>1.6666666666666667</v>
      </c>
      <c r="B300">
        <v>40</v>
      </c>
      <c r="C300">
        <v>4</v>
      </c>
      <c r="D300">
        <v>12.8</v>
      </c>
      <c r="E300">
        <v>13.868560769272142</v>
      </c>
      <c r="F300">
        <v>6.3041765169424746</v>
      </c>
      <c r="G300">
        <v>2.16</v>
      </c>
      <c r="H300">
        <v>-6.5884444444444448</v>
      </c>
      <c r="I300">
        <v>8.7200000000000006</v>
      </c>
      <c r="J300">
        <v>8.7799999999999996E-3</v>
      </c>
      <c r="K300">
        <v>1.7315970278849999</v>
      </c>
    </row>
    <row r="301" spans="1:11" x14ac:dyDescent="0.3">
      <c r="A301">
        <v>1.6666666666666667</v>
      </c>
      <c r="B301">
        <v>40</v>
      </c>
      <c r="C301">
        <v>4</v>
      </c>
      <c r="D301">
        <v>16</v>
      </c>
      <c r="E301">
        <v>22.456889686023239</v>
      </c>
      <c r="F301">
        <v>7.8802206461780937</v>
      </c>
      <c r="G301">
        <v>2.16</v>
      </c>
      <c r="H301">
        <v>-17.275049949031597</v>
      </c>
      <c r="I301">
        <v>14.12</v>
      </c>
      <c r="J301">
        <v>8.7799999999999996E-3</v>
      </c>
      <c r="K301">
        <v>-2.2682411351855989</v>
      </c>
    </row>
    <row r="302" spans="1:11" x14ac:dyDescent="0.3">
      <c r="A302">
        <v>1.6666666666666667</v>
      </c>
      <c r="B302">
        <v>40</v>
      </c>
      <c r="C302">
        <v>4</v>
      </c>
      <c r="D302">
        <v>19.2</v>
      </c>
      <c r="E302">
        <v>25.399187555650933</v>
      </c>
      <c r="F302">
        <v>9.456264775413711</v>
      </c>
      <c r="G302">
        <v>2.16</v>
      </c>
      <c r="H302">
        <v>-22.098345056065241</v>
      </c>
      <c r="I302">
        <v>15.97</v>
      </c>
      <c r="J302">
        <v>8.7799999999999996E-3</v>
      </c>
      <c r="K302">
        <v>-2.6334547677056261</v>
      </c>
    </row>
    <row r="303" spans="1:11" x14ac:dyDescent="0.3">
      <c r="A303">
        <v>1.6666666666666667</v>
      </c>
      <c r="B303">
        <v>40</v>
      </c>
      <c r="C303">
        <v>4</v>
      </c>
      <c r="D303">
        <v>22.3</v>
      </c>
      <c r="E303">
        <v>29.343457132232913</v>
      </c>
      <c r="F303">
        <v>10.983057525610718</v>
      </c>
      <c r="G303">
        <v>2.16</v>
      </c>
      <c r="H303">
        <v>-29.494610091743112</v>
      </c>
      <c r="I303">
        <v>18.45</v>
      </c>
      <c r="J303">
        <v>8.7799999999999996E-3</v>
      </c>
      <c r="K303">
        <v>-3.1551724441244269</v>
      </c>
    </row>
    <row r="304" spans="1:11" x14ac:dyDescent="0.3">
      <c r="A304">
        <v>1.6666666666666667</v>
      </c>
      <c r="B304">
        <v>40</v>
      </c>
      <c r="C304">
        <v>6</v>
      </c>
      <c r="D304">
        <v>3.2</v>
      </c>
      <c r="E304">
        <v>0</v>
      </c>
      <c r="F304">
        <v>1.5760441292356187</v>
      </c>
      <c r="G304">
        <v>2.16</v>
      </c>
      <c r="H304">
        <v>0</v>
      </c>
      <c r="I304">
        <v>0</v>
      </c>
      <c r="J304">
        <v>8.7798000000000008E-3</v>
      </c>
      <c r="K304">
        <v>79.746493837680006</v>
      </c>
    </row>
    <row r="305" spans="1:11" x14ac:dyDescent="0.3">
      <c r="A305">
        <v>1.6666666666666667</v>
      </c>
      <c r="B305">
        <v>40</v>
      </c>
      <c r="C305">
        <v>6</v>
      </c>
      <c r="D305">
        <v>6.4</v>
      </c>
      <c r="E305">
        <v>0</v>
      </c>
      <c r="F305">
        <v>3.1520882584712373</v>
      </c>
      <c r="G305">
        <v>2.16</v>
      </c>
      <c r="H305">
        <v>0</v>
      </c>
      <c r="I305">
        <v>0</v>
      </c>
      <c r="J305">
        <v>8.7798000000000008E-3</v>
      </c>
      <c r="K305">
        <v>19.936623459420002</v>
      </c>
    </row>
    <row r="306" spans="1:11" x14ac:dyDescent="0.3">
      <c r="A306">
        <v>1.6666666666666667</v>
      </c>
      <c r="B306">
        <v>40</v>
      </c>
      <c r="C306">
        <v>6</v>
      </c>
      <c r="D306">
        <v>9.6</v>
      </c>
      <c r="E306">
        <v>3.1490539361420691</v>
      </c>
      <c r="F306">
        <v>4.7281323877068555</v>
      </c>
      <c r="G306">
        <v>2.16</v>
      </c>
      <c r="H306">
        <v>-0.33968807339449536</v>
      </c>
      <c r="I306">
        <v>1.98</v>
      </c>
      <c r="J306">
        <v>8.7798000000000008E-3</v>
      </c>
      <c r="K306">
        <v>8.5625954055900024</v>
      </c>
    </row>
    <row r="307" spans="1:11" x14ac:dyDescent="0.3">
      <c r="A307">
        <v>1.6666666666666667</v>
      </c>
      <c r="B307">
        <v>40</v>
      </c>
      <c r="C307">
        <v>6</v>
      </c>
      <c r="D307">
        <v>12.8</v>
      </c>
      <c r="E307">
        <v>8.6678504807950887</v>
      </c>
      <c r="F307">
        <v>6.3041765169424746</v>
      </c>
      <c r="G307">
        <v>2.16</v>
      </c>
      <c r="H307">
        <v>-2.5736111111111111</v>
      </c>
      <c r="I307">
        <v>5.45</v>
      </c>
      <c r="J307">
        <v>8.7798000000000008E-3</v>
      </c>
      <c r="K307">
        <v>3.7136250691635939</v>
      </c>
    </row>
    <row r="308" spans="1:11" x14ac:dyDescent="0.3">
      <c r="A308">
        <v>1.6666666666666667</v>
      </c>
      <c r="B308">
        <v>40</v>
      </c>
      <c r="C308">
        <v>6</v>
      </c>
      <c r="D308">
        <v>16</v>
      </c>
      <c r="E308">
        <v>10.894454274026852</v>
      </c>
      <c r="F308">
        <v>7.8802206461780937</v>
      </c>
      <c r="G308">
        <v>2.16</v>
      </c>
      <c r="H308">
        <v>-4.0656600407747181</v>
      </c>
      <c r="I308">
        <v>6.85</v>
      </c>
      <c r="J308">
        <v>8.7798000000000008E-3</v>
      </c>
      <c r="K308">
        <v>1.9053029651247002</v>
      </c>
    </row>
    <row r="309" spans="1:11" x14ac:dyDescent="0.3">
      <c r="A309">
        <v>1.6666666666666667</v>
      </c>
      <c r="B309">
        <v>40</v>
      </c>
      <c r="C309">
        <v>6</v>
      </c>
      <c r="D309">
        <v>19.2</v>
      </c>
      <c r="E309">
        <v>14.743297973756048</v>
      </c>
      <c r="F309">
        <v>9.456264775413711</v>
      </c>
      <c r="G309">
        <v>2.16</v>
      </c>
      <c r="H309">
        <v>-7.4457660550458709</v>
      </c>
      <c r="I309">
        <v>9.27</v>
      </c>
      <c r="J309">
        <v>8.7798000000000008E-3</v>
      </c>
      <c r="K309">
        <v>0.58149229881937525</v>
      </c>
    </row>
    <row r="310" spans="1:11" x14ac:dyDescent="0.3">
      <c r="A310">
        <v>1.6666666666666667</v>
      </c>
      <c r="B310">
        <v>40</v>
      </c>
      <c r="C310">
        <v>6</v>
      </c>
      <c r="D310">
        <v>22.3</v>
      </c>
      <c r="E310">
        <v>18.528524422250051</v>
      </c>
      <c r="F310">
        <v>10.983057525610718</v>
      </c>
      <c r="G310">
        <v>2.16</v>
      </c>
      <c r="H310">
        <v>-11.759849643221202</v>
      </c>
      <c r="I310">
        <v>11.65</v>
      </c>
      <c r="J310">
        <v>8.7798000000000008E-3</v>
      </c>
      <c r="K310">
        <v>-0.27062415918614224</v>
      </c>
    </row>
    <row r="311" spans="1:11" x14ac:dyDescent="0.3">
      <c r="A311">
        <v>1.6666666666666667</v>
      </c>
      <c r="B311">
        <v>60</v>
      </c>
      <c r="C311">
        <v>1</v>
      </c>
      <c r="D311">
        <v>4.2</v>
      </c>
      <c r="E311">
        <v>0</v>
      </c>
      <c r="F311">
        <v>1.3790386130811663</v>
      </c>
      <c r="G311">
        <v>3.24</v>
      </c>
      <c r="H311">
        <v>0</v>
      </c>
      <c r="I311">
        <v>0</v>
      </c>
      <c r="J311">
        <v>1.205E-2</v>
      </c>
      <c r="K311">
        <v>104.15868582880654</v>
      </c>
    </row>
    <row r="312" spans="1:11" x14ac:dyDescent="0.3">
      <c r="A312">
        <v>1.6666666666666667</v>
      </c>
      <c r="B312">
        <v>60</v>
      </c>
      <c r="C312">
        <v>1</v>
      </c>
      <c r="D312">
        <v>8.4</v>
      </c>
      <c r="E312">
        <v>0</v>
      </c>
      <c r="F312">
        <v>2.7580772261623325</v>
      </c>
      <c r="G312">
        <v>3.24</v>
      </c>
      <c r="H312">
        <v>0</v>
      </c>
      <c r="I312">
        <v>0</v>
      </c>
      <c r="J312">
        <v>1.205E-2</v>
      </c>
      <c r="K312">
        <v>26.039671457201635</v>
      </c>
    </row>
    <row r="313" spans="1:11" x14ac:dyDescent="0.3">
      <c r="A313">
        <v>1.6666666666666667</v>
      </c>
      <c r="B313">
        <v>60</v>
      </c>
      <c r="C313">
        <v>1</v>
      </c>
      <c r="D313">
        <v>12.6</v>
      </c>
      <c r="E313">
        <v>7.4273140817088192</v>
      </c>
      <c r="F313">
        <v>4.1371158392434983</v>
      </c>
      <c r="G313">
        <v>3.24</v>
      </c>
      <c r="H313">
        <v>-1.8896600407747193</v>
      </c>
      <c r="I313">
        <v>4.67</v>
      </c>
      <c r="J313">
        <v>1.205E-2</v>
      </c>
      <c r="K313">
        <v>9.4070433352849001</v>
      </c>
    </row>
    <row r="314" spans="1:11" x14ac:dyDescent="0.3">
      <c r="A314">
        <v>1.6666666666666667</v>
      </c>
      <c r="B314">
        <v>60</v>
      </c>
      <c r="C314">
        <v>1</v>
      </c>
      <c r="D314">
        <v>16.8</v>
      </c>
      <c r="E314">
        <v>11.864617355363553</v>
      </c>
      <c r="F314">
        <v>5.5161544523246651</v>
      </c>
      <c r="G314">
        <v>3.24</v>
      </c>
      <c r="H314">
        <v>-4.8220040774719672</v>
      </c>
      <c r="I314">
        <v>7.46</v>
      </c>
      <c r="J314">
        <v>1.205E-2</v>
      </c>
      <c r="K314">
        <v>3.4006814849755109</v>
      </c>
    </row>
    <row r="315" spans="1:11" x14ac:dyDescent="0.3">
      <c r="A315">
        <v>1.6666666666666667</v>
      </c>
      <c r="B315">
        <v>60</v>
      </c>
      <c r="C315">
        <v>1</v>
      </c>
      <c r="D315">
        <v>21</v>
      </c>
      <c r="E315">
        <v>16.1746861265479</v>
      </c>
      <c r="F315">
        <v>6.8951930654058309</v>
      </c>
      <c r="G315">
        <v>3.24</v>
      </c>
      <c r="H315">
        <v>-8.9617293577981645</v>
      </c>
      <c r="I315">
        <v>10.17</v>
      </c>
      <c r="J315">
        <v>1.205E-2</v>
      </c>
      <c r="K315">
        <v>0.4680829614339922</v>
      </c>
    </row>
    <row r="316" spans="1:11" x14ac:dyDescent="0.3">
      <c r="A316">
        <v>1.6666666666666667</v>
      </c>
      <c r="B316">
        <v>60</v>
      </c>
      <c r="C316">
        <v>1</v>
      </c>
      <c r="D316">
        <v>25.2</v>
      </c>
      <c r="E316">
        <v>18.146820914838891</v>
      </c>
      <c r="F316">
        <v>8.2742316784869967</v>
      </c>
      <c r="G316">
        <v>3.24</v>
      </c>
      <c r="H316">
        <v>-11.280314475025483</v>
      </c>
      <c r="I316">
        <v>11.41</v>
      </c>
      <c r="J316">
        <v>1.205E-2</v>
      </c>
      <c r="K316">
        <v>-0.33939910010204044</v>
      </c>
    </row>
    <row r="317" spans="1:11" x14ac:dyDescent="0.3">
      <c r="A317">
        <v>1.6666666666666667</v>
      </c>
      <c r="B317">
        <v>60</v>
      </c>
      <c r="C317">
        <v>1</v>
      </c>
      <c r="D317">
        <v>29.5</v>
      </c>
      <c r="E317">
        <v>22.218324993891265</v>
      </c>
      <c r="F317">
        <v>9.6861045442605729</v>
      </c>
      <c r="G317">
        <v>3.24</v>
      </c>
      <c r="H317">
        <v>-16.909965851172274</v>
      </c>
      <c r="I317">
        <v>13.97</v>
      </c>
      <c r="J317">
        <v>1.205E-2</v>
      </c>
      <c r="K317">
        <v>-1.4249533655790791</v>
      </c>
    </row>
    <row r="318" spans="1:11" x14ac:dyDescent="0.3">
      <c r="A318">
        <v>1.6666666666666667</v>
      </c>
      <c r="B318">
        <v>60</v>
      </c>
      <c r="C318">
        <v>2</v>
      </c>
      <c r="D318">
        <v>4.2</v>
      </c>
      <c r="E318">
        <v>0</v>
      </c>
      <c r="F318">
        <v>1.3790386130811663</v>
      </c>
      <c r="G318">
        <v>3.24</v>
      </c>
      <c r="H318">
        <v>0</v>
      </c>
      <c r="I318">
        <v>0</v>
      </c>
      <c r="J318">
        <v>1.205E-2</v>
      </c>
      <c r="K318">
        <v>104.15868582880654</v>
      </c>
    </row>
    <row r="319" spans="1:11" x14ac:dyDescent="0.3">
      <c r="A319">
        <v>1.6666666666666667</v>
      </c>
      <c r="B319">
        <v>60</v>
      </c>
      <c r="C319">
        <v>2</v>
      </c>
      <c r="D319">
        <v>8.4</v>
      </c>
      <c r="E319">
        <v>0</v>
      </c>
      <c r="F319">
        <v>2.7580772261623325</v>
      </c>
      <c r="G319">
        <v>3.24</v>
      </c>
      <c r="H319">
        <v>0</v>
      </c>
      <c r="I319">
        <v>0</v>
      </c>
      <c r="J319">
        <v>1.205E-2</v>
      </c>
      <c r="K319">
        <v>26.039671457201635</v>
      </c>
    </row>
    <row r="320" spans="1:11" x14ac:dyDescent="0.3">
      <c r="A320">
        <v>1.6666666666666667</v>
      </c>
      <c r="B320">
        <v>60</v>
      </c>
      <c r="C320">
        <v>2</v>
      </c>
      <c r="D320">
        <v>12.6</v>
      </c>
      <c r="E320">
        <v>7.5227399585616102</v>
      </c>
      <c r="F320">
        <v>4.1371158392434983</v>
      </c>
      <c r="G320">
        <v>3.24</v>
      </c>
      <c r="H320">
        <v>-1.9385285423037719</v>
      </c>
      <c r="I320">
        <v>4.7300000000000004</v>
      </c>
      <c r="J320">
        <v>1.205E-2</v>
      </c>
      <c r="K320">
        <v>9.3510246821583713</v>
      </c>
    </row>
    <row r="321" spans="1:11" x14ac:dyDescent="0.3">
      <c r="A321">
        <v>1.6666666666666667</v>
      </c>
      <c r="B321">
        <v>60</v>
      </c>
      <c r="C321">
        <v>2</v>
      </c>
      <c r="D321">
        <v>16.8</v>
      </c>
      <c r="E321">
        <v>12.119086360304326</v>
      </c>
      <c r="F321">
        <v>5.5161544523246651</v>
      </c>
      <c r="G321">
        <v>3.24</v>
      </c>
      <c r="H321">
        <v>-5.0310642201834863</v>
      </c>
      <c r="I321">
        <v>7.62</v>
      </c>
      <c r="J321">
        <v>1.205E-2</v>
      </c>
      <c r="K321">
        <v>3.2658791516008168</v>
      </c>
    </row>
    <row r="322" spans="1:11" x14ac:dyDescent="0.3">
      <c r="A322">
        <v>1.6666666666666667</v>
      </c>
      <c r="B322">
        <v>60</v>
      </c>
      <c r="C322">
        <v>2</v>
      </c>
      <c r="D322">
        <v>21</v>
      </c>
      <c r="E322">
        <v>17.876447597089317</v>
      </c>
      <c r="F322">
        <v>6.8951930654058309</v>
      </c>
      <c r="G322">
        <v>3.24</v>
      </c>
      <c r="H322">
        <v>-10.946682976554536</v>
      </c>
      <c r="I322">
        <v>11.24</v>
      </c>
      <c r="J322">
        <v>1.205E-2</v>
      </c>
      <c r="K322">
        <v>-0.35105396551053053</v>
      </c>
    </row>
    <row r="323" spans="1:11" x14ac:dyDescent="0.3">
      <c r="A323">
        <v>1.6666666666666667</v>
      </c>
      <c r="B323">
        <v>60</v>
      </c>
      <c r="C323">
        <v>2</v>
      </c>
      <c r="D323">
        <v>25.2</v>
      </c>
      <c r="E323">
        <v>21.391300727833748</v>
      </c>
      <c r="F323">
        <v>8.2742316784869967</v>
      </c>
      <c r="G323">
        <v>3.24</v>
      </c>
      <c r="H323">
        <v>-15.674528542303767</v>
      </c>
      <c r="I323">
        <v>13.45</v>
      </c>
      <c r="J323">
        <v>1.205E-2</v>
      </c>
      <c r="K323">
        <v>-1.5986865035240807</v>
      </c>
    </row>
    <row r="324" spans="1:11" x14ac:dyDescent="0.3">
      <c r="A324">
        <v>1.6666666666666667</v>
      </c>
      <c r="B324">
        <v>60</v>
      </c>
      <c r="C324">
        <v>2</v>
      </c>
      <c r="D324">
        <v>29.4</v>
      </c>
      <c r="E324">
        <v>28.150633671573036</v>
      </c>
      <c r="F324">
        <v>9.6532702915681625</v>
      </c>
      <c r="G324">
        <v>3.24</v>
      </c>
      <c r="H324">
        <v>-27.145412844036695</v>
      </c>
      <c r="I324">
        <v>17.7</v>
      </c>
      <c r="J324">
        <v>1.205E-2</v>
      </c>
      <c r="K324">
        <v>-3.5897110918602588</v>
      </c>
    </row>
    <row r="325" spans="1:11" x14ac:dyDescent="0.3">
      <c r="A325">
        <v>1.6666666666666667</v>
      </c>
      <c r="B325">
        <v>60</v>
      </c>
      <c r="C325">
        <v>4</v>
      </c>
      <c r="D325">
        <v>4.2</v>
      </c>
      <c r="E325">
        <v>0</v>
      </c>
      <c r="F325">
        <v>1.3790386130811663</v>
      </c>
      <c r="G325">
        <v>3.24</v>
      </c>
      <c r="H325">
        <v>0</v>
      </c>
      <c r="I325">
        <v>0</v>
      </c>
      <c r="J325">
        <v>1.205E-2</v>
      </c>
      <c r="K325">
        <v>104.15868582880654</v>
      </c>
    </row>
    <row r="326" spans="1:11" x14ac:dyDescent="0.3">
      <c r="A326">
        <v>1.6666666666666667</v>
      </c>
      <c r="B326">
        <v>60</v>
      </c>
      <c r="C326">
        <v>4</v>
      </c>
      <c r="D326">
        <v>8.4</v>
      </c>
      <c r="E326">
        <v>0</v>
      </c>
      <c r="F326">
        <v>2.7580772261623325</v>
      </c>
      <c r="G326">
        <v>3.24</v>
      </c>
      <c r="H326">
        <v>0</v>
      </c>
      <c r="I326">
        <v>0</v>
      </c>
      <c r="J326">
        <v>1.205E-2</v>
      </c>
      <c r="K326">
        <v>26.039671457201635</v>
      </c>
    </row>
    <row r="327" spans="1:11" x14ac:dyDescent="0.3">
      <c r="A327">
        <v>1.6666666666666667</v>
      </c>
      <c r="B327">
        <v>60</v>
      </c>
      <c r="C327">
        <v>4</v>
      </c>
      <c r="D327">
        <v>12.6</v>
      </c>
      <c r="E327">
        <v>5.8845957392553814</v>
      </c>
      <c r="F327">
        <v>4.1371158392434983</v>
      </c>
      <c r="G327">
        <v>3.24</v>
      </c>
      <c r="H327">
        <v>-1.1861875637104995</v>
      </c>
      <c r="I327">
        <v>3.7</v>
      </c>
      <c r="J327">
        <v>1.205E-2</v>
      </c>
      <c r="K327">
        <v>10.213443765903676</v>
      </c>
    </row>
    <row r="328" spans="1:11" x14ac:dyDescent="0.3">
      <c r="A328">
        <v>1.6666666666666667</v>
      </c>
      <c r="B328">
        <v>60</v>
      </c>
      <c r="C328">
        <v>4</v>
      </c>
      <c r="D328">
        <v>16.8</v>
      </c>
      <c r="E328">
        <v>5.1689016628594571</v>
      </c>
      <c r="F328">
        <v>5.5161544523246651</v>
      </c>
      <c r="G328">
        <v>3.24</v>
      </c>
      <c r="H328">
        <v>-0.91520132517838937</v>
      </c>
      <c r="I328">
        <v>3.25</v>
      </c>
      <c r="J328">
        <v>1.205E-2</v>
      </c>
      <c r="K328">
        <v>5.9197945029483687</v>
      </c>
    </row>
    <row r="329" spans="1:11" x14ac:dyDescent="0.3">
      <c r="A329">
        <v>1.6666666666666667</v>
      </c>
      <c r="B329">
        <v>60</v>
      </c>
      <c r="C329">
        <v>4</v>
      </c>
      <c r="D329">
        <v>21</v>
      </c>
      <c r="E329">
        <v>8.8905108601182654</v>
      </c>
      <c r="F329">
        <v>6.8951930654058309</v>
      </c>
      <c r="G329">
        <v>3.24</v>
      </c>
      <c r="H329">
        <v>-2.7075316004077465</v>
      </c>
      <c r="I329">
        <v>5.59</v>
      </c>
      <c r="J329">
        <v>1.205E-2</v>
      </c>
      <c r="K329">
        <v>3.0490220237289805</v>
      </c>
    </row>
    <row r="330" spans="1:11" x14ac:dyDescent="0.3">
      <c r="A330">
        <v>1.6666666666666667</v>
      </c>
      <c r="B330">
        <v>60</v>
      </c>
      <c r="C330">
        <v>4</v>
      </c>
      <c r="D330">
        <v>25.2</v>
      </c>
      <c r="E330">
        <v>12.866589062317848</v>
      </c>
      <c r="F330">
        <v>8.2742316784869967</v>
      </c>
      <c r="G330">
        <v>3.24</v>
      </c>
      <c r="H330">
        <v>-5.6708343527013243</v>
      </c>
      <c r="I330">
        <v>8.09</v>
      </c>
      <c r="J330">
        <v>1.205E-2</v>
      </c>
      <c r="K330">
        <v>1.2681574616938782</v>
      </c>
    </row>
    <row r="331" spans="1:11" x14ac:dyDescent="0.3">
      <c r="A331">
        <v>1.6666666666666667</v>
      </c>
      <c r="B331">
        <v>60</v>
      </c>
      <c r="C331">
        <v>4</v>
      </c>
      <c r="D331">
        <v>29.3</v>
      </c>
      <c r="E331">
        <v>16.22239906497429</v>
      </c>
      <c r="F331">
        <v>9.6204360388757539</v>
      </c>
      <c r="G331">
        <v>3.24</v>
      </c>
      <c r="H331">
        <v>-9.0146788990825684</v>
      </c>
      <c r="I331">
        <v>10.199999999999999</v>
      </c>
      <c r="J331">
        <v>1.205E-2</v>
      </c>
      <c r="K331">
        <v>0.22922615403285693</v>
      </c>
    </row>
    <row r="332" spans="1:11" x14ac:dyDescent="0.3">
      <c r="A332">
        <v>1.6666666666666667</v>
      </c>
      <c r="B332">
        <v>60</v>
      </c>
      <c r="C332">
        <v>6</v>
      </c>
      <c r="D332">
        <v>4.2</v>
      </c>
      <c r="E332">
        <v>0</v>
      </c>
      <c r="F332">
        <v>1.3790386130811663</v>
      </c>
      <c r="G332">
        <v>3.24</v>
      </c>
      <c r="H332">
        <v>0</v>
      </c>
      <c r="I332">
        <v>0</v>
      </c>
      <c r="J332">
        <v>1.2049800000000001E-2</v>
      </c>
      <c r="K332">
        <v>104.15868582880654</v>
      </c>
    </row>
    <row r="333" spans="1:11" x14ac:dyDescent="0.3">
      <c r="A333">
        <v>1.6666666666666667</v>
      </c>
      <c r="B333">
        <v>60</v>
      </c>
      <c r="C333">
        <v>6</v>
      </c>
      <c r="D333">
        <v>8.4</v>
      </c>
      <c r="E333">
        <v>0</v>
      </c>
      <c r="F333">
        <v>2.7580772261623325</v>
      </c>
      <c r="G333">
        <v>3.24</v>
      </c>
      <c r="H333">
        <v>0</v>
      </c>
      <c r="I333">
        <v>0</v>
      </c>
      <c r="J333">
        <v>1.2049800000000001E-2</v>
      </c>
      <c r="K333">
        <v>26.039671457201635</v>
      </c>
    </row>
    <row r="334" spans="1:11" x14ac:dyDescent="0.3">
      <c r="A334">
        <v>1.6666666666666667</v>
      </c>
      <c r="B334">
        <v>60</v>
      </c>
      <c r="C334">
        <v>6</v>
      </c>
      <c r="D334">
        <v>12.6</v>
      </c>
      <c r="E334">
        <v>0</v>
      </c>
      <c r="F334">
        <v>4.1371158392434983</v>
      </c>
      <c r="G334">
        <v>3.24</v>
      </c>
      <c r="H334">
        <v>0</v>
      </c>
      <c r="I334">
        <v>0</v>
      </c>
      <c r="J334">
        <v>1.2049800000000001E-2</v>
      </c>
      <c r="K334">
        <v>11.57318731431184</v>
      </c>
    </row>
    <row r="335" spans="1:11" x14ac:dyDescent="0.3">
      <c r="A335">
        <v>1.6666666666666667</v>
      </c>
      <c r="B335">
        <v>60</v>
      </c>
      <c r="C335">
        <v>6</v>
      </c>
      <c r="D335">
        <v>16.8</v>
      </c>
      <c r="E335">
        <v>0</v>
      </c>
      <c r="F335">
        <v>5.5161544523246651</v>
      </c>
      <c r="G335">
        <v>3.24</v>
      </c>
      <c r="H335">
        <v>0</v>
      </c>
      <c r="I335">
        <v>0</v>
      </c>
      <c r="J335">
        <v>1.2049800000000001E-2</v>
      </c>
      <c r="K335">
        <v>6.5099178643004088</v>
      </c>
    </row>
    <row r="336" spans="1:11" x14ac:dyDescent="0.3">
      <c r="A336">
        <v>1.6666666666666667</v>
      </c>
      <c r="B336">
        <v>60</v>
      </c>
      <c r="C336">
        <v>6</v>
      </c>
      <c r="D336">
        <v>21</v>
      </c>
      <c r="E336">
        <v>1.2723450247038663</v>
      </c>
      <c r="F336">
        <v>6.8951930654058309</v>
      </c>
      <c r="G336">
        <v>3.24</v>
      </c>
      <c r="H336">
        <v>-5.5453618756371052E-2</v>
      </c>
      <c r="I336">
        <v>0.8</v>
      </c>
      <c r="J336">
        <v>1.2049800000000001E-2</v>
      </c>
      <c r="K336">
        <v>4.1434632174069561</v>
      </c>
    </row>
    <row r="337" spans="1:11" x14ac:dyDescent="0.3">
      <c r="A337">
        <v>1.6666666666666667</v>
      </c>
      <c r="B337">
        <v>60</v>
      </c>
      <c r="C337">
        <v>6</v>
      </c>
      <c r="D337">
        <v>25.2</v>
      </c>
      <c r="E337">
        <v>3.1013409977156741</v>
      </c>
      <c r="F337">
        <v>8.2742316784869967</v>
      </c>
      <c r="G337">
        <v>3.24</v>
      </c>
      <c r="H337">
        <v>-0.32947247706422017</v>
      </c>
      <c r="I337">
        <v>1.95</v>
      </c>
      <c r="J337">
        <v>1.2049800000000001E-2</v>
      </c>
      <c r="K337">
        <v>2.7988770907616334</v>
      </c>
    </row>
    <row r="338" spans="1:11" x14ac:dyDescent="0.3">
      <c r="A338">
        <v>1.6666666666666667</v>
      </c>
      <c r="B338">
        <v>60</v>
      </c>
      <c r="C338">
        <v>6</v>
      </c>
      <c r="D338">
        <v>29.4</v>
      </c>
      <c r="E338">
        <v>3.2285755001860599</v>
      </c>
      <c r="F338">
        <v>9.6532702915681625</v>
      </c>
      <c r="G338">
        <v>3.24</v>
      </c>
      <c r="H338">
        <v>-0.35706065239551465</v>
      </c>
      <c r="I338">
        <v>2.0299999999999998</v>
      </c>
      <c r="J338">
        <v>1.2049800000000001E-2</v>
      </c>
      <c r="K338">
        <v>2.0505092415119708</v>
      </c>
    </row>
    <row r="339" spans="1:11" x14ac:dyDescent="0.3">
      <c r="A339">
        <v>1</v>
      </c>
      <c r="B339">
        <v>10</v>
      </c>
      <c r="C339">
        <v>1</v>
      </c>
      <c r="D339">
        <v>1</v>
      </c>
      <c r="E339">
        <v>0</v>
      </c>
      <c r="F339">
        <v>1.9451683939213145</v>
      </c>
      <c r="G339">
        <v>5.8784999999999998</v>
      </c>
      <c r="H339">
        <v>0</v>
      </c>
      <c r="I339">
        <v>0</v>
      </c>
      <c r="J339">
        <v>5.5425090000000002E-3</v>
      </c>
      <c r="K339">
        <v>52.35207939747584</v>
      </c>
    </row>
    <row r="340" spans="1:11" x14ac:dyDescent="0.3">
      <c r="A340">
        <v>1</v>
      </c>
      <c r="B340">
        <v>10</v>
      </c>
      <c r="C340">
        <v>1</v>
      </c>
      <c r="D340">
        <v>2</v>
      </c>
      <c r="E340">
        <v>3.61027900759722</v>
      </c>
      <c r="F340">
        <v>3.8903367878426289</v>
      </c>
      <c r="G340">
        <v>5.8784999999999998</v>
      </c>
      <c r="H340">
        <v>-0.446479612640163</v>
      </c>
      <c r="I340">
        <v>2.27</v>
      </c>
      <c r="J340">
        <v>5.5425090000000002E-3</v>
      </c>
      <c r="K340">
        <v>12.509222896855785</v>
      </c>
    </row>
    <row r="341" spans="1:11" x14ac:dyDescent="0.3">
      <c r="A341">
        <v>1</v>
      </c>
      <c r="B341">
        <v>10</v>
      </c>
      <c r="C341">
        <v>1</v>
      </c>
      <c r="D341">
        <v>3</v>
      </c>
      <c r="E341">
        <v>10.003812756734147</v>
      </c>
      <c r="F341">
        <v>5.835505181763943</v>
      </c>
      <c r="G341">
        <v>5.8784999999999998</v>
      </c>
      <c r="H341">
        <v>-3.4280820591233434</v>
      </c>
      <c r="I341">
        <v>6.29</v>
      </c>
      <c r="J341">
        <v>5.5425090000000002E-3</v>
      </c>
      <c r="K341">
        <v>3.8417785862016682</v>
      </c>
    </row>
    <row r="342" spans="1:11" x14ac:dyDescent="0.3">
      <c r="A342">
        <v>1</v>
      </c>
      <c r="B342">
        <v>10</v>
      </c>
      <c r="C342">
        <v>1</v>
      </c>
      <c r="D342">
        <v>4</v>
      </c>
      <c r="E342">
        <v>15.522609301387169</v>
      </c>
      <c r="F342">
        <v>7.7806735756852579</v>
      </c>
      <c r="G342">
        <v>5.8784999999999998</v>
      </c>
      <c r="H342">
        <v>-8.2537166156982664</v>
      </c>
      <c r="I342">
        <v>9.76</v>
      </c>
      <c r="J342">
        <v>5.5425090000000002E-3</v>
      </c>
      <c r="K342">
        <v>0.59706422102574574</v>
      </c>
    </row>
    <row r="343" spans="1:11" x14ac:dyDescent="0.3">
      <c r="A343">
        <v>1</v>
      </c>
      <c r="B343">
        <v>10</v>
      </c>
      <c r="C343">
        <v>1</v>
      </c>
      <c r="D343">
        <v>5</v>
      </c>
      <c r="E343">
        <v>18.051395037986101</v>
      </c>
      <c r="F343">
        <v>9.7258419696065719</v>
      </c>
      <c r="G343">
        <v>5.8784999999999998</v>
      </c>
      <c r="H343">
        <v>-11.161990316004076</v>
      </c>
      <c r="I343">
        <v>11.35</v>
      </c>
      <c r="J343">
        <v>5.5425090000000002E-3</v>
      </c>
      <c r="K343">
        <v>-0.22110463415366771</v>
      </c>
    </row>
    <row r="344" spans="1:11" x14ac:dyDescent="0.3">
      <c r="A344">
        <v>1</v>
      </c>
      <c r="B344">
        <v>10</v>
      </c>
      <c r="C344">
        <v>1</v>
      </c>
      <c r="D344">
        <v>6</v>
      </c>
      <c r="E344">
        <v>22.727263003772809</v>
      </c>
      <c r="F344">
        <v>11.671010363527886</v>
      </c>
      <c r="G344">
        <v>5.8784999999999998</v>
      </c>
      <c r="H344">
        <v>-17.693525484199792</v>
      </c>
      <c r="I344">
        <v>14.29</v>
      </c>
      <c r="J344">
        <v>5.5425090000000002E-3</v>
      </c>
      <c r="K344">
        <v>-1.0943450028976647</v>
      </c>
    </row>
    <row r="345" spans="1:11" x14ac:dyDescent="0.3">
      <c r="A345">
        <v>1</v>
      </c>
      <c r="B345">
        <v>10</v>
      </c>
      <c r="C345">
        <v>1</v>
      </c>
      <c r="D345">
        <v>7.2</v>
      </c>
      <c r="E345">
        <v>27.832547415397073</v>
      </c>
      <c r="F345">
        <v>14.005212436233464</v>
      </c>
      <c r="G345">
        <v>5.8784999999999998</v>
      </c>
      <c r="H345">
        <v>-26.535423037716615</v>
      </c>
      <c r="I345">
        <v>17.5</v>
      </c>
      <c r="J345">
        <v>5.5425090000000002E-3</v>
      </c>
      <c r="K345">
        <v>-1.6443950958897089</v>
      </c>
    </row>
    <row r="346" spans="1:11" x14ac:dyDescent="0.3">
      <c r="A346">
        <v>1</v>
      </c>
      <c r="B346">
        <v>10</v>
      </c>
      <c r="C346">
        <v>2</v>
      </c>
      <c r="D346">
        <v>1</v>
      </c>
      <c r="E346">
        <v>0.42411500823462206</v>
      </c>
      <c r="F346">
        <v>1.9451683939213145</v>
      </c>
      <c r="G346">
        <v>5.8784999999999998</v>
      </c>
      <c r="H346">
        <v>-3.1192660550458714E-2</v>
      </c>
      <c r="I346">
        <v>0.6</v>
      </c>
      <c r="J346">
        <v>5.5425099999999996E-3</v>
      </c>
      <c r="K346">
        <v>52.190332107286046</v>
      </c>
    </row>
    <row r="347" spans="1:11" x14ac:dyDescent="0.3">
      <c r="A347">
        <v>1</v>
      </c>
      <c r="B347">
        <v>10</v>
      </c>
      <c r="C347">
        <v>2</v>
      </c>
      <c r="D347">
        <v>2</v>
      </c>
      <c r="E347">
        <v>3.117245310524472</v>
      </c>
      <c r="F347">
        <v>3.8903367878426289</v>
      </c>
      <c r="G347">
        <v>5.8784999999999998</v>
      </c>
      <c r="H347">
        <v>-0.33286034658511721</v>
      </c>
      <c r="I347">
        <v>1.96</v>
      </c>
      <c r="J347">
        <v>5.5425099999999996E-3</v>
      </c>
      <c r="K347">
        <v>12.656514022984865</v>
      </c>
    </row>
    <row r="348" spans="1:11" x14ac:dyDescent="0.3">
      <c r="A348">
        <v>1</v>
      </c>
      <c r="B348">
        <v>10</v>
      </c>
      <c r="C348">
        <v>2</v>
      </c>
      <c r="D348">
        <v>3</v>
      </c>
      <c r="E348">
        <v>11.228444843011619</v>
      </c>
      <c r="F348">
        <v>5.835505181763943</v>
      </c>
      <c r="G348">
        <v>5.8784999999999998</v>
      </c>
      <c r="H348">
        <v>-4.3187624872578994</v>
      </c>
      <c r="I348">
        <v>7.06</v>
      </c>
      <c r="J348">
        <v>5.5425099999999996E-3</v>
      </c>
      <c r="K348">
        <v>3.3286053548726704</v>
      </c>
    </row>
    <row r="349" spans="1:11" x14ac:dyDescent="0.3">
      <c r="A349">
        <v>1</v>
      </c>
      <c r="B349">
        <v>10</v>
      </c>
      <c r="C349">
        <v>2</v>
      </c>
      <c r="D349">
        <v>4</v>
      </c>
      <c r="E349">
        <v>21.136831722892978</v>
      </c>
      <c r="F349">
        <v>7.7806735756852579</v>
      </c>
      <c r="G349">
        <v>5.8784999999999998</v>
      </c>
      <c r="H349">
        <v>-15.303821100917427</v>
      </c>
      <c r="I349">
        <v>13.29</v>
      </c>
      <c r="J349">
        <v>5.5425099999999996E-3</v>
      </c>
      <c r="K349">
        <v>-1.6877987802290459</v>
      </c>
    </row>
    <row r="350" spans="1:11" x14ac:dyDescent="0.3">
      <c r="A350">
        <v>1</v>
      </c>
      <c r="B350">
        <v>10</v>
      </c>
      <c r="C350">
        <v>2</v>
      </c>
      <c r="D350">
        <v>5</v>
      </c>
      <c r="E350">
        <v>28.91404068639536</v>
      </c>
      <c r="F350">
        <v>9.7258419696065719</v>
      </c>
      <c r="G350">
        <v>5.8784999999999998</v>
      </c>
      <c r="H350">
        <v>-28.637669724770642</v>
      </c>
      <c r="I350">
        <v>18.18</v>
      </c>
      <c r="J350">
        <v>5.5425099999999996E-3</v>
      </c>
      <c r="K350">
        <v>-3.8458596101147653</v>
      </c>
    </row>
    <row r="351" spans="1:11" x14ac:dyDescent="0.3">
      <c r="A351">
        <v>1</v>
      </c>
      <c r="B351">
        <v>10</v>
      </c>
      <c r="C351">
        <v>2</v>
      </c>
      <c r="D351">
        <v>6</v>
      </c>
      <c r="E351">
        <v>34.401028605430774</v>
      </c>
      <c r="F351">
        <v>11.671010363527886</v>
      </c>
      <c r="G351">
        <v>5.8784999999999998</v>
      </c>
      <c r="H351">
        <v>-40.538059633027515</v>
      </c>
      <c r="I351">
        <v>21.63</v>
      </c>
      <c r="J351">
        <v>5.5425099999999996E-3</v>
      </c>
      <c r="K351">
        <v>-4.3848639805944902</v>
      </c>
    </row>
    <row r="352" spans="1:11" x14ac:dyDescent="0.3">
      <c r="A352">
        <v>1</v>
      </c>
      <c r="B352">
        <v>10</v>
      </c>
      <c r="C352">
        <v>2</v>
      </c>
      <c r="D352">
        <v>7.1</v>
      </c>
      <c r="E352">
        <v>40.842275292994103</v>
      </c>
      <c r="F352">
        <v>13.810695596841331</v>
      </c>
      <c r="G352">
        <v>5.8784999999999998</v>
      </c>
      <c r="H352">
        <v>-57.139963302752292</v>
      </c>
      <c r="I352">
        <v>25.68</v>
      </c>
      <c r="J352">
        <v>5.5425099999999996E-3</v>
      </c>
      <c r="K352">
        <v>-4.8391802551833054</v>
      </c>
    </row>
    <row r="353" spans="1:11" x14ac:dyDescent="0.3">
      <c r="A353">
        <v>1</v>
      </c>
      <c r="B353">
        <v>10</v>
      </c>
      <c r="C353">
        <v>4</v>
      </c>
      <c r="D353">
        <v>1</v>
      </c>
      <c r="E353">
        <v>0.85883289167510968</v>
      </c>
      <c r="F353">
        <v>1.9451683939213145</v>
      </c>
      <c r="G353">
        <v>5.8784999999999998</v>
      </c>
      <c r="H353">
        <v>-2.5266055045871563E-2</v>
      </c>
      <c r="I353">
        <v>0.54</v>
      </c>
      <c r="J353">
        <v>5.5425079999999998E-3</v>
      </c>
      <c r="K353">
        <v>52.221064092422111</v>
      </c>
    </row>
    <row r="354" spans="1:11" x14ac:dyDescent="0.3">
      <c r="A354">
        <v>1</v>
      </c>
      <c r="B354">
        <v>10</v>
      </c>
      <c r="C354">
        <v>4</v>
      </c>
      <c r="D354">
        <v>2</v>
      </c>
      <c r="E354">
        <v>3.6898005716412117</v>
      </c>
      <c r="F354">
        <v>3.8903367878426289</v>
      </c>
      <c r="G354">
        <v>5.8784999999999998</v>
      </c>
      <c r="H354">
        <v>-0.46636493374108046</v>
      </c>
      <c r="I354">
        <v>2.3199999999999998</v>
      </c>
      <c r="J354">
        <v>5.5425079999999998E-3</v>
      </c>
      <c r="K354">
        <v>12.483444422481787</v>
      </c>
    </row>
    <row r="355" spans="1:11" x14ac:dyDescent="0.3">
      <c r="A355">
        <v>1</v>
      </c>
      <c r="B355">
        <v>10</v>
      </c>
      <c r="C355">
        <v>4</v>
      </c>
      <c r="D355">
        <v>3</v>
      </c>
      <c r="E355">
        <v>11.562435411996383</v>
      </c>
      <c r="F355">
        <v>5.835505181763943</v>
      </c>
      <c r="G355">
        <v>5.8784999999999998</v>
      </c>
      <c r="H355">
        <v>-4.579507135575942</v>
      </c>
      <c r="I355">
        <v>7.27</v>
      </c>
      <c r="J355">
        <v>5.5425079999999998E-3</v>
      </c>
      <c r="K355">
        <v>3.1783750708084306</v>
      </c>
    </row>
    <row r="356" spans="1:11" x14ac:dyDescent="0.3">
      <c r="A356">
        <v>1</v>
      </c>
      <c r="B356">
        <v>10</v>
      </c>
      <c r="C356">
        <v>4</v>
      </c>
      <c r="D356">
        <v>4</v>
      </c>
      <c r="E356">
        <v>20.723319589864222</v>
      </c>
      <c r="F356">
        <v>7.7806735756852579</v>
      </c>
      <c r="G356">
        <v>5.8784999999999998</v>
      </c>
      <c r="H356">
        <v>-14.710883282364929</v>
      </c>
      <c r="I356">
        <v>13.03</v>
      </c>
      <c r="J356">
        <v>5.5425079999999998E-3</v>
      </c>
      <c r="K356">
        <v>-1.4956340135230084</v>
      </c>
    </row>
    <row r="357" spans="1:11" x14ac:dyDescent="0.3">
      <c r="A357">
        <v>1</v>
      </c>
      <c r="B357">
        <v>10</v>
      </c>
      <c r="C357">
        <v>4</v>
      </c>
      <c r="D357">
        <v>5</v>
      </c>
      <c r="E357">
        <v>30.59989784412798</v>
      </c>
      <c r="F357">
        <v>9.7258419696065719</v>
      </c>
      <c r="G357">
        <v>5.8784999999999998</v>
      </c>
      <c r="H357">
        <v>-32.074511722731899</v>
      </c>
      <c r="I357">
        <v>19.239999999999998</v>
      </c>
      <c r="J357">
        <v>5.5425079999999998E-3</v>
      </c>
      <c r="K357">
        <v>-4.5587194562076627</v>
      </c>
    </row>
    <row r="358" spans="1:11" x14ac:dyDescent="0.3">
      <c r="A358">
        <v>1</v>
      </c>
      <c r="B358">
        <v>10</v>
      </c>
      <c r="C358">
        <v>4</v>
      </c>
      <c r="D358">
        <v>6</v>
      </c>
      <c r="E358">
        <v>38.456628371674356</v>
      </c>
      <c r="F358">
        <v>11.671010363527886</v>
      </c>
      <c r="G358">
        <v>5.8784999999999998</v>
      </c>
      <c r="H358">
        <v>-50.659688073394491</v>
      </c>
      <c r="I358">
        <v>24.18</v>
      </c>
      <c r="J358">
        <v>5.5425079999999998E-3</v>
      </c>
      <c r="K358">
        <v>-5.8427799201905941</v>
      </c>
    </row>
    <row r="359" spans="1:11" x14ac:dyDescent="0.3">
      <c r="A359">
        <v>1</v>
      </c>
      <c r="B359">
        <v>10</v>
      </c>
      <c r="C359">
        <v>4</v>
      </c>
      <c r="D359">
        <v>7.2</v>
      </c>
      <c r="E359">
        <v>47.044957288425451</v>
      </c>
      <c r="F359">
        <v>14.005212436233464</v>
      </c>
      <c r="G359">
        <v>5.8784999999999998</v>
      </c>
      <c r="H359">
        <v>-75.813449541284399</v>
      </c>
      <c r="I359">
        <v>29.58</v>
      </c>
      <c r="J359">
        <v>5.5425079999999998E-3</v>
      </c>
      <c r="K359">
        <v>-6.573555014195767</v>
      </c>
    </row>
    <row r="360" spans="1:11" x14ac:dyDescent="0.3">
      <c r="A360">
        <v>1</v>
      </c>
      <c r="B360">
        <v>10</v>
      </c>
      <c r="C360">
        <v>6</v>
      </c>
      <c r="D360">
        <v>1</v>
      </c>
      <c r="E360">
        <v>0.9542587685278997</v>
      </c>
      <c r="F360">
        <v>1.9451683939213145</v>
      </c>
      <c r="G360">
        <v>5.8784999999999998</v>
      </c>
      <c r="H360">
        <v>-3.1192660550458714E-2</v>
      </c>
      <c r="I360">
        <v>0.6</v>
      </c>
      <c r="J360">
        <v>5.5425120000000003E-3</v>
      </c>
      <c r="K360">
        <v>52.190332107286046</v>
      </c>
    </row>
    <row r="361" spans="1:11" x14ac:dyDescent="0.3">
      <c r="A361">
        <v>1</v>
      </c>
      <c r="B361">
        <v>10</v>
      </c>
      <c r="C361">
        <v>6</v>
      </c>
      <c r="D361">
        <v>2</v>
      </c>
      <c r="E361">
        <v>3.4830445051268342</v>
      </c>
      <c r="F361">
        <v>3.8903367878426289</v>
      </c>
      <c r="G361">
        <v>5.8784999999999998</v>
      </c>
      <c r="H361">
        <v>-0.41556422018348627</v>
      </c>
      <c r="I361">
        <v>2.19</v>
      </c>
      <c r="J361">
        <v>5.5425120000000003E-3</v>
      </c>
      <c r="K361">
        <v>12.54930028098059</v>
      </c>
    </row>
    <row r="362" spans="1:11" x14ac:dyDescent="0.3">
      <c r="A362">
        <v>1</v>
      </c>
      <c r="B362">
        <v>10</v>
      </c>
      <c r="C362">
        <v>6</v>
      </c>
      <c r="D362">
        <v>3</v>
      </c>
      <c r="E362">
        <v>9.7016308133669789</v>
      </c>
      <c r="F362">
        <v>5.835505181763943</v>
      </c>
      <c r="G362">
        <v>5.8784999999999998</v>
      </c>
      <c r="H362">
        <v>-3.2241080530071349</v>
      </c>
      <c r="I362">
        <v>6.1</v>
      </c>
      <c r="J362">
        <v>5.5425120000000003E-3</v>
      </c>
      <c r="K362">
        <v>3.9592999738053063</v>
      </c>
    </row>
    <row r="363" spans="1:11" x14ac:dyDescent="0.3">
      <c r="A363">
        <v>1</v>
      </c>
      <c r="B363">
        <v>10</v>
      </c>
      <c r="C363">
        <v>6</v>
      </c>
      <c r="D363">
        <v>4</v>
      </c>
      <c r="E363">
        <v>22.743167316581612</v>
      </c>
      <c r="F363">
        <v>7.7806735756852579</v>
      </c>
      <c r="G363">
        <v>5.8784999999999998</v>
      </c>
      <c r="H363">
        <v>-17.718297655453618</v>
      </c>
      <c r="I363">
        <v>14.3</v>
      </c>
      <c r="J363">
        <v>5.5425120000000003E-3</v>
      </c>
      <c r="K363">
        <v>-2.4703046506630213</v>
      </c>
    </row>
    <row r="364" spans="1:11" x14ac:dyDescent="0.3">
      <c r="A364">
        <v>1</v>
      </c>
      <c r="B364">
        <v>10</v>
      </c>
      <c r="C364">
        <v>6</v>
      </c>
      <c r="D364">
        <v>5</v>
      </c>
      <c r="E364">
        <v>31.601869551082281</v>
      </c>
      <c r="F364">
        <v>9.7258419696065719</v>
      </c>
      <c r="G364">
        <v>5.8784999999999998</v>
      </c>
      <c r="H364">
        <v>-34.209415392456677</v>
      </c>
      <c r="I364">
        <v>19.87</v>
      </c>
      <c r="J364">
        <v>5.5425120000000003E-3</v>
      </c>
      <c r="K364">
        <v>-5.0015350125602547</v>
      </c>
    </row>
    <row r="365" spans="1:11" x14ac:dyDescent="0.3">
      <c r="A365">
        <v>1</v>
      </c>
      <c r="B365">
        <v>10</v>
      </c>
      <c r="C365">
        <v>6</v>
      </c>
      <c r="D365">
        <v>6</v>
      </c>
      <c r="E365">
        <v>39.092800884026289</v>
      </c>
      <c r="F365">
        <v>11.671010363527886</v>
      </c>
      <c r="G365">
        <v>5.8784999999999998</v>
      </c>
      <c r="H365">
        <v>-52.349637104994898</v>
      </c>
      <c r="I365">
        <v>24.58</v>
      </c>
      <c r="J365">
        <v>5.5425120000000003E-3</v>
      </c>
      <c r="K365">
        <v>-6.0861996075256002</v>
      </c>
    </row>
    <row r="366" spans="1:11" x14ac:dyDescent="0.3">
      <c r="A366">
        <v>1</v>
      </c>
      <c r="B366">
        <v>10</v>
      </c>
      <c r="C366">
        <v>6</v>
      </c>
      <c r="D366">
        <v>7</v>
      </c>
      <c r="E366">
        <v>45.470430320354417</v>
      </c>
      <c r="F366">
        <v>13.6161787574492</v>
      </c>
      <c r="G366">
        <v>5.8784999999999998</v>
      </c>
      <c r="H366">
        <v>-70.823637614678901</v>
      </c>
      <c r="I366">
        <v>28.59</v>
      </c>
      <c r="J366">
        <v>5.5425120000000003E-3</v>
      </c>
      <c r="K366">
        <v>-6.4265057610708851</v>
      </c>
    </row>
    <row r="367" spans="1:11" x14ac:dyDescent="0.3">
      <c r="A367">
        <v>1</v>
      </c>
      <c r="B367">
        <v>15</v>
      </c>
      <c r="C367">
        <v>1</v>
      </c>
      <c r="D367">
        <v>1.4</v>
      </c>
      <c r="E367">
        <v>0</v>
      </c>
      <c r="F367">
        <v>1.8157240750607566</v>
      </c>
      <c r="G367">
        <v>6.5609999999999999</v>
      </c>
      <c r="H367">
        <v>0</v>
      </c>
      <c r="I367">
        <v>0</v>
      </c>
      <c r="J367">
        <v>6.6530699999999996E-3</v>
      </c>
      <c r="K367">
        <v>60.082589341705983</v>
      </c>
    </row>
    <row r="368" spans="1:11" x14ac:dyDescent="0.3">
      <c r="A368">
        <v>1</v>
      </c>
      <c r="B368">
        <v>15</v>
      </c>
      <c r="C368">
        <v>1</v>
      </c>
      <c r="D368">
        <v>2.8</v>
      </c>
      <c r="E368">
        <v>2.512881423790136</v>
      </c>
      <c r="F368">
        <v>3.6314481501215132</v>
      </c>
      <c r="G368">
        <v>6.5609999999999999</v>
      </c>
      <c r="H368">
        <v>-0.21630377166156986</v>
      </c>
      <c r="I368">
        <v>1.58</v>
      </c>
      <c r="J368">
        <v>6.6530699999999996E-3</v>
      </c>
      <c r="K368">
        <v>14.698834471772468</v>
      </c>
    </row>
    <row r="369" spans="1:11" x14ac:dyDescent="0.3">
      <c r="A369">
        <v>1</v>
      </c>
      <c r="B369">
        <v>15</v>
      </c>
      <c r="C369">
        <v>1</v>
      </c>
      <c r="D369">
        <v>4.2</v>
      </c>
      <c r="E369">
        <v>9.4153531828086106</v>
      </c>
      <c r="F369">
        <v>5.4471722251822703</v>
      </c>
      <c r="G369">
        <v>6.5609999999999999</v>
      </c>
      <c r="H369">
        <v>-3.0366401630988786</v>
      </c>
      <c r="I369">
        <v>5.92</v>
      </c>
      <c r="J369">
        <v>6.6530699999999996E-3</v>
      </c>
      <c r="K369">
        <v>4.6679060804704013</v>
      </c>
    </row>
    <row r="370" spans="1:11" x14ac:dyDescent="0.3">
      <c r="A370">
        <v>1</v>
      </c>
      <c r="B370">
        <v>15</v>
      </c>
      <c r="C370">
        <v>1</v>
      </c>
      <c r="D370">
        <v>5.6</v>
      </c>
      <c r="E370">
        <v>17.383413900016571</v>
      </c>
      <c r="F370">
        <v>7.2628963002430265</v>
      </c>
      <c r="G370">
        <v>6.5609999999999999</v>
      </c>
      <c r="H370">
        <v>-10.351189092762487</v>
      </c>
      <c r="I370">
        <v>10.93</v>
      </c>
      <c r="J370">
        <v>6.6530699999999996E-3</v>
      </c>
      <c r="K370">
        <v>-9.4916436366698623E-2</v>
      </c>
    </row>
    <row r="371" spans="1:11" x14ac:dyDescent="0.3">
      <c r="A371">
        <v>1</v>
      </c>
      <c r="B371">
        <v>15</v>
      </c>
      <c r="C371">
        <v>1</v>
      </c>
      <c r="D371">
        <v>7</v>
      </c>
      <c r="E371">
        <v>23.649713146683112</v>
      </c>
      <c r="F371">
        <v>9.0786203753037835</v>
      </c>
      <c r="G371">
        <v>6.5609999999999999</v>
      </c>
      <c r="H371">
        <v>-19.158956676860342</v>
      </c>
      <c r="I371">
        <v>14.87</v>
      </c>
      <c r="J371">
        <v>6.6530699999999996E-3</v>
      </c>
      <c r="K371">
        <v>-2.1573926475335665</v>
      </c>
    </row>
    <row r="372" spans="1:11" x14ac:dyDescent="0.3">
      <c r="A372">
        <v>1</v>
      </c>
      <c r="B372">
        <v>15</v>
      </c>
      <c r="C372">
        <v>1</v>
      </c>
      <c r="D372">
        <v>8.4</v>
      </c>
      <c r="E372">
        <v>30.106864147055234</v>
      </c>
      <c r="F372">
        <v>10.894344450364541</v>
      </c>
      <c r="G372">
        <v>6.5609999999999999</v>
      </c>
      <c r="H372">
        <v>-31.049252293577979</v>
      </c>
      <c r="I372">
        <v>18.93</v>
      </c>
      <c r="J372">
        <v>6.6530699999999996E-3</v>
      </c>
      <c r="K372">
        <v>-3.463763572284416</v>
      </c>
    </row>
    <row r="373" spans="1:11" x14ac:dyDescent="0.3">
      <c r="A373">
        <v>1</v>
      </c>
      <c r="B373">
        <v>15</v>
      </c>
      <c r="C373">
        <v>1</v>
      </c>
      <c r="D373">
        <v>9.9</v>
      </c>
      <c r="E373">
        <v>36.643536711471349</v>
      </c>
      <c r="F373">
        <v>12.83976310221535</v>
      </c>
      <c r="G373">
        <v>6.5609999999999999</v>
      </c>
      <c r="H373">
        <v>-45.995449541284401</v>
      </c>
      <c r="I373">
        <v>23.04</v>
      </c>
      <c r="J373">
        <v>6.6530699999999996E-3</v>
      </c>
      <c r="K373">
        <v>-4.2724085018788314</v>
      </c>
    </row>
    <row r="374" spans="1:11" x14ac:dyDescent="0.3">
      <c r="A374">
        <v>1</v>
      </c>
      <c r="B374">
        <v>15</v>
      </c>
      <c r="C374">
        <v>2</v>
      </c>
      <c r="D374">
        <v>1.4</v>
      </c>
      <c r="E374">
        <v>0.68388545077832807</v>
      </c>
      <c r="F374">
        <v>1.8157240750607566</v>
      </c>
      <c r="G374">
        <v>6.5609999999999999</v>
      </c>
      <c r="H374">
        <v>-1.6020897043832819E-2</v>
      </c>
      <c r="I374">
        <v>0.43</v>
      </c>
      <c r="J374">
        <v>6.6530699999999996E-3</v>
      </c>
      <c r="K374">
        <v>59.987246931051232</v>
      </c>
    </row>
    <row r="375" spans="1:11" x14ac:dyDescent="0.3">
      <c r="A375">
        <v>1</v>
      </c>
      <c r="B375">
        <v>15</v>
      </c>
      <c r="C375">
        <v>2</v>
      </c>
      <c r="D375">
        <v>2.8</v>
      </c>
      <c r="E375">
        <v>3.5784703819796233</v>
      </c>
      <c r="F375">
        <v>3.6314481501215132</v>
      </c>
      <c r="G375">
        <v>6.5609999999999999</v>
      </c>
      <c r="H375">
        <v>-0.43864678899082565</v>
      </c>
      <c r="I375">
        <v>2.25</v>
      </c>
      <c r="J375">
        <v>6.6530699999999996E-3</v>
      </c>
      <c r="K375">
        <v>14.368036526962904</v>
      </c>
    </row>
    <row r="376" spans="1:11" x14ac:dyDescent="0.3">
      <c r="A376">
        <v>1</v>
      </c>
      <c r="B376">
        <v>15</v>
      </c>
      <c r="C376">
        <v>2</v>
      </c>
      <c r="D376">
        <v>4.2</v>
      </c>
      <c r="E376">
        <v>12.850684749509048</v>
      </c>
      <c r="F376">
        <v>5.4471722251822703</v>
      </c>
      <c r="G376">
        <v>6.5609999999999999</v>
      </c>
      <c r="H376">
        <v>-5.6568236493374107</v>
      </c>
      <c r="I376">
        <v>8.08</v>
      </c>
      <c r="J376">
        <v>6.6530699999999996E-3</v>
      </c>
      <c r="K376">
        <v>2.9353452378529816</v>
      </c>
    </row>
    <row r="377" spans="1:11" x14ac:dyDescent="0.3">
      <c r="A377">
        <v>1</v>
      </c>
      <c r="B377">
        <v>15</v>
      </c>
      <c r="C377">
        <v>2</v>
      </c>
      <c r="D377">
        <v>5.6</v>
      </c>
      <c r="E377">
        <v>24.699397792063799</v>
      </c>
      <c r="F377">
        <v>7.2628963002430265</v>
      </c>
      <c r="G377">
        <v>6.5609999999999999</v>
      </c>
      <c r="H377">
        <v>-20.897427624872577</v>
      </c>
      <c r="I377">
        <v>15.53</v>
      </c>
      <c r="J377">
        <v>6.6530699999999996E-3</v>
      </c>
      <c r="K377">
        <v>-4.0175424691052006</v>
      </c>
    </row>
    <row r="378" spans="1:11" x14ac:dyDescent="0.3">
      <c r="A378">
        <v>1</v>
      </c>
      <c r="B378">
        <v>15</v>
      </c>
      <c r="C378">
        <v>2</v>
      </c>
      <c r="D378">
        <v>7</v>
      </c>
      <c r="E378">
        <v>35.959651260693022</v>
      </c>
      <c r="F378">
        <v>9.0786203753037835</v>
      </c>
      <c r="G378">
        <v>6.5609999999999999</v>
      </c>
      <c r="H378">
        <v>-44.294626401630978</v>
      </c>
      <c r="I378">
        <v>22.61</v>
      </c>
      <c r="J378">
        <v>6.6530699999999996E-3</v>
      </c>
      <c r="K378">
        <v>-8.1408162683820056</v>
      </c>
    </row>
    <row r="379" spans="1:11" x14ac:dyDescent="0.3">
      <c r="A379">
        <v>1</v>
      </c>
      <c r="B379">
        <v>15</v>
      </c>
      <c r="C379">
        <v>2</v>
      </c>
      <c r="D379">
        <v>8.4</v>
      </c>
      <c r="E379">
        <v>41.97148150241879</v>
      </c>
      <c r="F379">
        <v>10.894344450364541</v>
      </c>
      <c r="G379">
        <v>6.5609999999999999</v>
      </c>
      <c r="H379">
        <v>-60.34325025484199</v>
      </c>
      <c r="I379">
        <v>26.39</v>
      </c>
      <c r="J379">
        <v>6.6530699999999996E-3</v>
      </c>
      <c r="K379">
        <v>-8.3063284210787618</v>
      </c>
    </row>
    <row r="380" spans="1:11" x14ac:dyDescent="0.3">
      <c r="A380">
        <v>1</v>
      </c>
      <c r="B380">
        <v>15</v>
      </c>
      <c r="C380">
        <v>2</v>
      </c>
      <c r="D380">
        <v>9.9</v>
      </c>
      <c r="E380">
        <v>50.384862978273105</v>
      </c>
      <c r="F380">
        <v>12.83976310221535</v>
      </c>
      <c r="G380">
        <v>6.5609999999999999</v>
      </c>
      <c r="H380">
        <v>-86.960146788990812</v>
      </c>
      <c r="I380">
        <v>31.68</v>
      </c>
      <c r="J380">
        <v>6.6530699999999996E-3</v>
      </c>
      <c r="K380">
        <v>-9.1476342514191522</v>
      </c>
    </row>
    <row r="381" spans="1:11" x14ac:dyDescent="0.3">
      <c r="A381">
        <v>1</v>
      </c>
      <c r="B381">
        <v>15</v>
      </c>
      <c r="C381">
        <v>4</v>
      </c>
      <c r="D381">
        <v>1.4</v>
      </c>
      <c r="E381">
        <v>1.0496846453806898</v>
      </c>
      <c r="F381">
        <v>1.8157240750607566</v>
      </c>
      <c r="G381">
        <v>6.5609999999999999</v>
      </c>
      <c r="H381">
        <v>-3.7743119266055045E-2</v>
      </c>
      <c r="I381">
        <v>0.66</v>
      </c>
      <c r="J381">
        <v>6.6530720000000003E-3</v>
      </c>
      <c r="K381">
        <v>59.857975203895222</v>
      </c>
    </row>
    <row r="382" spans="1:11" x14ac:dyDescent="0.3">
      <c r="A382">
        <v>1</v>
      </c>
      <c r="B382">
        <v>15</v>
      </c>
      <c r="C382">
        <v>4</v>
      </c>
      <c r="D382">
        <v>2.8</v>
      </c>
      <c r="E382">
        <v>4.1033127046699693</v>
      </c>
      <c r="F382">
        <v>3.6314481501215132</v>
      </c>
      <c r="G382">
        <v>6.5609999999999999</v>
      </c>
      <c r="H382">
        <v>-0.57675229357798163</v>
      </c>
      <c r="I382">
        <v>2.58</v>
      </c>
      <c r="J382">
        <v>6.6530720000000003E-3</v>
      </c>
      <c r="K382">
        <v>14.162565639533742</v>
      </c>
    </row>
    <row r="383" spans="1:11" x14ac:dyDescent="0.3">
      <c r="A383">
        <v>1</v>
      </c>
      <c r="B383">
        <v>15</v>
      </c>
      <c r="C383">
        <v>4</v>
      </c>
      <c r="D383">
        <v>4.2</v>
      </c>
      <c r="E383">
        <v>12.802971811082653</v>
      </c>
      <c r="F383">
        <v>5.4471722251822703</v>
      </c>
      <c r="G383">
        <v>6.5609999999999999</v>
      </c>
      <c r="H383">
        <v>-5.6148955147808364</v>
      </c>
      <c r="I383">
        <v>8.0500000000000007</v>
      </c>
      <c r="J383">
        <v>6.6530720000000003E-3</v>
      </c>
      <c r="K383">
        <v>2.9630696489555794</v>
      </c>
    </row>
    <row r="384" spans="1:11" x14ac:dyDescent="0.3">
      <c r="A384">
        <v>1</v>
      </c>
      <c r="B384">
        <v>15</v>
      </c>
      <c r="C384">
        <v>4</v>
      </c>
      <c r="D384">
        <v>5.6</v>
      </c>
      <c r="E384">
        <v>25.892221252723679</v>
      </c>
      <c r="F384">
        <v>7.2628963002430265</v>
      </c>
      <c r="G384">
        <v>6.5609999999999999</v>
      </c>
      <c r="H384">
        <v>-22.964591233435272</v>
      </c>
      <c r="I384">
        <v>16.28</v>
      </c>
      <c r="J384">
        <v>6.6530720000000003E-3</v>
      </c>
      <c r="K384">
        <v>-4.7864146845580491</v>
      </c>
    </row>
    <row r="385" spans="1:11" x14ac:dyDescent="0.3">
      <c r="A385">
        <v>1</v>
      </c>
      <c r="B385">
        <v>15</v>
      </c>
      <c r="C385">
        <v>4</v>
      </c>
      <c r="D385">
        <v>7</v>
      </c>
      <c r="E385">
        <v>34.703210548797955</v>
      </c>
      <c r="F385">
        <v>9.0786203753037835</v>
      </c>
      <c r="G385">
        <v>6.5609999999999999</v>
      </c>
      <c r="H385">
        <v>-41.253367991845053</v>
      </c>
      <c r="I385">
        <v>21.82</v>
      </c>
      <c r="J385">
        <v>6.6530720000000003E-3</v>
      </c>
      <c r="K385">
        <v>-7.416859532577023</v>
      </c>
    </row>
    <row r="386" spans="1:11" x14ac:dyDescent="0.3">
      <c r="A386">
        <v>1</v>
      </c>
      <c r="B386">
        <v>15</v>
      </c>
      <c r="C386">
        <v>4</v>
      </c>
      <c r="D386">
        <v>8.4</v>
      </c>
      <c r="E386">
        <v>43.62553003453381</v>
      </c>
      <c r="F386">
        <v>10.894344450364541</v>
      </c>
      <c r="G386">
        <v>6.5609999999999999</v>
      </c>
      <c r="H386">
        <v>-65.193085117227312</v>
      </c>
      <c r="I386">
        <v>27.43</v>
      </c>
      <c r="J386">
        <v>6.6530720000000003E-3</v>
      </c>
      <c r="K386">
        <v>-9.1080503252756557</v>
      </c>
    </row>
    <row r="387" spans="1:11" x14ac:dyDescent="0.3">
      <c r="A387">
        <v>1</v>
      </c>
      <c r="B387">
        <v>15</v>
      </c>
      <c r="C387">
        <v>4</v>
      </c>
      <c r="D387">
        <v>9.9</v>
      </c>
      <c r="E387">
        <v>55.203869759339</v>
      </c>
      <c r="F387">
        <v>12.83976310221535</v>
      </c>
      <c r="G387">
        <v>6.5609999999999999</v>
      </c>
      <c r="H387">
        <v>-104.39005963302752</v>
      </c>
      <c r="I387">
        <v>34.71</v>
      </c>
      <c r="J387">
        <v>6.6530720000000003E-3</v>
      </c>
      <c r="K387">
        <v>-11.221975467604974</v>
      </c>
    </row>
    <row r="388" spans="1:11" x14ac:dyDescent="0.3">
      <c r="A388">
        <v>1</v>
      </c>
      <c r="B388">
        <v>15</v>
      </c>
      <c r="C388">
        <v>6</v>
      </c>
      <c r="D388">
        <v>1.4</v>
      </c>
      <c r="E388">
        <v>0.79521564043991633</v>
      </c>
      <c r="F388">
        <v>1.8157240750607566</v>
      </c>
      <c r="G388">
        <v>6.5609999999999999</v>
      </c>
      <c r="H388">
        <v>-2.1661569826707441E-2</v>
      </c>
      <c r="I388">
        <v>0.5</v>
      </c>
      <c r="J388">
        <v>6.6530700000000005E-3</v>
      </c>
      <c r="K388">
        <v>59.953678564725521</v>
      </c>
    </row>
    <row r="389" spans="1:11" x14ac:dyDescent="0.3">
      <c r="A389">
        <v>1</v>
      </c>
      <c r="B389">
        <v>15</v>
      </c>
      <c r="C389">
        <v>6</v>
      </c>
      <c r="D389">
        <v>2.8</v>
      </c>
      <c r="E389">
        <v>4.3259730839931461</v>
      </c>
      <c r="F389">
        <v>3.6314481501215132</v>
      </c>
      <c r="G389">
        <v>6.5609999999999999</v>
      </c>
      <c r="H389">
        <v>-0.64104383282364941</v>
      </c>
      <c r="I389">
        <v>2.72</v>
      </c>
      <c r="J389">
        <v>6.6530700000000005E-3</v>
      </c>
      <c r="K389">
        <v>14.066913843014239</v>
      </c>
    </row>
    <row r="390" spans="1:11" x14ac:dyDescent="0.3">
      <c r="A390">
        <v>1</v>
      </c>
      <c r="B390">
        <v>15</v>
      </c>
      <c r="C390">
        <v>6</v>
      </c>
      <c r="D390">
        <v>4.2</v>
      </c>
      <c r="E390">
        <v>14.313881527918493</v>
      </c>
      <c r="F390">
        <v>5.4471722251822703</v>
      </c>
      <c r="G390">
        <v>6.5609999999999999</v>
      </c>
      <c r="H390">
        <v>-7.0183486238532105</v>
      </c>
      <c r="I390">
        <v>9</v>
      </c>
      <c r="J390">
        <v>6.6530700000000005E-3</v>
      </c>
      <c r="K390">
        <v>2.035055288892893</v>
      </c>
    </row>
    <row r="391" spans="1:11" x14ac:dyDescent="0.3">
      <c r="A391">
        <v>1</v>
      </c>
      <c r="B391">
        <v>15</v>
      </c>
      <c r="C391">
        <v>6</v>
      </c>
      <c r="D391">
        <v>5.6</v>
      </c>
      <c r="E391">
        <v>24.333598597461442</v>
      </c>
      <c r="F391">
        <v>7.2628963002430265</v>
      </c>
      <c r="G391">
        <v>6.5609999999999999</v>
      </c>
      <c r="H391">
        <v>-20.283027522935779</v>
      </c>
      <c r="I391">
        <v>15.3</v>
      </c>
      <c r="J391">
        <v>6.6530700000000005E-3</v>
      </c>
      <c r="K391">
        <v>-3.7890191119825096</v>
      </c>
    </row>
    <row r="392" spans="1:11" x14ac:dyDescent="0.3">
      <c r="A392">
        <v>1</v>
      </c>
      <c r="B392">
        <v>15</v>
      </c>
      <c r="C392">
        <v>6</v>
      </c>
      <c r="D392">
        <v>7</v>
      </c>
      <c r="E392">
        <v>31.617773863891074</v>
      </c>
      <c r="F392">
        <v>9.0786203753037835</v>
      </c>
      <c r="G392">
        <v>6.5609999999999999</v>
      </c>
      <c r="H392">
        <v>-34.243857288481138</v>
      </c>
      <c r="I392">
        <v>19.88</v>
      </c>
      <c r="J392">
        <v>6.6530700000000005E-3</v>
      </c>
      <c r="K392">
        <v>-5.7482796867905464</v>
      </c>
    </row>
    <row r="393" spans="1:11" x14ac:dyDescent="0.3">
      <c r="A393">
        <v>1</v>
      </c>
      <c r="B393">
        <v>15</v>
      </c>
      <c r="C393">
        <v>6</v>
      </c>
      <c r="D393">
        <v>8.4</v>
      </c>
      <c r="E393">
        <v>37.629604105616849</v>
      </c>
      <c r="F393">
        <v>10.894344450364541</v>
      </c>
      <c r="G393">
        <v>6.5609999999999999</v>
      </c>
      <c r="H393">
        <v>-48.504205912334349</v>
      </c>
      <c r="I393">
        <v>23.66</v>
      </c>
      <c r="J393">
        <v>6.6530700000000005E-3</v>
      </c>
      <c r="K393">
        <v>-6.3492264900908735</v>
      </c>
    </row>
    <row r="394" spans="1:11" x14ac:dyDescent="0.3">
      <c r="A394">
        <v>1</v>
      </c>
      <c r="B394">
        <v>15</v>
      </c>
      <c r="C394">
        <v>6</v>
      </c>
      <c r="D394">
        <v>9.9</v>
      </c>
      <c r="E394">
        <v>41.20807448759647</v>
      </c>
      <c r="F394">
        <v>12.83976310221535</v>
      </c>
      <c r="G394">
        <v>6.5609999999999999</v>
      </c>
      <c r="H394">
        <v>-58.16808205912335</v>
      </c>
      <c r="I394">
        <v>25.91</v>
      </c>
      <c r="J394">
        <v>6.6530700000000005E-3</v>
      </c>
      <c r="K394">
        <v>-5.7210785880219168</v>
      </c>
    </row>
    <row r="395" spans="1:11" x14ac:dyDescent="0.3">
      <c r="A395">
        <v>1</v>
      </c>
      <c r="B395">
        <v>20</v>
      </c>
      <c r="C395">
        <v>1</v>
      </c>
      <c r="D395">
        <v>1.8</v>
      </c>
      <c r="E395">
        <v>0.35342917352885173</v>
      </c>
      <c r="F395">
        <v>2.3345023822209727</v>
      </c>
      <c r="G395">
        <v>7.0444000000000004</v>
      </c>
      <c r="H395">
        <v>-2.1661569826707441E-2</v>
      </c>
      <c r="I395">
        <v>0.5</v>
      </c>
      <c r="J395">
        <v>7.5770359999999997E-3</v>
      </c>
      <c r="K395">
        <v>36.268274687303098</v>
      </c>
    </row>
    <row r="396" spans="1:11" x14ac:dyDescent="0.3">
      <c r="A396">
        <v>1</v>
      </c>
      <c r="B396">
        <v>20</v>
      </c>
      <c r="C396">
        <v>1</v>
      </c>
      <c r="D396">
        <v>3.6</v>
      </c>
      <c r="E396">
        <v>2.9422978696276907</v>
      </c>
      <c r="F396">
        <v>4.6690047644419455</v>
      </c>
      <c r="G396">
        <v>7.0444000000000004</v>
      </c>
      <c r="H396">
        <v>-0.29654689092762487</v>
      </c>
      <c r="I396">
        <v>1.85</v>
      </c>
      <c r="J396">
        <v>7.5770359999999997E-3</v>
      </c>
      <c r="K396">
        <v>8.8196674056707689</v>
      </c>
    </row>
    <row r="397" spans="1:11" x14ac:dyDescent="0.3">
      <c r="A397">
        <v>1</v>
      </c>
      <c r="B397">
        <v>20</v>
      </c>
      <c r="C397">
        <v>1</v>
      </c>
      <c r="D397">
        <v>5.4</v>
      </c>
      <c r="E397">
        <v>9.3040229931470204</v>
      </c>
      <c r="F397">
        <v>7.0035071466629182</v>
      </c>
      <c r="G397">
        <v>7.0444000000000004</v>
      </c>
      <c r="H397">
        <v>-2.965252293577981</v>
      </c>
      <c r="I397">
        <v>5.85</v>
      </c>
      <c r="J397">
        <v>7.5770359999999997E-3</v>
      </c>
      <c r="K397">
        <v>2.852350700907643</v>
      </c>
    </row>
    <row r="398" spans="1:11" x14ac:dyDescent="0.3">
      <c r="A398">
        <v>1</v>
      </c>
      <c r="B398">
        <v>20</v>
      </c>
      <c r="C398">
        <v>1</v>
      </c>
      <c r="D398">
        <v>7.2</v>
      </c>
      <c r="E398">
        <v>15.633939491048755</v>
      </c>
      <c r="F398">
        <v>9.3380095288838909</v>
      </c>
      <c r="G398">
        <v>7.0444000000000004</v>
      </c>
      <c r="H398">
        <v>-8.3725346585117215</v>
      </c>
      <c r="I398">
        <v>9.83</v>
      </c>
      <c r="J398">
        <v>7.5770359999999997E-3</v>
      </c>
      <c r="K398">
        <v>0.38778671952251154</v>
      </c>
    </row>
    <row r="399" spans="1:11" x14ac:dyDescent="0.3">
      <c r="A399">
        <v>1</v>
      </c>
      <c r="B399">
        <v>20</v>
      </c>
      <c r="C399">
        <v>1</v>
      </c>
      <c r="D399">
        <v>9</v>
      </c>
      <c r="E399">
        <v>21.661674045583318</v>
      </c>
      <c r="F399">
        <v>11.672511911104865</v>
      </c>
      <c r="G399">
        <v>7.0444000000000004</v>
      </c>
      <c r="H399">
        <v>-16.073266055045867</v>
      </c>
      <c r="I399">
        <v>13.62</v>
      </c>
      <c r="J399">
        <v>7.5770359999999997E-3</v>
      </c>
      <c r="K399">
        <v>-0.86074188857587142</v>
      </c>
    </row>
    <row r="400" spans="1:11" x14ac:dyDescent="0.3">
      <c r="A400">
        <v>1</v>
      </c>
      <c r="B400">
        <v>20</v>
      </c>
      <c r="C400">
        <v>1</v>
      </c>
      <c r="D400">
        <v>10.8</v>
      </c>
      <c r="E400">
        <v>26.910097272486773</v>
      </c>
      <c r="F400">
        <v>14.007014293325836</v>
      </c>
      <c r="G400">
        <v>7.0444000000000004</v>
      </c>
      <c r="H400">
        <v>-24.805651376146791</v>
      </c>
      <c r="I400">
        <v>16.920000000000002</v>
      </c>
      <c r="J400">
        <v>7.5770359999999997E-3</v>
      </c>
      <c r="K400">
        <v>-1.4709917578163796</v>
      </c>
    </row>
    <row r="401" spans="1:11" x14ac:dyDescent="0.3">
      <c r="A401">
        <v>1</v>
      </c>
      <c r="B401">
        <v>20</v>
      </c>
      <c r="C401">
        <v>1</v>
      </c>
      <c r="D401">
        <v>12.8</v>
      </c>
      <c r="E401">
        <v>35.975555573501822</v>
      </c>
      <c r="F401">
        <v>16.600905829126919</v>
      </c>
      <c r="G401">
        <v>7.0444000000000004</v>
      </c>
      <c r="H401">
        <v>-44.333816513761469</v>
      </c>
      <c r="I401">
        <v>22.62</v>
      </c>
      <c r="J401">
        <v>7.5770359999999997E-3</v>
      </c>
      <c r="K401">
        <v>-2.4374824151064209</v>
      </c>
    </row>
    <row r="402" spans="1:11" x14ac:dyDescent="0.3">
      <c r="A402">
        <v>1</v>
      </c>
      <c r="B402">
        <v>20</v>
      </c>
      <c r="C402">
        <v>2</v>
      </c>
      <c r="D402">
        <v>1.8</v>
      </c>
      <c r="E402">
        <v>0.66798113796952974</v>
      </c>
      <c r="F402">
        <v>2.3345023822209727</v>
      </c>
      <c r="G402">
        <v>7.0444000000000004</v>
      </c>
      <c r="H402">
        <v>-1.5284403669724765E-2</v>
      </c>
      <c r="I402">
        <v>0.42</v>
      </c>
      <c r="J402">
        <v>7.5770359999999997E-3</v>
      </c>
      <c r="K402">
        <v>36.291232900937779</v>
      </c>
    </row>
    <row r="403" spans="1:11" x14ac:dyDescent="0.3">
      <c r="A403">
        <v>1</v>
      </c>
      <c r="B403">
        <v>20</v>
      </c>
      <c r="C403">
        <v>2</v>
      </c>
      <c r="D403">
        <v>3.6</v>
      </c>
      <c r="E403">
        <v>3.51485313074443</v>
      </c>
      <c r="F403">
        <v>4.6690047644419455</v>
      </c>
      <c r="G403">
        <v>7.0444000000000004</v>
      </c>
      <c r="H403">
        <v>-0.42318909276248723</v>
      </c>
      <c r="I403">
        <v>2.21</v>
      </c>
      <c r="J403">
        <v>7.5770359999999997E-3</v>
      </c>
      <c r="K403">
        <v>8.705687361348577</v>
      </c>
    </row>
    <row r="404" spans="1:11" x14ac:dyDescent="0.3">
      <c r="A404">
        <v>1</v>
      </c>
      <c r="B404">
        <v>20</v>
      </c>
      <c r="C404">
        <v>2</v>
      </c>
      <c r="D404">
        <v>5.4</v>
      </c>
      <c r="E404">
        <v>11.880521668172351</v>
      </c>
      <c r="F404">
        <v>7.0035071466629182</v>
      </c>
      <c r="G404">
        <v>7.0444000000000004</v>
      </c>
      <c r="H404">
        <v>-4.8349403669724769</v>
      </c>
      <c r="I404">
        <v>7.47</v>
      </c>
      <c r="J404">
        <v>7.5770359999999997E-3</v>
      </c>
      <c r="K404">
        <v>2.1044619371777897</v>
      </c>
    </row>
    <row r="405" spans="1:11" x14ac:dyDescent="0.3">
      <c r="A405">
        <v>1</v>
      </c>
      <c r="B405">
        <v>20</v>
      </c>
      <c r="C405">
        <v>2</v>
      </c>
      <c r="D405">
        <v>7.2</v>
      </c>
      <c r="E405">
        <v>19.148792621793184</v>
      </c>
      <c r="F405">
        <v>9.3380095288838909</v>
      </c>
      <c r="G405">
        <v>7.0444000000000004</v>
      </c>
      <c r="H405">
        <v>-12.56038328236493</v>
      </c>
      <c r="I405">
        <v>12.04</v>
      </c>
      <c r="J405">
        <v>7.5770359999999997E-3</v>
      </c>
      <c r="K405">
        <v>-0.55449627312445415</v>
      </c>
    </row>
    <row r="406" spans="1:11" x14ac:dyDescent="0.3">
      <c r="A406">
        <v>1</v>
      </c>
      <c r="B406">
        <v>20</v>
      </c>
      <c r="C406">
        <v>2</v>
      </c>
      <c r="D406">
        <v>9</v>
      </c>
      <c r="E406">
        <v>28.007494856293857</v>
      </c>
      <c r="F406">
        <v>11.672511911104865</v>
      </c>
      <c r="G406">
        <v>7.0444000000000004</v>
      </c>
      <c r="H406">
        <v>-26.87005963302752</v>
      </c>
      <c r="I406">
        <v>17.61</v>
      </c>
      <c r="J406">
        <v>7.5770359999999997E-3</v>
      </c>
      <c r="K406">
        <v>-2.4155083000576933</v>
      </c>
    </row>
    <row r="407" spans="1:11" x14ac:dyDescent="0.3">
      <c r="A407">
        <v>1</v>
      </c>
      <c r="B407">
        <v>20</v>
      </c>
      <c r="C407">
        <v>2</v>
      </c>
      <c r="D407">
        <v>10.8</v>
      </c>
      <c r="E407">
        <v>41.20807448759647</v>
      </c>
      <c r="F407">
        <v>14.007014293325836</v>
      </c>
      <c r="G407">
        <v>7.0444000000000004</v>
      </c>
      <c r="H407">
        <v>-58.16808205912335</v>
      </c>
      <c r="I407">
        <v>25.91</v>
      </c>
      <c r="J407">
        <v>7.5770359999999997E-3</v>
      </c>
      <c r="K407">
        <v>-4.8072952024350846</v>
      </c>
    </row>
    <row r="408" spans="1:11" x14ac:dyDescent="0.3">
      <c r="A408">
        <v>1</v>
      </c>
      <c r="B408">
        <v>20</v>
      </c>
      <c r="C408">
        <v>2</v>
      </c>
      <c r="D408">
        <v>12.9</v>
      </c>
      <c r="E408">
        <v>49.939542219626745</v>
      </c>
      <c r="F408">
        <v>16.73060040591697</v>
      </c>
      <c r="G408">
        <v>7.0444000000000004</v>
      </c>
      <c r="H408">
        <v>-85.42976554536186</v>
      </c>
      <c r="I408">
        <v>31.4</v>
      </c>
      <c r="J408">
        <v>7.5770359999999997E-3</v>
      </c>
      <c r="K408">
        <v>-5.2803854522928182</v>
      </c>
    </row>
    <row r="409" spans="1:11" x14ac:dyDescent="0.3">
      <c r="A409">
        <v>1</v>
      </c>
      <c r="B409">
        <v>20</v>
      </c>
      <c r="C409">
        <v>4</v>
      </c>
      <c r="D409">
        <v>1.8</v>
      </c>
      <c r="E409">
        <v>1.065588958189488</v>
      </c>
      <c r="F409">
        <v>2.3345023822209727</v>
      </c>
      <c r="G409">
        <v>7.0444000000000004</v>
      </c>
      <c r="H409">
        <v>-3.8895514780835881E-2</v>
      </c>
      <c r="I409">
        <v>0.67</v>
      </c>
      <c r="J409">
        <v>7.5770359999999997E-3</v>
      </c>
      <c r="K409">
        <v>36.206231362684363</v>
      </c>
    </row>
    <row r="410" spans="1:11" x14ac:dyDescent="0.3">
      <c r="A410">
        <v>1</v>
      </c>
      <c r="B410">
        <v>20</v>
      </c>
      <c r="C410">
        <v>4</v>
      </c>
      <c r="D410">
        <v>3.6</v>
      </c>
      <c r="E410">
        <v>4.6758679657867077</v>
      </c>
      <c r="F410">
        <v>4.6690047644419455</v>
      </c>
      <c r="G410">
        <v>7.0444000000000004</v>
      </c>
      <c r="H410">
        <v>-0.7489357798165136</v>
      </c>
      <c r="I410">
        <v>2.94</v>
      </c>
      <c r="J410">
        <v>7.5770359999999997E-3</v>
      </c>
      <c r="K410">
        <v>8.4125100374369168</v>
      </c>
    </row>
    <row r="411" spans="1:11" x14ac:dyDescent="0.3">
      <c r="A411">
        <v>1</v>
      </c>
      <c r="B411">
        <v>20</v>
      </c>
      <c r="C411">
        <v>4</v>
      </c>
      <c r="D411">
        <v>5.4</v>
      </c>
      <c r="E411">
        <v>12.166799298730721</v>
      </c>
      <c r="F411">
        <v>7.0035071466629182</v>
      </c>
      <c r="G411">
        <v>7.0444000000000004</v>
      </c>
      <c r="H411">
        <v>-5.0707568807339447</v>
      </c>
      <c r="I411">
        <v>7.65</v>
      </c>
      <c r="J411">
        <v>7.5770359999999997E-3</v>
      </c>
      <c r="K411">
        <v>2.0101336246352854</v>
      </c>
    </row>
    <row r="412" spans="1:11" x14ac:dyDescent="0.3">
      <c r="A412">
        <v>1</v>
      </c>
      <c r="B412">
        <v>20</v>
      </c>
      <c r="C412">
        <v>4</v>
      </c>
      <c r="D412">
        <v>7.2</v>
      </c>
      <c r="E412">
        <v>19.928103949424305</v>
      </c>
      <c r="F412">
        <v>9.3380095288838909</v>
      </c>
      <c r="G412">
        <v>7.0444000000000004</v>
      </c>
      <c r="H412">
        <v>-13.603543832823645</v>
      </c>
      <c r="I412">
        <v>12.53</v>
      </c>
      <c r="J412">
        <v>7.5770359999999997E-3</v>
      </c>
      <c r="K412">
        <v>-0.78921164456810666</v>
      </c>
    </row>
    <row r="413" spans="1:11" x14ac:dyDescent="0.3">
      <c r="A413">
        <v>1</v>
      </c>
      <c r="B413">
        <v>20</v>
      </c>
      <c r="C413">
        <v>4</v>
      </c>
      <c r="D413">
        <v>9</v>
      </c>
      <c r="E413">
        <v>30.250002962334417</v>
      </c>
      <c r="F413">
        <v>11.672511911104865</v>
      </c>
      <c r="G413">
        <v>7.0444000000000004</v>
      </c>
      <c r="H413">
        <v>-31.345192660550456</v>
      </c>
      <c r="I413">
        <v>19.02</v>
      </c>
      <c r="J413">
        <v>7.5770359999999997E-3</v>
      </c>
      <c r="K413">
        <v>-3.0599391181382498</v>
      </c>
    </row>
    <row r="414" spans="1:11" x14ac:dyDescent="0.3">
      <c r="A414">
        <v>1</v>
      </c>
      <c r="B414">
        <v>20</v>
      </c>
      <c r="C414">
        <v>4</v>
      </c>
      <c r="D414">
        <v>10.8</v>
      </c>
      <c r="E414">
        <v>41.732916810286802</v>
      </c>
      <c r="F414">
        <v>14.007014293325836</v>
      </c>
      <c r="G414">
        <v>7.0444000000000004</v>
      </c>
      <c r="H414">
        <v>-59.659221202854219</v>
      </c>
      <c r="I414">
        <v>26.24</v>
      </c>
      <c r="J414">
        <v>7.5770359999999997E-3</v>
      </c>
      <c r="K414">
        <v>-4.9564118153374404</v>
      </c>
    </row>
    <row r="415" spans="1:11" x14ac:dyDescent="0.3">
      <c r="A415">
        <v>1</v>
      </c>
      <c r="B415">
        <v>20</v>
      </c>
      <c r="C415">
        <v>4</v>
      </c>
      <c r="D415">
        <v>12.8</v>
      </c>
      <c r="E415">
        <v>51.482260562080185</v>
      </c>
      <c r="F415">
        <v>16.600905829126919</v>
      </c>
      <c r="G415">
        <v>7.0444000000000004</v>
      </c>
      <c r="H415">
        <v>-90.789435779816486</v>
      </c>
      <c r="I415">
        <v>32.369999999999997</v>
      </c>
      <c r="J415">
        <v>7.5770359999999997E-3</v>
      </c>
      <c r="K415">
        <v>-5.7447831303367511</v>
      </c>
    </row>
    <row r="416" spans="1:11" x14ac:dyDescent="0.3">
      <c r="A416">
        <v>1</v>
      </c>
      <c r="B416">
        <v>20</v>
      </c>
      <c r="C416">
        <v>6</v>
      </c>
      <c r="D416">
        <v>1.8</v>
      </c>
      <c r="E416">
        <v>1.161014835042278</v>
      </c>
      <c r="F416">
        <v>2.3345023822209727</v>
      </c>
      <c r="G416">
        <v>7.0444000000000004</v>
      </c>
      <c r="H416">
        <v>-4.6173802242609578E-2</v>
      </c>
      <c r="I416">
        <v>0.73</v>
      </c>
      <c r="J416">
        <v>7.5770339999999999E-3</v>
      </c>
      <c r="K416">
        <v>36.18002905364478</v>
      </c>
    </row>
    <row r="417" spans="1:11" x14ac:dyDescent="0.3">
      <c r="A417">
        <v>1</v>
      </c>
      <c r="B417">
        <v>20</v>
      </c>
      <c r="C417">
        <v>6</v>
      </c>
      <c r="D417">
        <v>3.6</v>
      </c>
      <c r="E417">
        <v>4.9939542219626754</v>
      </c>
      <c r="F417">
        <v>4.6690047644419455</v>
      </c>
      <c r="G417">
        <v>7.0444000000000004</v>
      </c>
      <c r="H417">
        <v>-0.8542976554536188</v>
      </c>
      <c r="I417">
        <v>3.14</v>
      </c>
      <c r="J417">
        <v>7.5770339999999999E-3</v>
      </c>
      <c r="K417">
        <v>8.3176826332936589</v>
      </c>
    </row>
    <row r="418" spans="1:11" x14ac:dyDescent="0.3">
      <c r="A418">
        <v>1</v>
      </c>
      <c r="B418">
        <v>20</v>
      </c>
      <c r="C418">
        <v>6</v>
      </c>
      <c r="D418">
        <v>5.4</v>
      </c>
      <c r="E418">
        <v>10.083334320778139</v>
      </c>
      <c r="F418">
        <v>7.0035071466629182</v>
      </c>
      <c r="G418">
        <v>7.0444000000000004</v>
      </c>
      <c r="H418">
        <v>-3.4827991845056063</v>
      </c>
      <c r="I418">
        <v>6.34</v>
      </c>
      <c r="J418">
        <v>7.5770339999999999E-3</v>
      </c>
      <c r="K418">
        <v>2.6453281980976668</v>
      </c>
    </row>
    <row r="419" spans="1:11" x14ac:dyDescent="0.3">
      <c r="A419">
        <v>1</v>
      </c>
      <c r="B419">
        <v>20</v>
      </c>
      <c r="C419">
        <v>6</v>
      </c>
      <c r="D419">
        <v>7.2</v>
      </c>
      <c r="E419">
        <v>18.608045986294041</v>
      </c>
      <c r="F419">
        <v>9.3380095288838909</v>
      </c>
      <c r="G419">
        <v>7.0444000000000004</v>
      </c>
      <c r="H419">
        <v>-11.861009174311924</v>
      </c>
      <c r="I419">
        <v>11.7</v>
      </c>
      <c r="J419">
        <v>7.5770339999999999E-3</v>
      </c>
      <c r="K419">
        <v>-0.39713425106797412</v>
      </c>
    </row>
    <row r="420" spans="1:11" x14ac:dyDescent="0.3">
      <c r="A420">
        <v>1</v>
      </c>
      <c r="B420">
        <v>20</v>
      </c>
      <c r="C420">
        <v>6</v>
      </c>
      <c r="D420">
        <v>9</v>
      </c>
      <c r="E420">
        <v>29.725160639644077</v>
      </c>
      <c r="F420">
        <v>11.672511911104865</v>
      </c>
      <c r="G420">
        <v>7.0444000000000004</v>
      </c>
      <c r="H420">
        <v>-30.266940366972481</v>
      </c>
      <c r="I420">
        <v>18.690000000000001</v>
      </c>
      <c r="J420">
        <v>7.5770339999999999E-3</v>
      </c>
      <c r="K420">
        <v>-2.9046679779566791</v>
      </c>
    </row>
    <row r="421" spans="1:11" x14ac:dyDescent="0.3">
      <c r="A421">
        <v>1</v>
      </c>
      <c r="B421">
        <v>20</v>
      </c>
      <c r="C421">
        <v>6</v>
      </c>
      <c r="D421">
        <v>10.8</v>
      </c>
      <c r="E421">
        <v>35.577947753281862</v>
      </c>
      <c r="F421">
        <v>14.007014293325836</v>
      </c>
      <c r="G421">
        <v>7.0444000000000004</v>
      </c>
      <c r="H421">
        <v>-43.359262487257901</v>
      </c>
      <c r="I421">
        <v>22.37</v>
      </c>
      <c r="J421">
        <v>7.5770339999999999E-3</v>
      </c>
      <c r="K421">
        <v>-3.3263864455811736</v>
      </c>
    </row>
    <row r="422" spans="1:11" x14ac:dyDescent="0.3">
      <c r="A422">
        <v>1</v>
      </c>
      <c r="B422">
        <v>20</v>
      </c>
      <c r="C422">
        <v>6</v>
      </c>
      <c r="D422">
        <v>12.8</v>
      </c>
      <c r="E422">
        <v>45.661282074059997</v>
      </c>
      <c r="F422">
        <v>16.600905829126919</v>
      </c>
      <c r="G422">
        <v>7.0444000000000004</v>
      </c>
      <c r="H422">
        <v>-71.419417431192656</v>
      </c>
      <c r="I422">
        <v>28.71</v>
      </c>
      <c r="J422">
        <v>7.5770339999999999E-3</v>
      </c>
      <c r="K422">
        <v>-4.3657793294932556</v>
      </c>
    </row>
    <row r="423" spans="1:11" x14ac:dyDescent="0.3">
      <c r="A423">
        <v>1</v>
      </c>
      <c r="B423">
        <v>30</v>
      </c>
      <c r="C423">
        <v>1</v>
      </c>
      <c r="D423">
        <v>2.5</v>
      </c>
      <c r="E423">
        <v>0</v>
      </c>
      <c r="F423">
        <v>1.621059600783779</v>
      </c>
      <c r="G423">
        <v>7.6656000000000004</v>
      </c>
      <c r="H423">
        <v>0</v>
      </c>
      <c r="I423">
        <v>0</v>
      </c>
      <c r="J423">
        <v>9.1083629999999995E-3</v>
      </c>
      <c r="K423">
        <v>75.379001381404876</v>
      </c>
    </row>
    <row r="424" spans="1:11" x14ac:dyDescent="0.3">
      <c r="A424">
        <v>1</v>
      </c>
      <c r="B424">
        <v>30</v>
      </c>
      <c r="C424">
        <v>1</v>
      </c>
      <c r="D424">
        <v>5</v>
      </c>
      <c r="E424">
        <v>2.369742608510951</v>
      </c>
      <c r="F424">
        <v>3.242119201567558</v>
      </c>
      <c r="G424">
        <v>7.6656000000000004</v>
      </c>
      <c r="H424">
        <v>-0.19236340468909274</v>
      </c>
      <c r="I424">
        <v>1.49</v>
      </c>
      <c r="J424">
        <v>9.1083629999999995E-3</v>
      </c>
      <c r="K424">
        <v>18.4856932596789</v>
      </c>
    </row>
    <row r="425" spans="1:11" x14ac:dyDescent="0.3">
      <c r="A425">
        <v>1</v>
      </c>
      <c r="B425">
        <v>30</v>
      </c>
      <c r="C425">
        <v>1</v>
      </c>
      <c r="D425">
        <v>7.5</v>
      </c>
      <c r="E425">
        <v>4.9462412835362795</v>
      </c>
      <c r="F425">
        <v>4.8631788023513369</v>
      </c>
      <c r="G425">
        <v>7.6656000000000004</v>
      </c>
      <c r="H425">
        <v>-0.83805147808358793</v>
      </c>
      <c r="I425">
        <v>3.11</v>
      </c>
      <c r="J425">
        <v>9.1083629999999995E-3</v>
      </c>
      <c r="K425">
        <v>7.6802134445161183</v>
      </c>
    </row>
    <row r="426" spans="1:11" x14ac:dyDescent="0.3">
      <c r="A426">
        <v>1</v>
      </c>
      <c r="B426">
        <v>30</v>
      </c>
      <c r="C426">
        <v>1</v>
      </c>
      <c r="D426">
        <v>10</v>
      </c>
      <c r="E426">
        <v>11.037593089306039</v>
      </c>
      <c r="F426">
        <v>6.4842384031351159</v>
      </c>
      <c r="G426">
        <v>7.6656000000000004</v>
      </c>
      <c r="H426">
        <v>-4.1731967380224253</v>
      </c>
      <c r="I426">
        <v>6.94</v>
      </c>
      <c r="J426">
        <v>9.1083629999999995E-3</v>
      </c>
      <c r="K426">
        <v>2.7638111335330633</v>
      </c>
    </row>
    <row r="427" spans="1:11" x14ac:dyDescent="0.3">
      <c r="A427">
        <v>1</v>
      </c>
      <c r="B427">
        <v>30</v>
      </c>
      <c r="C427">
        <v>1</v>
      </c>
      <c r="D427">
        <v>12.5</v>
      </c>
      <c r="E427">
        <v>16.588198259576654</v>
      </c>
      <c r="F427">
        <v>8.1052980039188949</v>
      </c>
      <c r="G427">
        <v>7.6656000000000004</v>
      </c>
      <c r="H427">
        <v>-9.4258068297655448</v>
      </c>
      <c r="I427">
        <v>10.43</v>
      </c>
      <c r="J427">
        <v>9.1083629999999995E-3</v>
      </c>
      <c r="K427">
        <v>0.20015250358522627</v>
      </c>
    </row>
    <row r="428" spans="1:11" x14ac:dyDescent="0.3">
      <c r="A428">
        <v>1</v>
      </c>
      <c r="B428">
        <v>30</v>
      </c>
      <c r="C428">
        <v>1</v>
      </c>
      <c r="D428">
        <v>15</v>
      </c>
      <c r="E428">
        <v>21.025501533231392</v>
      </c>
      <c r="F428">
        <v>9.7263576047026739</v>
      </c>
      <c r="G428">
        <v>7.6656000000000004</v>
      </c>
      <c r="H428">
        <v>-15.143031600407747</v>
      </c>
      <c r="I428">
        <v>13.22</v>
      </c>
      <c r="J428">
        <v>9.1083629999999995E-3</v>
      </c>
      <c r="K428">
        <v>-1.0467297333903682</v>
      </c>
    </row>
    <row r="429" spans="1:11" x14ac:dyDescent="0.3">
      <c r="A429">
        <v>1</v>
      </c>
      <c r="B429">
        <v>30</v>
      </c>
      <c r="C429">
        <v>1</v>
      </c>
      <c r="D429">
        <v>17.899999999999999</v>
      </c>
      <c r="E429">
        <v>30.917984100303947</v>
      </c>
      <c r="F429">
        <v>11.606786741611856</v>
      </c>
      <c r="G429">
        <v>7.6656000000000004</v>
      </c>
      <c r="H429">
        <v>-32.744807339449544</v>
      </c>
      <c r="I429">
        <v>19.440000000000001</v>
      </c>
      <c r="J429">
        <v>9.1083629999999995E-3</v>
      </c>
      <c r="K429">
        <v>-3.2985291818983833</v>
      </c>
    </row>
    <row r="430" spans="1:11" x14ac:dyDescent="0.3">
      <c r="A430">
        <v>1</v>
      </c>
      <c r="B430">
        <v>30</v>
      </c>
      <c r="C430">
        <v>2</v>
      </c>
      <c r="D430">
        <v>2.5</v>
      </c>
      <c r="E430">
        <v>0.827024266057513</v>
      </c>
      <c r="F430">
        <v>1.621059600783779</v>
      </c>
      <c r="G430">
        <v>7.6656000000000004</v>
      </c>
      <c r="H430">
        <v>-2.3429153924566768E-2</v>
      </c>
      <c r="I430">
        <v>0.52</v>
      </c>
      <c r="J430">
        <v>9.1083640000000007E-3</v>
      </c>
      <c r="K430">
        <v>75.204074061075531</v>
      </c>
    </row>
    <row r="431" spans="1:11" x14ac:dyDescent="0.3">
      <c r="A431">
        <v>1</v>
      </c>
      <c r="B431">
        <v>30</v>
      </c>
      <c r="C431">
        <v>2</v>
      </c>
      <c r="D431">
        <v>5</v>
      </c>
      <c r="E431">
        <v>3.5784703819796233</v>
      </c>
      <c r="F431">
        <v>3.242119201567558</v>
      </c>
      <c r="G431">
        <v>7.6656000000000004</v>
      </c>
      <c r="H431">
        <v>-0.43864678899082565</v>
      </c>
      <c r="I431">
        <v>2.25</v>
      </c>
      <c r="J431">
        <v>9.1083640000000007E-3</v>
      </c>
      <c r="K431">
        <v>18.025991507363695</v>
      </c>
    </row>
    <row r="432" spans="1:11" x14ac:dyDescent="0.3">
      <c r="A432">
        <v>1</v>
      </c>
      <c r="B432">
        <v>30</v>
      </c>
      <c r="C432">
        <v>2</v>
      </c>
      <c r="D432">
        <v>7.5</v>
      </c>
      <c r="E432">
        <v>8.2066254093399387</v>
      </c>
      <c r="F432">
        <v>4.8631788023513369</v>
      </c>
      <c r="G432">
        <v>7.6656000000000004</v>
      </c>
      <c r="H432">
        <v>-2.3070091743119265</v>
      </c>
      <c r="I432">
        <v>5.16</v>
      </c>
      <c r="J432">
        <v>9.1083640000000007E-3</v>
      </c>
      <c r="K432">
        <v>6.461594803324652</v>
      </c>
    </row>
    <row r="433" spans="1:11" x14ac:dyDescent="0.3">
      <c r="A433">
        <v>1</v>
      </c>
      <c r="B433">
        <v>30</v>
      </c>
      <c r="C433">
        <v>2</v>
      </c>
      <c r="D433">
        <v>10</v>
      </c>
      <c r="E433">
        <v>16.06335593688631</v>
      </c>
      <c r="F433">
        <v>6.4842384031351159</v>
      </c>
      <c r="G433">
        <v>7.6656000000000004</v>
      </c>
      <c r="H433">
        <v>-8.838786952089702</v>
      </c>
      <c r="I433">
        <v>10.1</v>
      </c>
      <c r="J433">
        <v>9.1083640000000007E-3</v>
      </c>
      <c r="K433">
        <v>0.58666466964113628</v>
      </c>
    </row>
    <row r="434" spans="1:11" x14ac:dyDescent="0.3">
      <c r="A434">
        <v>1</v>
      </c>
      <c r="B434">
        <v>30</v>
      </c>
      <c r="C434">
        <v>2</v>
      </c>
      <c r="D434">
        <v>12.5</v>
      </c>
      <c r="E434">
        <v>23.761043336344702</v>
      </c>
      <c r="F434">
        <v>8.1052980039188949</v>
      </c>
      <c r="G434">
        <v>7.6656000000000004</v>
      </c>
      <c r="H434">
        <v>-19.339761467889907</v>
      </c>
      <c r="I434">
        <v>14.94</v>
      </c>
      <c r="J434">
        <v>9.1083640000000007E-3</v>
      </c>
      <c r="K434">
        <v>-2.7606398908773788</v>
      </c>
    </row>
    <row r="435" spans="1:11" x14ac:dyDescent="0.3">
      <c r="A435">
        <v>1</v>
      </c>
      <c r="B435">
        <v>30</v>
      </c>
      <c r="C435">
        <v>2</v>
      </c>
      <c r="D435">
        <v>15</v>
      </c>
      <c r="E435">
        <v>34.019325098019621</v>
      </c>
      <c r="F435">
        <v>9.7263576047026739</v>
      </c>
      <c r="G435">
        <v>7.6656000000000004</v>
      </c>
      <c r="H435">
        <v>-39.643454128440368</v>
      </c>
      <c r="I435">
        <v>21.39</v>
      </c>
      <c r="J435">
        <v>9.1083640000000007E-3</v>
      </c>
      <c r="K435">
        <v>-6.1279978472351644</v>
      </c>
    </row>
    <row r="436" spans="1:11" x14ac:dyDescent="0.3">
      <c r="A436">
        <v>1</v>
      </c>
      <c r="B436">
        <v>30</v>
      </c>
      <c r="C436">
        <v>2</v>
      </c>
      <c r="D436">
        <v>17.8</v>
      </c>
      <c r="E436">
        <v>43.132496337461063</v>
      </c>
      <c r="F436">
        <v>11.541944357580507</v>
      </c>
      <c r="G436">
        <v>7.6656000000000004</v>
      </c>
      <c r="H436">
        <v>-63.727853211009176</v>
      </c>
      <c r="I436">
        <v>27.12</v>
      </c>
      <c r="J436">
        <v>9.1083640000000007E-3</v>
      </c>
      <c r="K436">
        <v>-7.8988497783979801</v>
      </c>
    </row>
    <row r="437" spans="1:11" x14ac:dyDescent="0.3">
      <c r="A437">
        <v>1</v>
      </c>
      <c r="B437">
        <v>30</v>
      </c>
      <c r="C437">
        <v>4</v>
      </c>
      <c r="D437">
        <v>2.5</v>
      </c>
      <c r="E437">
        <v>0</v>
      </c>
      <c r="F437">
        <v>1.621059600783779</v>
      </c>
      <c r="G437">
        <v>7.6656000000000004</v>
      </c>
      <c r="H437">
        <v>0</v>
      </c>
      <c r="I437">
        <v>0</v>
      </c>
      <c r="J437">
        <v>9.1083640000000007E-3</v>
      </c>
      <c r="K437">
        <v>75.379001381404876</v>
      </c>
    </row>
    <row r="438" spans="1:11" x14ac:dyDescent="0.3">
      <c r="A438">
        <v>1</v>
      </c>
      <c r="B438">
        <v>30</v>
      </c>
      <c r="C438">
        <v>4</v>
      </c>
      <c r="D438">
        <v>5</v>
      </c>
      <c r="E438">
        <v>4.1987385815227594</v>
      </c>
      <c r="F438">
        <v>3.242119201567558</v>
      </c>
      <c r="G438">
        <v>7.6656000000000004</v>
      </c>
      <c r="H438">
        <v>-0.60388990825688071</v>
      </c>
      <c r="I438">
        <v>2.64</v>
      </c>
      <c r="J438">
        <v>9.1083640000000007E-3</v>
      </c>
      <c r="K438">
        <v>17.717555955773371</v>
      </c>
    </row>
    <row r="439" spans="1:11" x14ac:dyDescent="0.3">
      <c r="A439">
        <v>1</v>
      </c>
      <c r="B439">
        <v>30</v>
      </c>
      <c r="C439">
        <v>4</v>
      </c>
      <c r="D439">
        <v>7.5</v>
      </c>
      <c r="E439">
        <v>9.8288653158373656</v>
      </c>
      <c r="F439">
        <v>4.8631788023513369</v>
      </c>
      <c r="G439">
        <v>7.6656000000000004</v>
      </c>
      <c r="H439">
        <v>-3.3092293577981651</v>
      </c>
      <c r="I439">
        <v>6.18</v>
      </c>
      <c r="J439">
        <v>9.1083640000000007E-3</v>
      </c>
      <c r="K439">
        <v>5.6301724953095862</v>
      </c>
    </row>
    <row r="440" spans="1:11" x14ac:dyDescent="0.3">
      <c r="A440">
        <v>1</v>
      </c>
      <c r="B440">
        <v>30</v>
      </c>
      <c r="C440">
        <v>4</v>
      </c>
      <c r="D440">
        <v>10</v>
      </c>
      <c r="E440">
        <v>16.492772382723864</v>
      </c>
      <c r="F440">
        <v>6.4842384031351159</v>
      </c>
      <c r="G440">
        <v>7.6656000000000004</v>
      </c>
      <c r="H440">
        <v>-9.3176722731906203</v>
      </c>
      <c r="I440">
        <v>10.37</v>
      </c>
      <c r="J440">
        <v>9.1083640000000007E-3</v>
      </c>
      <c r="K440">
        <v>0.36319809079307375</v>
      </c>
    </row>
    <row r="441" spans="1:11" x14ac:dyDescent="0.3">
      <c r="A441">
        <v>1</v>
      </c>
      <c r="B441">
        <v>30</v>
      </c>
      <c r="C441">
        <v>4</v>
      </c>
      <c r="D441">
        <v>12.5</v>
      </c>
      <c r="E441">
        <v>24.333598597461442</v>
      </c>
      <c r="F441">
        <v>8.1052980039188949</v>
      </c>
      <c r="G441">
        <v>7.6656000000000004</v>
      </c>
      <c r="H441">
        <v>-20.283027522935779</v>
      </c>
      <c r="I441">
        <v>15.3</v>
      </c>
      <c r="J441">
        <v>9.1083640000000007E-3</v>
      </c>
      <c r="K441">
        <v>-3.042345331710719</v>
      </c>
    </row>
    <row r="442" spans="1:11" x14ac:dyDescent="0.3">
      <c r="A442">
        <v>1</v>
      </c>
      <c r="B442">
        <v>30</v>
      </c>
      <c r="C442">
        <v>4</v>
      </c>
      <c r="D442">
        <v>15</v>
      </c>
      <c r="E442">
        <v>35.736990881369842</v>
      </c>
      <c r="F442">
        <v>9.7263576047026739</v>
      </c>
      <c r="G442">
        <v>7.6656000000000004</v>
      </c>
      <c r="H442">
        <v>-43.747784403669712</v>
      </c>
      <c r="I442">
        <v>22.47</v>
      </c>
      <c r="J442">
        <v>9.1083640000000007E-3</v>
      </c>
      <c r="K442">
        <v>-6.9792159244886829</v>
      </c>
    </row>
    <row r="443" spans="1:11" x14ac:dyDescent="0.3">
      <c r="A443">
        <v>1</v>
      </c>
      <c r="B443">
        <v>30</v>
      </c>
      <c r="C443">
        <v>4</v>
      </c>
      <c r="D443">
        <v>17.8</v>
      </c>
      <c r="E443">
        <v>43.514199844872223</v>
      </c>
      <c r="F443">
        <v>11.541944357580507</v>
      </c>
      <c r="G443">
        <v>7.6656000000000004</v>
      </c>
      <c r="H443">
        <v>-64.860770642201828</v>
      </c>
      <c r="I443">
        <v>27.36</v>
      </c>
      <c r="J443">
        <v>9.1083640000000007E-3</v>
      </c>
      <c r="K443">
        <v>-8.0657048107070697</v>
      </c>
    </row>
    <row r="444" spans="1:11" x14ac:dyDescent="0.3">
      <c r="A444">
        <v>1</v>
      </c>
      <c r="B444">
        <v>30</v>
      </c>
      <c r="C444">
        <v>6</v>
      </c>
      <c r="D444">
        <v>2.5</v>
      </c>
      <c r="E444">
        <v>0</v>
      </c>
      <c r="F444">
        <v>1.621059600783779</v>
      </c>
      <c r="G444">
        <v>7.6656000000000004</v>
      </c>
      <c r="H444">
        <v>0</v>
      </c>
      <c r="I444">
        <v>0</v>
      </c>
      <c r="J444">
        <v>9.1083659999999997E-3</v>
      </c>
      <c r="K444">
        <v>75.379001381404876</v>
      </c>
    </row>
    <row r="445" spans="1:11" x14ac:dyDescent="0.3">
      <c r="A445">
        <v>1</v>
      </c>
      <c r="B445">
        <v>30</v>
      </c>
      <c r="C445">
        <v>6</v>
      </c>
      <c r="D445">
        <v>5</v>
      </c>
      <c r="E445">
        <v>3.6898005716412117</v>
      </c>
      <c r="F445">
        <v>3.242119201567558</v>
      </c>
      <c r="G445">
        <v>7.6656000000000004</v>
      </c>
      <c r="H445">
        <v>-0.46636493374108046</v>
      </c>
      <c r="I445">
        <v>2.3199999999999998</v>
      </c>
      <c r="J445">
        <v>9.1083659999999997E-3</v>
      </c>
      <c r="K445">
        <v>17.974254035309922</v>
      </c>
    </row>
    <row r="446" spans="1:11" x14ac:dyDescent="0.3">
      <c r="A446">
        <v>1</v>
      </c>
      <c r="B446">
        <v>30</v>
      </c>
      <c r="C446">
        <v>6</v>
      </c>
      <c r="D446">
        <v>7.5</v>
      </c>
      <c r="E446">
        <v>9.5743963108965922</v>
      </c>
      <c r="F446">
        <v>4.8631788023513369</v>
      </c>
      <c r="G446">
        <v>7.6656000000000004</v>
      </c>
      <c r="H446">
        <v>-3.1400958205912324</v>
      </c>
      <c r="I446">
        <v>6.02</v>
      </c>
      <c r="J446">
        <v>9.1083659999999997E-3</v>
      </c>
      <c r="K446">
        <v>5.7704823774935443</v>
      </c>
    </row>
    <row r="447" spans="1:11" x14ac:dyDescent="0.3">
      <c r="A447">
        <v>1</v>
      </c>
      <c r="B447">
        <v>30</v>
      </c>
      <c r="C447">
        <v>6</v>
      </c>
      <c r="D447">
        <v>10</v>
      </c>
      <c r="E447">
        <v>17.955969161133311</v>
      </c>
      <c r="F447">
        <v>6.4842384031351159</v>
      </c>
      <c r="G447">
        <v>7.6656000000000004</v>
      </c>
      <c r="H447">
        <v>-11.044290010193679</v>
      </c>
      <c r="I447">
        <v>11.29</v>
      </c>
      <c r="J447">
        <v>9.1083659999999997E-3</v>
      </c>
      <c r="K447">
        <v>-0.44250912482890353</v>
      </c>
    </row>
    <row r="448" spans="1:11" x14ac:dyDescent="0.3">
      <c r="A448">
        <v>1</v>
      </c>
      <c r="B448">
        <v>30</v>
      </c>
      <c r="C448">
        <v>6</v>
      </c>
      <c r="D448">
        <v>12.5</v>
      </c>
      <c r="E448">
        <v>23.570191582639122</v>
      </c>
      <c r="F448">
        <v>8.1052980039188949</v>
      </c>
      <c r="G448">
        <v>7.6656000000000004</v>
      </c>
      <c r="H448">
        <v>-19.030330275229357</v>
      </c>
      <c r="I448">
        <v>14.82</v>
      </c>
      <c r="J448">
        <v>9.1083659999999997E-3</v>
      </c>
      <c r="K448">
        <v>-2.6682285822442195</v>
      </c>
    </row>
    <row r="449" spans="1:11" x14ac:dyDescent="0.3">
      <c r="A449">
        <v>1</v>
      </c>
      <c r="B449">
        <v>30</v>
      </c>
      <c r="C449">
        <v>6</v>
      </c>
      <c r="D449">
        <v>15</v>
      </c>
      <c r="E449">
        <v>25.701369499018096</v>
      </c>
      <c r="F449">
        <v>9.7263576047026739</v>
      </c>
      <c r="G449">
        <v>7.6656000000000004</v>
      </c>
      <c r="H449">
        <v>-22.627294597349643</v>
      </c>
      <c r="I449">
        <v>16.16</v>
      </c>
      <c r="J449">
        <v>9.1083659999999997E-3</v>
      </c>
      <c r="K449">
        <v>-2.5989293690691864</v>
      </c>
    </row>
    <row r="450" spans="1:11" x14ac:dyDescent="0.3">
      <c r="A450">
        <v>1</v>
      </c>
      <c r="B450">
        <v>30</v>
      </c>
      <c r="C450">
        <v>6</v>
      </c>
      <c r="D450">
        <v>17.8</v>
      </c>
      <c r="E450">
        <v>34.369219979813188</v>
      </c>
      <c r="F450">
        <v>11.541944357580507</v>
      </c>
      <c r="G450">
        <v>7.6656000000000004</v>
      </c>
      <c r="H450">
        <v>-40.463127930682973</v>
      </c>
      <c r="I450">
        <v>21.61</v>
      </c>
      <c r="J450">
        <v>9.1083659999999997E-3</v>
      </c>
      <c r="K450">
        <v>-4.4724425386184574</v>
      </c>
    </row>
    <row r="451" spans="1:11" x14ac:dyDescent="0.3">
      <c r="A451">
        <v>1</v>
      </c>
      <c r="B451">
        <v>40</v>
      </c>
      <c r="C451">
        <v>1</v>
      </c>
      <c r="D451">
        <v>3.2</v>
      </c>
      <c r="E451">
        <v>0</v>
      </c>
      <c r="F451">
        <v>1.5563089785659368</v>
      </c>
      <c r="G451">
        <v>7.9885999999999999</v>
      </c>
      <c r="H451">
        <v>0</v>
      </c>
      <c r="I451">
        <v>0</v>
      </c>
      <c r="J451">
        <v>1.0389860000000001E-2</v>
      </c>
      <c r="K451">
        <v>81.781806395124647</v>
      </c>
    </row>
    <row r="452" spans="1:11" x14ac:dyDescent="0.3">
      <c r="A452">
        <v>1</v>
      </c>
      <c r="B452">
        <v>40</v>
      </c>
      <c r="C452">
        <v>1</v>
      </c>
      <c r="D452">
        <v>6.4</v>
      </c>
      <c r="E452">
        <v>2.7832547415397073</v>
      </c>
      <c r="F452">
        <v>3.1126179571318735</v>
      </c>
      <c r="G452">
        <v>7.9885999999999999</v>
      </c>
      <c r="H452">
        <v>-0.26535423037716616</v>
      </c>
      <c r="I452">
        <v>1.75</v>
      </c>
      <c r="J452">
        <v>1.0389860000000001E-2</v>
      </c>
      <c r="K452">
        <v>19.908081642985977</v>
      </c>
    </row>
    <row r="453" spans="1:11" x14ac:dyDescent="0.3">
      <c r="A453">
        <v>1</v>
      </c>
      <c r="B453">
        <v>40</v>
      </c>
      <c r="C453">
        <v>1</v>
      </c>
      <c r="D453">
        <v>9.6</v>
      </c>
      <c r="E453">
        <v>6.9978976358712659</v>
      </c>
      <c r="F453">
        <v>4.6689269356978089</v>
      </c>
      <c r="G453">
        <v>7.9885999999999999</v>
      </c>
      <c r="H453">
        <v>-1.6774719673802245</v>
      </c>
      <c r="I453">
        <v>4.4000000000000004</v>
      </c>
      <c r="J453">
        <v>1.0389860000000001E-2</v>
      </c>
      <c r="K453">
        <v>7.5770649508676753</v>
      </c>
    </row>
    <row r="454" spans="1:11" x14ac:dyDescent="0.3">
      <c r="A454">
        <v>1</v>
      </c>
      <c r="B454">
        <v>40</v>
      </c>
      <c r="C454">
        <v>1</v>
      </c>
      <c r="D454">
        <v>12.8</v>
      </c>
      <c r="E454">
        <v>11.148923278967626</v>
      </c>
      <c r="F454">
        <v>6.225235914263747</v>
      </c>
      <c r="G454">
        <v>7.9885999999999999</v>
      </c>
      <c r="H454">
        <v>-4.2578068297655447</v>
      </c>
      <c r="I454">
        <v>7.01</v>
      </c>
      <c r="J454">
        <v>1.0389860000000001E-2</v>
      </c>
      <c r="K454">
        <v>2.9557373188976652</v>
      </c>
    </row>
    <row r="455" spans="1:11" x14ac:dyDescent="0.3">
      <c r="A455">
        <v>1</v>
      </c>
      <c r="B455">
        <v>40</v>
      </c>
      <c r="C455">
        <v>1</v>
      </c>
      <c r="D455">
        <v>16</v>
      </c>
      <c r="E455">
        <v>17.637882904957344</v>
      </c>
      <c r="F455">
        <v>7.7815448928296833</v>
      </c>
      <c r="G455">
        <v>7.9885999999999999</v>
      </c>
      <c r="H455">
        <v>-10.656461264016309</v>
      </c>
      <c r="I455">
        <v>11.09</v>
      </c>
      <c r="J455">
        <v>1.0389860000000001E-2</v>
      </c>
      <c r="K455">
        <v>-0.1815987899593845</v>
      </c>
    </row>
    <row r="456" spans="1:11" x14ac:dyDescent="0.3">
      <c r="A456">
        <v>1</v>
      </c>
      <c r="B456">
        <v>40</v>
      </c>
      <c r="C456">
        <v>1</v>
      </c>
      <c r="D456">
        <v>19.2</v>
      </c>
      <c r="E456">
        <v>24.794823668916592</v>
      </c>
      <c r="F456">
        <v>9.3378538713956178</v>
      </c>
      <c r="G456">
        <v>7.9885999999999999</v>
      </c>
      <c r="H456">
        <v>-21.05921355759429</v>
      </c>
      <c r="I456">
        <v>15.59</v>
      </c>
      <c r="J456">
        <v>1.0389860000000001E-2</v>
      </c>
      <c r="K456">
        <v>-2.4668499313137833</v>
      </c>
    </row>
    <row r="457" spans="1:11" x14ac:dyDescent="0.3">
      <c r="A457">
        <v>1</v>
      </c>
      <c r="B457">
        <v>40</v>
      </c>
      <c r="C457">
        <v>1</v>
      </c>
      <c r="D457">
        <v>22.6</v>
      </c>
      <c r="E457">
        <v>31.411017797376701</v>
      </c>
      <c r="F457">
        <v>10.991432161121928</v>
      </c>
      <c r="G457">
        <v>7.9885999999999999</v>
      </c>
      <c r="H457">
        <v>-33.797464322120277</v>
      </c>
      <c r="I457">
        <v>19.75</v>
      </c>
      <c r="J457">
        <v>1.0389860000000001E-2</v>
      </c>
      <c r="K457">
        <v>-3.8491568964953773</v>
      </c>
    </row>
    <row r="458" spans="1:11" x14ac:dyDescent="0.3">
      <c r="A458">
        <v>1</v>
      </c>
      <c r="B458">
        <v>40</v>
      </c>
      <c r="C458">
        <v>2</v>
      </c>
      <c r="D458">
        <v>3.2</v>
      </c>
      <c r="E458">
        <v>0</v>
      </c>
      <c r="F458">
        <v>1.5563089785659368</v>
      </c>
      <c r="G458">
        <v>7.9885999999999999</v>
      </c>
      <c r="H458">
        <v>0</v>
      </c>
      <c r="I458">
        <v>0</v>
      </c>
      <c r="J458">
        <v>1.0389860000000001E-2</v>
      </c>
      <c r="K458">
        <v>81.781806395124647</v>
      </c>
    </row>
    <row r="459" spans="1:11" x14ac:dyDescent="0.3">
      <c r="A459">
        <v>1</v>
      </c>
      <c r="B459">
        <v>40</v>
      </c>
      <c r="C459">
        <v>2</v>
      </c>
      <c r="D459">
        <v>6.4</v>
      </c>
      <c r="E459">
        <v>3.5466617563620275</v>
      </c>
      <c r="F459">
        <v>3.1126179571318735</v>
      </c>
      <c r="G459">
        <v>7.9885999999999999</v>
      </c>
      <c r="H459">
        <v>-0.43088328236493373</v>
      </c>
      <c r="I459">
        <v>2.23</v>
      </c>
      <c r="J459">
        <v>1.0389860000000001E-2</v>
      </c>
      <c r="K459">
        <v>19.572868071214184</v>
      </c>
    </row>
    <row r="460" spans="1:11" x14ac:dyDescent="0.3">
      <c r="A460">
        <v>1</v>
      </c>
      <c r="B460">
        <v>40</v>
      </c>
      <c r="C460">
        <v>2</v>
      </c>
      <c r="D460">
        <v>9.6</v>
      </c>
      <c r="E460">
        <v>8.0634865940607519</v>
      </c>
      <c r="F460">
        <v>4.6689269356978089</v>
      </c>
      <c r="G460">
        <v>7.9885999999999999</v>
      </c>
      <c r="H460">
        <v>-2.2272339449541287</v>
      </c>
      <c r="I460">
        <v>5.07</v>
      </c>
      <c r="J460">
        <v>1.0389860000000001E-2</v>
      </c>
      <c r="K460">
        <v>7.0822537207506873</v>
      </c>
    </row>
    <row r="461" spans="1:11" x14ac:dyDescent="0.3">
      <c r="A461">
        <v>1</v>
      </c>
      <c r="B461">
        <v>40</v>
      </c>
      <c r="C461">
        <v>2</v>
      </c>
      <c r="D461">
        <v>12.8</v>
      </c>
      <c r="E461">
        <v>14.743297973756048</v>
      </c>
      <c r="F461">
        <v>6.225235914263747</v>
      </c>
      <c r="G461">
        <v>7.9885999999999999</v>
      </c>
      <c r="H461">
        <v>-7.4457660550458709</v>
      </c>
      <c r="I461">
        <v>9.27</v>
      </c>
      <c r="J461">
        <v>1.0389860000000001E-2</v>
      </c>
      <c r="K461">
        <v>1.3417499466869678</v>
      </c>
    </row>
    <row r="462" spans="1:11" x14ac:dyDescent="0.3">
      <c r="A462">
        <v>1</v>
      </c>
      <c r="B462">
        <v>40</v>
      </c>
      <c r="C462">
        <v>2</v>
      </c>
      <c r="D462">
        <v>16</v>
      </c>
      <c r="E462">
        <v>23.379339828933542</v>
      </c>
      <c r="F462">
        <v>7.7815448928296833</v>
      </c>
      <c r="G462">
        <v>7.9885999999999999</v>
      </c>
      <c r="H462">
        <v>-18.72339449541284</v>
      </c>
      <c r="I462">
        <v>14.7</v>
      </c>
      <c r="J462">
        <v>1.0389860000000001E-2</v>
      </c>
      <c r="K462">
        <v>-2.7954195971403206</v>
      </c>
    </row>
    <row r="463" spans="1:11" x14ac:dyDescent="0.3">
      <c r="A463">
        <v>1</v>
      </c>
      <c r="B463">
        <v>40</v>
      </c>
      <c r="C463">
        <v>2</v>
      </c>
      <c r="D463">
        <v>19.2</v>
      </c>
      <c r="E463">
        <v>30.4090460904224</v>
      </c>
      <c r="F463">
        <v>9.3378538713956178</v>
      </c>
      <c r="G463">
        <v>7.9885999999999999</v>
      </c>
      <c r="H463">
        <v>-31.675661569826708</v>
      </c>
      <c r="I463">
        <v>19.12</v>
      </c>
      <c r="J463">
        <v>1.0389860000000001E-2</v>
      </c>
      <c r="K463">
        <v>-4.8556736016901105</v>
      </c>
    </row>
    <row r="464" spans="1:11" x14ac:dyDescent="0.3">
      <c r="A464">
        <v>1</v>
      </c>
      <c r="B464">
        <v>40</v>
      </c>
      <c r="C464">
        <v>2</v>
      </c>
      <c r="D464">
        <v>23</v>
      </c>
      <c r="E464">
        <v>41.01722273389089</v>
      </c>
      <c r="F464">
        <v>11.185970783442668</v>
      </c>
      <c r="G464">
        <v>7.9885999999999999</v>
      </c>
      <c r="H464">
        <v>-57.630528542303765</v>
      </c>
      <c r="I464">
        <v>25.79</v>
      </c>
      <c r="J464">
        <v>1.0389860000000001E-2</v>
      </c>
      <c r="K464">
        <v>-7.453509898505799</v>
      </c>
    </row>
    <row r="465" spans="1:11" x14ac:dyDescent="0.3">
      <c r="A465">
        <v>1</v>
      </c>
      <c r="B465">
        <v>40</v>
      </c>
      <c r="C465">
        <v>4</v>
      </c>
      <c r="D465">
        <v>3.2</v>
      </c>
      <c r="E465">
        <v>0</v>
      </c>
      <c r="F465">
        <v>1.5563089785659368</v>
      </c>
      <c r="G465">
        <v>7.9885999999999999</v>
      </c>
      <c r="H465">
        <v>0</v>
      </c>
      <c r="I465">
        <v>0</v>
      </c>
      <c r="J465">
        <v>1.0389860000000001E-2</v>
      </c>
      <c r="K465">
        <v>81.781806395124647</v>
      </c>
    </row>
    <row r="466" spans="1:11" x14ac:dyDescent="0.3">
      <c r="A466">
        <v>1</v>
      </c>
      <c r="B466">
        <v>40</v>
      </c>
      <c r="C466">
        <v>4</v>
      </c>
      <c r="D466">
        <v>6.4</v>
      </c>
      <c r="E466">
        <v>4.4850162120811286</v>
      </c>
      <c r="F466">
        <v>3.1126179571318735</v>
      </c>
      <c r="G466">
        <v>7.9885999999999999</v>
      </c>
      <c r="H466">
        <v>-0.68904587155963293</v>
      </c>
      <c r="I466">
        <v>2.82</v>
      </c>
      <c r="J466">
        <v>1.0389860000000001E-2</v>
      </c>
      <c r="K466">
        <v>19.050061937894426</v>
      </c>
    </row>
    <row r="467" spans="1:11" x14ac:dyDescent="0.3">
      <c r="A467">
        <v>1</v>
      </c>
      <c r="B467">
        <v>40</v>
      </c>
      <c r="C467">
        <v>4</v>
      </c>
      <c r="D467">
        <v>9.6</v>
      </c>
      <c r="E467">
        <v>9.3199273059558205</v>
      </c>
      <c r="F467">
        <v>4.6689269356978089</v>
      </c>
      <c r="G467">
        <v>7.9885999999999999</v>
      </c>
      <c r="H467">
        <v>-2.9753985728848114</v>
      </c>
      <c r="I467">
        <v>5.86</v>
      </c>
      <c r="J467">
        <v>1.0389860000000001E-2</v>
      </c>
      <c r="K467">
        <v>6.4088709205976286</v>
      </c>
    </row>
    <row r="468" spans="1:11" x14ac:dyDescent="0.3">
      <c r="A468">
        <v>1</v>
      </c>
      <c r="B468">
        <v>40</v>
      </c>
      <c r="C468">
        <v>4</v>
      </c>
      <c r="D468">
        <v>12.8</v>
      </c>
      <c r="E468">
        <v>16.047451624077514</v>
      </c>
      <c r="F468">
        <v>6.225235914263747</v>
      </c>
      <c r="G468">
        <v>7.9885999999999999</v>
      </c>
      <c r="H468">
        <v>-8.8212930682976545</v>
      </c>
      <c r="I468">
        <v>10.09</v>
      </c>
      <c r="J468">
        <v>1.0389860000000001E-2</v>
      </c>
      <c r="K468">
        <v>0.64535357752454314</v>
      </c>
    </row>
    <row r="469" spans="1:11" x14ac:dyDescent="0.3">
      <c r="A469">
        <v>1</v>
      </c>
      <c r="B469">
        <v>40</v>
      </c>
      <c r="C469">
        <v>4</v>
      </c>
      <c r="D469">
        <v>16</v>
      </c>
      <c r="E469">
        <v>24.747110730490199</v>
      </c>
      <c r="F469">
        <v>7.7815448928296833</v>
      </c>
      <c r="G469">
        <v>7.9885999999999999</v>
      </c>
      <c r="H469">
        <v>-20.978242609582058</v>
      </c>
      <c r="I469">
        <v>15.56</v>
      </c>
      <c r="J469">
        <v>1.0389860000000001E-2</v>
      </c>
      <c r="K469">
        <v>-3.5260279645071941</v>
      </c>
    </row>
    <row r="470" spans="1:11" x14ac:dyDescent="0.3">
      <c r="A470">
        <v>1</v>
      </c>
      <c r="B470">
        <v>40</v>
      </c>
      <c r="C470">
        <v>4</v>
      </c>
      <c r="D470">
        <v>19.2</v>
      </c>
      <c r="E470">
        <v>30.902079787495154</v>
      </c>
      <c r="F470">
        <v>9.3378538713956178</v>
      </c>
      <c r="G470">
        <v>7.9885999999999999</v>
      </c>
      <c r="H470">
        <v>-32.711127930682977</v>
      </c>
      <c r="I470">
        <v>19.43</v>
      </c>
      <c r="J470">
        <v>1.0389860000000001E-2</v>
      </c>
      <c r="K470">
        <v>-5.0886655166735242</v>
      </c>
    </row>
    <row r="471" spans="1:11" x14ac:dyDescent="0.3">
      <c r="A471">
        <v>1</v>
      </c>
      <c r="B471">
        <v>40</v>
      </c>
      <c r="C471">
        <v>4</v>
      </c>
      <c r="D471">
        <v>22.9</v>
      </c>
      <c r="E471">
        <v>37.677317044043242</v>
      </c>
      <c r="F471">
        <v>11.137336127862485</v>
      </c>
      <c r="G471">
        <v>7.9885999999999999</v>
      </c>
      <c r="H471">
        <v>-48.627286952089705</v>
      </c>
      <c r="I471">
        <v>23.69</v>
      </c>
      <c r="J471">
        <v>1.0389860000000001E-2</v>
      </c>
      <c r="K471">
        <v>-6.094665346770074</v>
      </c>
    </row>
    <row r="472" spans="1:11" x14ac:dyDescent="0.3">
      <c r="A472">
        <v>1</v>
      </c>
      <c r="B472">
        <v>40</v>
      </c>
      <c r="C472">
        <v>6</v>
      </c>
      <c r="D472">
        <v>3.2</v>
      </c>
      <c r="E472">
        <v>0</v>
      </c>
      <c r="F472">
        <v>1.5563089785659368</v>
      </c>
      <c r="G472">
        <v>7.9885999999999999</v>
      </c>
      <c r="H472">
        <v>0</v>
      </c>
      <c r="I472">
        <v>0</v>
      </c>
      <c r="J472">
        <v>1.0389858E-2</v>
      </c>
      <c r="K472">
        <v>81.781806395124647</v>
      </c>
    </row>
    <row r="473" spans="1:11" x14ac:dyDescent="0.3">
      <c r="A473">
        <v>1</v>
      </c>
      <c r="B473">
        <v>40</v>
      </c>
      <c r="C473">
        <v>6</v>
      </c>
      <c r="D473">
        <v>6.4</v>
      </c>
      <c r="E473">
        <v>4.1669299559051618</v>
      </c>
      <c r="F473">
        <v>3.1126179571318735</v>
      </c>
      <c r="G473">
        <v>7.9885999999999999</v>
      </c>
      <c r="H473">
        <v>-0.59477471967380224</v>
      </c>
      <c r="I473">
        <v>2.62</v>
      </c>
      <c r="J473">
        <v>1.0389858E-2</v>
      </c>
      <c r="K473">
        <v>19.24097083974101</v>
      </c>
    </row>
    <row r="474" spans="1:11" x14ac:dyDescent="0.3">
      <c r="A474">
        <v>1</v>
      </c>
      <c r="B474">
        <v>40</v>
      </c>
      <c r="C474">
        <v>6</v>
      </c>
      <c r="D474">
        <v>9.6</v>
      </c>
      <c r="E474">
        <v>9.1449798650590388</v>
      </c>
      <c r="F474">
        <v>4.6689269356978089</v>
      </c>
      <c r="G474">
        <v>7.9885999999999999</v>
      </c>
      <c r="H474">
        <v>-2.8647426095820587</v>
      </c>
      <c r="I474">
        <v>5.75</v>
      </c>
      <c r="J474">
        <v>1.0389858E-2</v>
      </c>
      <c r="K474">
        <v>6.5084664102006808</v>
      </c>
    </row>
    <row r="475" spans="1:11" x14ac:dyDescent="0.3">
      <c r="A475">
        <v>1</v>
      </c>
      <c r="B475">
        <v>40</v>
      </c>
      <c r="C475">
        <v>6</v>
      </c>
      <c r="D475">
        <v>12.8</v>
      </c>
      <c r="E475">
        <v>15.41127911172558</v>
      </c>
      <c r="F475">
        <v>6.225235914263747</v>
      </c>
      <c r="G475">
        <v>7.9885999999999999</v>
      </c>
      <c r="H475">
        <v>-8.1357477064220163</v>
      </c>
      <c r="I475">
        <v>9.69</v>
      </c>
      <c r="J475">
        <v>1.0389858E-2</v>
      </c>
      <c r="K475">
        <v>0.99242876856548212</v>
      </c>
    </row>
    <row r="476" spans="1:11" x14ac:dyDescent="0.3">
      <c r="A476">
        <v>1</v>
      </c>
      <c r="B476">
        <v>40</v>
      </c>
      <c r="C476">
        <v>6</v>
      </c>
      <c r="D476">
        <v>16</v>
      </c>
      <c r="E476">
        <v>17.256179397546184</v>
      </c>
      <c r="F476">
        <v>7.7815448928296833</v>
      </c>
      <c r="G476">
        <v>7.9885999999999999</v>
      </c>
      <c r="H476">
        <v>-10.200216615698265</v>
      </c>
      <c r="I476">
        <v>10.85</v>
      </c>
      <c r="J476">
        <v>1.0389858E-2</v>
      </c>
      <c r="K476">
        <v>-3.3767920317712405E-2</v>
      </c>
    </row>
    <row r="477" spans="1:11" x14ac:dyDescent="0.3">
      <c r="A477">
        <v>1</v>
      </c>
      <c r="B477">
        <v>40</v>
      </c>
      <c r="C477">
        <v>6</v>
      </c>
      <c r="D477">
        <v>19.2</v>
      </c>
      <c r="E477">
        <v>20.659702338629028</v>
      </c>
      <c r="F477">
        <v>9.3378538713956178</v>
      </c>
      <c r="G477">
        <v>7.9885999999999999</v>
      </c>
      <c r="H477">
        <v>-14.620701834862386</v>
      </c>
      <c r="I477">
        <v>12.99</v>
      </c>
      <c r="J477">
        <v>1.0389858E-2</v>
      </c>
      <c r="K477">
        <v>-1.018110278697782</v>
      </c>
    </row>
    <row r="478" spans="1:11" x14ac:dyDescent="0.3">
      <c r="A478">
        <v>1</v>
      </c>
      <c r="B478">
        <v>40</v>
      </c>
      <c r="C478">
        <v>6</v>
      </c>
      <c r="D478">
        <v>22.6</v>
      </c>
      <c r="E478">
        <v>24.444928787123029</v>
      </c>
      <c r="F478">
        <v>10.991432161121928</v>
      </c>
      <c r="G478">
        <v>7.9885999999999999</v>
      </c>
      <c r="H478">
        <v>-20.469048419979607</v>
      </c>
      <c r="I478">
        <v>15.37</v>
      </c>
      <c r="J478">
        <v>1.0389858E-2</v>
      </c>
      <c r="K478">
        <v>-1.6846001715675076</v>
      </c>
    </row>
    <row r="479" spans="1:11" x14ac:dyDescent="0.3">
      <c r="A479">
        <v>1</v>
      </c>
      <c r="B479">
        <v>60</v>
      </c>
      <c r="C479">
        <v>1</v>
      </c>
      <c r="D479">
        <v>4.2</v>
      </c>
      <c r="E479">
        <v>0</v>
      </c>
      <c r="F479">
        <v>1.3616318426243035</v>
      </c>
      <c r="G479">
        <v>7.9885999999999999</v>
      </c>
      <c r="H479">
        <v>0</v>
      </c>
      <c r="I479">
        <v>0</v>
      </c>
      <c r="J479">
        <v>1.2535021E-2</v>
      </c>
      <c r="K479">
        <v>106.83878654006276</v>
      </c>
    </row>
    <row r="480" spans="1:11" x14ac:dyDescent="0.3">
      <c r="A480">
        <v>1</v>
      </c>
      <c r="B480">
        <v>60</v>
      </c>
      <c r="C480">
        <v>1</v>
      </c>
      <c r="D480">
        <v>8.4</v>
      </c>
      <c r="E480">
        <v>2.2266037932317659</v>
      </c>
      <c r="F480">
        <v>2.723263685248607</v>
      </c>
      <c r="G480">
        <v>7.9885999999999999</v>
      </c>
      <c r="H480">
        <v>-0.16982670744138631</v>
      </c>
      <c r="I480">
        <v>1.4</v>
      </c>
      <c r="J480">
        <v>1.2535021E-2</v>
      </c>
      <c r="K480">
        <v>26.260407823973399</v>
      </c>
    </row>
    <row r="481" spans="1:11" x14ac:dyDescent="0.3">
      <c r="A481">
        <v>1</v>
      </c>
      <c r="B481">
        <v>60</v>
      </c>
      <c r="C481">
        <v>1</v>
      </c>
      <c r="D481">
        <v>12.6</v>
      </c>
      <c r="E481">
        <v>7.1092278255328525</v>
      </c>
      <c r="F481">
        <v>4.0848955278729093</v>
      </c>
      <c r="G481">
        <v>7.9885999999999999</v>
      </c>
      <c r="H481">
        <v>-1.7312706422018347</v>
      </c>
      <c r="I481">
        <v>4.47</v>
      </c>
      <c r="J481">
        <v>1.2535021E-2</v>
      </c>
      <c r="K481">
        <v>9.8353312018312522</v>
      </c>
    </row>
    <row r="482" spans="1:11" x14ac:dyDescent="0.3">
      <c r="A482">
        <v>1</v>
      </c>
      <c r="B482">
        <v>60</v>
      </c>
      <c r="C482">
        <v>1</v>
      </c>
      <c r="D482">
        <v>16.8</v>
      </c>
      <c r="E482">
        <v>14.791010912182447</v>
      </c>
      <c r="F482">
        <v>5.4465273704972139</v>
      </c>
      <c r="G482">
        <v>7.9885999999999999</v>
      </c>
      <c r="H482">
        <v>-7.494036697247707</v>
      </c>
      <c r="I482">
        <v>9.3000000000000007</v>
      </c>
      <c r="J482">
        <v>1.2535021E-2</v>
      </c>
      <c r="K482">
        <v>1.7209204257120947</v>
      </c>
    </row>
    <row r="483" spans="1:11" x14ac:dyDescent="0.3">
      <c r="A483">
        <v>1</v>
      </c>
      <c r="B483">
        <v>60</v>
      </c>
      <c r="C483">
        <v>1</v>
      </c>
      <c r="D483">
        <v>21</v>
      </c>
      <c r="E483">
        <v>18.973845180896401</v>
      </c>
      <c r="F483">
        <v>6.8081592131215167</v>
      </c>
      <c r="G483">
        <v>7.9885999999999999</v>
      </c>
      <c r="H483">
        <v>-12.331923037716614</v>
      </c>
      <c r="I483">
        <v>11.93</v>
      </c>
      <c r="J483">
        <v>1.2535021E-2</v>
      </c>
      <c r="K483">
        <v>-0.94644732229244855</v>
      </c>
    </row>
    <row r="484" spans="1:11" x14ac:dyDescent="0.3">
      <c r="A484">
        <v>1</v>
      </c>
      <c r="B484">
        <v>60</v>
      </c>
      <c r="C484">
        <v>1</v>
      </c>
      <c r="D484">
        <v>25.2</v>
      </c>
      <c r="E484">
        <v>23.077157885566372</v>
      </c>
      <c r="F484">
        <v>8.1697910557458187</v>
      </c>
      <c r="G484">
        <v>7.9885999999999999</v>
      </c>
      <c r="H484">
        <v>-18.242516309887868</v>
      </c>
      <c r="I484">
        <v>14.51</v>
      </c>
      <c r="J484">
        <v>1.2535021E-2</v>
      </c>
      <c r="K484">
        <v>-2.3946885374770268</v>
      </c>
    </row>
    <row r="485" spans="1:11" x14ac:dyDescent="0.3">
      <c r="A485">
        <v>1</v>
      </c>
      <c r="B485">
        <v>60</v>
      </c>
      <c r="C485">
        <v>1</v>
      </c>
      <c r="D485">
        <v>29.4</v>
      </c>
      <c r="E485">
        <v>29.900108080540853</v>
      </c>
      <c r="F485">
        <v>9.5314228983701224</v>
      </c>
      <c r="G485">
        <v>7.9885999999999999</v>
      </c>
      <c r="H485">
        <v>-30.624260958205916</v>
      </c>
      <c r="I485">
        <v>18.8</v>
      </c>
      <c r="J485">
        <v>1.2535021E-2</v>
      </c>
      <c r="K485">
        <v>-4.433387420664614</v>
      </c>
    </row>
    <row r="486" spans="1:11" x14ac:dyDescent="0.3">
      <c r="A486">
        <v>1</v>
      </c>
      <c r="B486">
        <v>60</v>
      </c>
      <c r="C486">
        <v>2</v>
      </c>
      <c r="D486">
        <v>4.2</v>
      </c>
      <c r="E486">
        <v>0.89064151729270657</v>
      </c>
      <c r="F486">
        <v>1.3616318426243035</v>
      </c>
      <c r="G486">
        <v>7.9885999999999999</v>
      </c>
      <c r="H486">
        <v>-2.7172273190621814E-2</v>
      </c>
      <c r="I486">
        <v>0.56000000000000005</v>
      </c>
      <c r="J486">
        <v>1.2535022E-2</v>
      </c>
      <c r="K486">
        <v>106.55124170099569</v>
      </c>
    </row>
    <row r="487" spans="1:11" x14ac:dyDescent="0.3">
      <c r="A487">
        <v>1</v>
      </c>
      <c r="B487">
        <v>60</v>
      </c>
      <c r="C487">
        <v>2</v>
      </c>
      <c r="D487">
        <v>8.4</v>
      </c>
      <c r="E487">
        <v>2.8945849312012961</v>
      </c>
      <c r="F487">
        <v>2.723263685248607</v>
      </c>
      <c r="G487">
        <v>7.9885999999999999</v>
      </c>
      <c r="H487">
        <v>-0.28700713557594287</v>
      </c>
      <c r="I487">
        <v>1.82</v>
      </c>
      <c r="J487">
        <v>1.2535022E-2</v>
      </c>
      <c r="K487">
        <v>25.950398544354215</v>
      </c>
    </row>
    <row r="488" spans="1:11" x14ac:dyDescent="0.3">
      <c r="A488">
        <v>1</v>
      </c>
      <c r="B488">
        <v>60</v>
      </c>
      <c r="C488">
        <v>2</v>
      </c>
      <c r="D488">
        <v>12.6</v>
      </c>
      <c r="E488">
        <v>6.616194128460104</v>
      </c>
      <c r="F488">
        <v>4.0848955278729093</v>
      </c>
      <c r="G488">
        <v>7.9885999999999999</v>
      </c>
      <c r="H488">
        <v>-1.4994658511722732</v>
      </c>
      <c r="I488">
        <v>4.16</v>
      </c>
      <c r="J488">
        <v>1.2535022E-2</v>
      </c>
      <c r="K488">
        <v>10.107889559242011</v>
      </c>
    </row>
    <row r="489" spans="1:11" x14ac:dyDescent="0.3">
      <c r="A489">
        <v>1</v>
      </c>
      <c r="B489">
        <v>60</v>
      </c>
      <c r="C489">
        <v>2</v>
      </c>
      <c r="D489">
        <v>16.8</v>
      </c>
      <c r="E489">
        <v>11.816904416937156</v>
      </c>
      <c r="F489">
        <v>5.4465273704972139</v>
      </c>
      <c r="G489">
        <v>7.9885999999999999</v>
      </c>
      <c r="H489">
        <v>-4.7832991845056059</v>
      </c>
      <c r="I489">
        <v>7.43</v>
      </c>
      <c r="J489">
        <v>1.2535022E-2</v>
      </c>
      <c r="K489">
        <v>3.5137833571329171</v>
      </c>
    </row>
    <row r="490" spans="1:11" x14ac:dyDescent="0.3">
      <c r="A490">
        <v>1</v>
      </c>
      <c r="B490">
        <v>60</v>
      </c>
      <c r="C490">
        <v>2</v>
      </c>
      <c r="D490">
        <v>21</v>
      </c>
      <c r="E490">
        <v>16.890380202943824</v>
      </c>
      <c r="F490">
        <v>6.8081592131215167</v>
      </c>
      <c r="G490">
        <v>7.9885999999999999</v>
      </c>
      <c r="H490">
        <v>-9.7723486238532082</v>
      </c>
      <c r="I490">
        <v>10.62</v>
      </c>
      <c r="J490">
        <v>1.2535022E-2</v>
      </c>
      <c r="K490">
        <v>0.13699889179692815</v>
      </c>
    </row>
    <row r="491" spans="1:11" x14ac:dyDescent="0.3">
      <c r="A491">
        <v>1</v>
      </c>
      <c r="B491">
        <v>60</v>
      </c>
      <c r="C491">
        <v>2</v>
      </c>
      <c r="D491">
        <v>25.2</v>
      </c>
      <c r="E491">
        <v>21.184544661319372</v>
      </c>
      <c r="F491">
        <v>8.1697910557458187</v>
      </c>
      <c r="G491">
        <v>7.9885999999999999</v>
      </c>
      <c r="H491">
        <v>-15.372990825688074</v>
      </c>
      <c r="I491">
        <v>13.32</v>
      </c>
      <c r="J491">
        <v>1.2535022E-2</v>
      </c>
      <c r="K491">
        <v>-1.5511844525872678</v>
      </c>
    </row>
    <row r="492" spans="1:11" x14ac:dyDescent="0.3">
      <c r="A492">
        <v>1</v>
      </c>
      <c r="B492">
        <v>60</v>
      </c>
      <c r="C492">
        <v>2</v>
      </c>
      <c r="D492">
        <v>29</v>
      </c>
      <c r="E492">
        <v>24.667589166446206</v>
      </c>
      <c r="F492">
        <v>9.401743675263047</v>
      </c>
      <c r="G492">
        <v>7.9885999999999999</v>
      </c>
      <c r="H492">
        <v>-20.843637614678901</v>
      </c>
      <c r="I492">
        <v>15.51</v>
      </c>
      <c r="J492">
        <v>1.2535022E-2</v>
      </c>
      <c r="K492">
        <v>-2.3855866976326254</v>
      </c>
    </row>
    <row r="493" spans="1:11" x14ac:dyDescent="0.3">
      <c r="A493">
        <v>1</v>
      </c>
      <c r="B493">
        <v>60</v>
      </c>
      <c r="C493">
        <v>4</v>
      </c>
      <c r="D493">
        <v>4.2</v>
      </c>
      <c r="E493">
        <v>0.85883289167510968</v>
      </c>
      <c r="F493">
        <v>1.3616318426243035</v>
      </c>
      <c r="G493">
        <v>7.9885999999999999</v>
      </c>
      <c r="H493">
        <v>-2.5266055045871563E-2</v>
      </c>
      <c r="I493">
        <v>0.54</v>
      </c>
      <c r="J493">
        <v>1.2535019999999999E-2</v>
      </c>
      <c r="K493">
        <v>106.57141385169554</v>
      </c>
    </row>
    <row r="494" spans="1:11" x14ac:dyDescent="0.3">
      <c r="A494">
        <v>1</v>
      </c>
      <c r="B494">
        <v>60</v>
      </c>
      <c r="C494">
        <v>4</v>
      </c>
      <c r="D494">
        <v>8.4</v>
      </c>
      <c r="E494">
        <v>3.308097064230052</v>
      </c>
      <c r="F494">
        <v>2.723263685248607</v>
      </c>
      <c r="G494">
        <v>7.9885999999999999</v>
      </c>
      <c r="H494">
        <v>-0.37486646279306829</v>
      </c>
      <c r="I494">
        <v>2.08</v>
      </c>
      <c r="J494">
        <v>1.2535019999999999E-2</v>
      </c>
      <c r="K494">
        <v>25.717960353335396</v>
      </c>
    </row>
    <row r="495" spans="1:11" x14ac:dyDescent="0.3">
      <c r="A495">
        <v>1</v>
      </c>
      <c r="B495">
        <v>60</v>
      </c>
      <c r="C495">
        <v>4</v>
      </c>
      <c r="D495">
        <v>12.6</v>
      </c>
      <c r="E495">
        <v>7.8249219019287768</v>
      </c>
      <c r="F495">
        <v>4.0848955278729093</v>
      </c>
      <c r="G495">
        <v>7.9885999999999999</v>
      </c>
      <c r="H495">
        <v>-2.0973944954128436</v>
      </c>
      <c r="I495">
        <v>4.92</v>
      </c>
      <c r="J495">
        <v>1.2535019999999999E-2</v>
      </c>
      <c r="K495">
        <v>9.4048391675774621</v>
      </c>
    </row>
    <row r="496" spans="1:11" x14ac:dyDescent="0.3">
      <c r="A496">
        <v>1</v>
      </c>
      <c r="B496">
        <v>60</v>
      </c>
      <c r="C496">
        <v>4</v>
      </c>
      <c r="D496">
        <v>16.8</v>
      </c>
      <c r="E496">
        <v>10.989880150879644</v>
      </c>
      <c r="F496">
        <v>5.4465273704972139</v>
      </c>
      <c r="G496">
        <v>7.9885999999999999</v>
      </c>
      <c r="H496">
        <v>-4.1371952089704376</v>
      </c>
      <c r="I496">
        <v>6.91</v>
      </c>
      <c r="J496">
        <v>1.2535019999999999E-2</v>
      </c>
      <c r="K496">
        <v>3.9411120313905923</v>
      </c>
    </row>
    <row r="497" spans="1:11" x14ac:dyDescent="0.3">
      <c r="A497">
        <v>1</v>
      </c>
      <c r="B497">
        <v>60</v>
      </c>
      <c r="C497">
        <v>4</v>
      </c>
      <c r="D497">
        <v>21</v>
      </c>
      <c r="E497">
        <v>12.166799298730721</v>
      </c>
      <c r="F497">
        <v>6.8081592131215167</v>
      </c>
      <c r="G497">
        <v>7.9885999999999999</v>
      </c>
      <c r="H497">
        <v>-5.0707568807339447</v>
      </c>
      <c r="I497">
        <v>7.65</v>
      </c>
      <c r="J497">
        <v>1.2535019999999999E-2</v>
      </c>
      <c r="K497">
        <v>2.1271429355435236</v>
      </c>
    </row>
    <row r="498" spans="1:11" x14ac:dyDescent="0.3">
      <c r="A498">
        <v>1</v>
      </c>
      <c r="B498">
        <v>60</v>
      </c>
      <c r="C498">
        <v>4</v>
      </c>
      <c r="D498">
        <v>25.2</v>
      </c>
      <c r="E498">
        <v>14.854628163417638</v>
      </c>
      <c r="F498">
        <v>8.1697910557458187</v>
      </c>
      <c r="G498">
        <v>7.9885999999999999</v>
      </c>
      <c r="H498">
        <v>-7.5586401630988771</v>
      </c>
      <c r="I498">
        <v>9.34</v>
      </c>
      <c r="J498">
        <v>1.2535019999999999E-2</v>
      </c>
      <c r="K498">
        <v>0.74586317460712626</v>
      </c>
    </row>
    <row r="499" spans="1:11" x14ac:dyDescent="0.3">
      <c r="A499">
        <v>1</v>
      </c>
      <c r="B499">
        <v>60</v>
      </c>
      <c r="C499">
        <v>4</v>
      </c>
      <c r="D499">
        <v>29.3</v>
      </c>
      <c r="E499">
        <v>17.208466459119794</v>
      </c>
      <c r="F499">
        <v>9.4990030925933535</v>
      </c>
      <c r="G499">
        <v>7.9885999999999999</v>
      </c>
      <c r="H499">
        <v>-10.143887869520896</v>
      </c>
      <c r="I499">
        <v>10.82</v>
      </c>
      <c r="J499">
        <v>1.2535019999999999E-2</v>
      </c>
      <c r="K499">
        <v>-1.0412822398084611E-2</v>
      </c>
    </row>
    <row r="500" spans="1:11" x14ac:dyDescent="0.3">
      <c r="A500">
        <v>1</v>
      </c>
      <c r="B500">
        <v>60</v>
      </c>
      <c r="C500">
        <v>6</v>
      </c>
      <c r="D500">
        <v>4.2</v>
      </c>
      <c r="E500">
        <v>0</v>
      </c>
      <c r="F500">
        <v>1.3616318426243035</v>
      </c>
      <c r="G500">
        <v>7.9885999999999999</v>
      </c>
      <c r="H500">
        <v>0</v>
      </c>
      <c r="I500">
        <v>0</v>
      </c>
      <c r="J500">
        <v>1.2535020000000001E-2</v>
      </c>
      <c r="K500">
        <v>106.83878654006276</v>
      </c>
    </row>
    <row r="501" spans="1:11" x14ac:dyDescent="0.3">
      <c r="A501">
        <v>1</v>
      </c>
      <c r="B501">
        <v>60</v>
      </c>
      <c r="C501">
        <v>6</v>
      </c>
      <c r="D501">
        <v>8.4</v>
      </c>
      <c r="E501">
        <v>1.6699528449238243</v>
      </c>
      <c r="F501">
        <v>2.723263685248607</v>
      </c>
      <c r="G501">
        <v>7.9885999999999999</v>
      </c>
      <c r="H501">
        <v>-9.5527522935779804E-2</v>
      </c>
      <c r="I501">
        <v>1.05</v>
      </c>
      <c r="J501">
        <v>1.2535020000000001E-2</v>
      </c>
      <c r="K501">
        <v>26.456971678804397</v>
      </c>
    </row>
    <row r="502" spans="1:11" x14ac:dyDescent="0.3">
      <c r="A502">
        <v>1</v>
      </c>
      <c r="B502">
        <v>60</v>
      </c>
      <c r="C502">
        <v>6</v>
      </c>
      <c r="D502">
        <v>12.6</v>
      </c>
      <c r="E502">
        <v>2.6242116134517239</v>
      </c>
      <c r="F502">
        <v>4.0848955278729093</v>
      </c>
      <c r="G502">
        <v>7.9885999999999999</v>
      </c>
      <c r="H502">
        <v>-0.23589449541284399</v>
      </c>
      <c r="I502">
        <v>1.65</v>
      </c>
      <c r="J502">
        <v>1.2535020000000001E-2</v>
      </c>
      <c r="K502">
        <v>11.593609210106154</v>
      </c>
    </row>
    <row r="503" spans="1:11" x14ac:dyDescent="0.3">
      <c r="A503">
        <v>1</v>
      </c>
      <c r="B503">
        <v>60</v>
      </c>
      <c r="C503">
        <v>6</v>
      </c>
      <c r="D503">
        <v>16.8</v>
      </c>
      <c r="E503">
        <v>4.739485217021902</v>
      </c>
      <c r="F503">
        <v>5.4465273704972139</v>
      </c>
      <c r="G503">
        <v>7.9885999999999999</v>
      </c>
      <c r="H503">
        <v>-0.76945361875637097</v>
      </c>
      <c r="I503">
        <v>2.98</v>
      </c>
      <c r="J503">
        <v>1.2535020000000001E-2</v>
      </c>
      <c r="K503">
        <v>6.1685128886544351</v>
      </c>
    </row>
    <row r="504" spans="1:11" x14ac:dyDescent="0.3">
      <c r="A504">
        <v>1</v>
      </c>
      <c r="B504">
        <v>60</v>
      </c>
      <c r="C504">
        <v>6</v>
      </c>
      <c r="D504">
        <v>21</v>
      </c>
      <c r="E504">
        <v>6.3776294363281298</v>
      </c>
      <c r="F504">
        <v>6.8081592131215167</v>
      </c>
      <c r="G504">
        <v>7.9885999999999999</v>
      </c>
      <c r="H504">
        <v>-1.393280835881753</v>
      </c>
      <c r="I504">
        <v>4.01</v>
      </c>
      <c r="J504">
        <v>1.2535020000000001E-2</v>
      </c>
      <c r="K504">
        <v>3.683787460750171</v>
      </c>
    </row>
    <row r="505" spans="1:11" x14ac:dyDescent="0.3">
      <c r="A505">
        <v>1</v>
      </c>
      <c r="B505">
        <v>60</v>
      </c>
      <c r="C505">
        <v>6</v>
      </c>
      <c r="D505">
        <v>25.2</v>
      </c>
      <c r="E505">
        <v>8.8905108601182654</v>
      </c>
      <c r="F505">
        <v>8.1697910557458187</v>
      </c>
      <c r="G505">
        <v>7.9885999999999999</v>
      </c>
      <c r="H505">
        <v>-2.7075316004077465</v>
      </c>
      <c r="I505">
        <v>5.59</v>
      </c>
      <c r="J505">
        <v>1.2535020000000001E-2</v>
      </c>
      <c r="K505">
        <v>2.171858486865085</v>
      </c>
    </row>
    <row r="506" spans="1:11" x14ac:dyDescent="0.3">
      <c r="A506">
        <v>1</v>
      </c>
      <c r="B506">
        <v>60</v>
      </c>
      <c r="C506">
        <v>6</v>
      </c>
      <c r="D506">
        <v>29.6</v>
      </c>
      <c r="E506">
        <v>11.228444843011619</v>
      </c>
      <c r="F506">
        <v>9.5962625099236618</v>
      </c>
      <c r="G506">
        <v>7.9885999999999999</v>
      </c>
      <c r="H506">
        <v>-4.3187624872578994</v>
      </c>
      <c r="I506">
        <v>7.06</v>
      </c>
      <c r="J506">
        <v>1.2535020000000001E-2</v>
      </c>
      <c r="K506">
        <v>1.2308779337247449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3489-AB4A-4A10-B3E6-6A25850319FE}">
  <dimension ref="A1:G506"/>
  <sheetViews>
    <sheetView tabSelected="1" workbookViewId="0">
      <selection activeCell="K25" sqref="K25"/>
    </sheetView>
  </sheetViews>
  <sheetFormatPr defaultRowHeight="14.4" x14ac:dyDescent="0.3"/>
  <sheetData>
    <row r="1" spans="1:7" x14ac:dyDescent="0.3">
      <c r="A1" t="s">
        <v>15</v>
      </c>
      <c r="B1" t="s">
        <v>0</v>
      </c>
      <c r="C1" t="s">
        <v>5</v>
      </c>
      <c r="D1" t="s">
        <v>6</v>
      </c>
      <c r="E1" t="s">
        <v>29</v>
      </c>
      <c r="F1" t="s">
        <v>20</v>
      </c>
      <c r="G1" t="s">
        <v>9</v>
      </c>
    </row>
    <row r="2" spans="1:7" x14ac:dyDescent="0.3">
      <c r="A2" t="s">
        <v>13</v>
      </c>
      <c r="B2" t="s">
        <v>13</v>
      </c>
      <c r="C2" t="s">
        <v>13</v>
      </c>
      <c r="D2" t="s">
        <v>13</v>
      </c>
      <c r="E2" t="s">
        <v>13</v>
      </c>
      <c r="G2" t="s">
        <v>13</v>
      </c>
    </row>
    <row r="3" spans="1:7" x14ac:dyDescent="0.3">
      <c r="A3">
        <v>0.6</v>
      </c>
      <c r="B3">
        <v>10</v>
      </c>
      <c r="C3">
        <v>4.0000000000000001E-3</v>
      </c>
      <c r="D3">
        <v>6.1631616874318302</v>
      </c>
      <c r="E3">
        <v>0</v>
      </c>
      <c r="F3">
        <v>0</v>
      </c>
      <c r="G3">
        <v>56.551530256083318</v>
      </c>
    </row>
    <row r="4" spans="1:7" x14ac:dyDescent="0.3">
      <c r="A4">
        <v>0.6</v>
      </c>
      <c r="B4">
        <v>10</v>
      </c>
      <c r="C4">
        <v>4.0000000000000001E-3</v>
      </c>
      <c r="D4">
        <v>12.32632337486366</v>
      </c>
      <c r="E4">
        <v>0.72666947368421053</v>
      </c>
      <c r="F4">
        <v>2.2768279389437613</v>
      </c>
      <c r="G4">
        <v>13.2402000732472</v>
      </c>
    </row>
    <row r="5" spans="1:7" x14ac:dyDescent="0.3">
      <c r="A5">
        <v>0.6</v>
      </c>
      <c r="B5">
        <v>10</v>
      </c>
      <c r="C5">
        <v>4.0000000000000001E-3</v>
      </c>
      <c r="D5">
        <v>18.48948506229549</v>
      </c>
      <c r="E5">
        <v>1.114938947368421</v>
      </c>
      <c r="F5">
        <v>3.4933683573009655</v>
      </c>
      <c r="G5">
        <v>4.1702523059767316</v>
      </c>
    </row>
    <row r="6" spans="1:7" x14ac:dyDescent="0.3">
      <c r="A6">
        <v>0.6</v>
      </c>
      <c r="B6">
        <v>10</v>
      </c>
      <c r="C6">
        <v>4.0000000000000001E-3</v>
      </c>
      <c r="D6">
        <v>24.652646749727321</v>
      </c>
      <c r="E6">
        <v>1.5602021052631578</v>
      </c>
      <c r="F6">
        <v>4.8884835159674864</v>
      </c>
      <c r="G6">
        <v>-0.60372139474969488</v>
      </c>
    </row>
    <row r="7" spans="1:7" x14ac:dyDescent="0.3">
      <c r="A7">
        <v>0.6</v>
      </c>
      <c r="B7">
        <v>10</v>
      </c>
      <c r="C7">
        <v>4.0000000000000001E-3</v>
      </c>
      <c r="D7">
        <v>30.815808437159149</v>
      </c>
      <c r="E7">
        <v>1.7023301052631579</v>
      </c>
      <c r="F7">
        <v>5.3338042746138381</v>
      </c>
      <c r="G7">
        <v>-2.6644160281416327</v>
      </c>
    </row>
    <row r="8" spans="1:7" x14ac:dyDescent="0.3">
      <c r="A8">
        <v>0.6</v>
      </c>
      <c r="B8">
        <v>10</v>
      </c>
      <c r="C8">
        <v>4.0000000000000001E-3</v>
      </c>
      <c r="D8">
        <v>36.654593193673513</v>
      </c>
      <c r="E8">
        <v>1.7590810619469024</v>
      </c>
      <c r="F8">
        <v>5.5116184919694016</v>
      </c>
      <c r="G8">
        <v>-3.6616205349629114</v>
      </c>
    </row>
    <row r="9" spans="1:7" x14ac:dyDescent="0.3">
      <c r="A9">
        <v>0.6</v>
      </c>
      <c r="B9">
        <v>10</v>
      </c>
      <c r="C9">
        <v>4.0000000000000001E-3</v>
      </c>
      <c r="D9">
        <v>42.817754881105344</v>
      </c>
      <c r="E9">
        <v>1.7296854545454543</v>
      </c>
      <c r="F9">
        <v>5.4195150768162783</v>
      </c>
      <c r="G9">
        <v>-3.9144143539785112</v>
      </c>
    </row>
    <row r="10" spans="1:7" x14ac:dyDescent="0.3">
      <c r="A10">
        <v>0.6</v>
      </c>
      <c r="B10">
        <v>10</v>
      </c>
      <c r="C10">
        <v>2E-3</v>
      </c>
      <c r="D10">
        <v>6.1631616874318302</v>
      </c>
      <c r="E10">
        <v>0</v>
      </c>
      <c r="F10">
        <v>0</v>
      </c>
      <c r="G10">
        <v>56.551530256083318</v>
      </c>
    </row>
    <row r="11" spans="1:7" x14ac:dyDescent="0.3">
      <c r="A11">
        <v>0.6</v>
      </c>
      <c r="B11">
        <v>10</v>
      </c>
      <c r="C11">
        <v>2E-3</v>
      </c>
      <c r="D11">
        <v>12.32632337486366</v>
      </c>
      <c r="E11">
        <v>0.7426989473684209</v>
      </c>
      <c r="F11">
        <v>2.327052084655755</v>
      </c>
      <c r="G11">
        <v>13.200159629103156</v>
      </c>
    </row>
    <row r="12" spans="1:7" x14ac:dyDescent="0.3">
      <c r="A12">
        <v>0.6</v>
      </c>
      <c r="B12">
        <v>10</v>
      </c>
      <c r="C12">
        <v>2E-3</v>
      </c>
      <c r="D12">
        <v>18.48948506229549</v>
      </c>
      <c r="E12">
        <v>1.0294484210526316</v>
      </c>
      <c r="F12">
        <v>3.2255062468369942</v>
      </c>
      <c r="G12">
        <v>4.4819044740538496</v>
      </c>
    </row>
    <row r="13" spans="1:7" x14ac:dyDescent="0.3">
      <c r="A13">
        <v>0.6</v>
      </c>
      <c r="B13">
        <v>10</v>
      </c>
      <c r="C13">
        <v>2E-3</v>
      </c>
      <c r="D13">
        <v>24.652646749727321</v>
      </c>
      <c r="E13">
        <v>1.6603863157894736</v>
      </c>
      <c r="F13">
        <v>5.2023844266674519</v>
      </c>
      <c r="G13">
        <v>-1.1522299790183927</v>
      </c>
    </row>
    <row r="14" spans="1:7" x14ac:dyDescent="0.3">
      <c r="A14">
        <v>0.6</v>
      </c>
      <c r="B14">
        <v>10</v>
      </c>
      <c r="C14">
        <v>2E-3</v>
      </c>
      <c r="D14">
        <v>30.815808437159149</v>
      </c>
      <c r="E14">
        <v>2.0282627368421053</v>
      </c>
      <c r="F14">
        <v>6.3550285707577316</v>
      </c>
      <c r="G14">
        <v>-4.7314833301824537</v>
      </c>
    </row>
    <row r="15" spans="1:7" x14ac:dyDescent="0.3">
      <c r="A15">
        <v>0.6</v>
      </c>
      <c r="B15">
        <v>10</v>
      </c>
      <c r="C15">
        <v>2E-3</v>
      </c>
      <c r="D15">
        <v>36.654593193673513</v>
      </c>
      <c r="E15">
        <v>2.0950853097345132</v>
      </c>
      <c r="F15">
        <v>6.5643995522332208</v>
      </c>
      <c r="G15">
        <v>-5.8631481983236133</v>
      </c>
    </row>
    <row r="16" spans="1:7" x14ac:dyDescent="0.3">
      <c r="A16">
        <v>0.6</v>
      </c>
      <c r="B16">
        <v>10</v>
      </c>
      <c r="C16">
        <v>2E-3</v>
      </c>
      <c r="D16">
        <v>42.817754881105344</v>
      </c>
      <c r="E16">
        <v>2.2288254545454547</v>
      </c>
      <c r="F16">
        <v>6.9834391696814473</v>
      </c>
      <c r="G16">
        <v>-7.2733612837566932</v>
      </c>
    </row>
    <row r="17" spans="1:7" x14ac:dyDescent="0.3">
      <c r="A17">
        <v>0.6</v>
      </c>
      <c r="B17">
        <v>10</v>
      </c>
      <c r="C17">
        <v>1E-3</v>
      </c>
      <c r="D17">
        <v>6.1631616874318302</v>
      </c>
      <c r="E17">
        <v>0</v>
      </c>
      <c r="F17">
        <v>0</v>
      </c>
      <c r="G17">
        <v>56.551530256083318</v>
      </c>
    </row>
    <row r="18" spans="1:7" x14ac:dyDescent="0.3">
      <c r="A18">
        <v>0.6</v>
      </c>
      <c r="B18">
        <v>10</v>
      </c>
      <c r="C18">
        <v>1E-3</v>
      </c>
      <c r="D18">
        <v>12.32632337486366</v>
      </c>
      <c r="E18">
        <v>0.75605684210526314</v>
      </c>
      <c r="F18">
        <v>2.3689055394157505</v>
      </c>
      <c r="G18">
        <v>13.166125251580718</v>
      </c>
    </row>
    <row r="19" spans="1:7" x14ac:dyDescent="0.3">
      <c r="A19">
        <v>0.6</v>
      </c>
      <c r="B19">
        <v>10</v>
      </c>
      <c r="C19">
        <v>1E-3</v>
      </c>
      <c r="D19">
        <v>18.48948506229549</v>
      </c>
      <c r="E19">
        <v>1.3108547368421053</v>
      </c>
      <c r="F19">
        <v>4.107219027114235</v>
      </c>
      <c r="G19">
        <v>3.3623251219146817</v>
      </c>
    </row>
    <row r="20" spans="1:7" x14ac:dyDescent="0.3">
      <c r="A20">
        <v>0.6</v>
      </c>
      <c r="B20">
        <v>10</v>
      </c>
      <c r="C20">
        <v>1E-3</v>
      </c>
      <c r="D20">
        <v>24.652646749727321</v>
      </c>
      <c r="E20">
        <v>1.7552273684210526</v>
      </c>
      <c r="F20">
        <v>5.4995439554634222</v>
      </c>
      <c r="G20">
        <v>-1.7029286542470909</v>
      </c>
    </row>
    <row r="21" spans="1:7" x14ac:dyDescent="0.3">
      <c r="A21">
        <v>0.6</v>
      </c>
      <c r="B21">
        <v>10</v>
      </c>
      <c r="C21">
        <v>1E-3</v>
      </c>
      <c r="D21">
        <v>30.815808437159149</v>
      </c>
      <c r="E21">
        <v>2.1800084210526314</v>
      </c>
      <c r="F21">
        <v>6.83048381683128</v>
      </c>
      <c r="G21">
        <v>-5.8170812067193269</v>
      </c>
    </row>
    <row r="22" spans="1:7" x14ac:dyDescent="0.3">
      <c r="A22">
        <v>0.6</v>
      </c>
      <c r="B22">
        <v>10</v>
      </c>
      <c r="C22">
        <v>1E-3</v>
      </c>
      <c r="D22">
        <v>36.654593193673513</v>
      </c>
      <c r="E22">
        <v>2.1202407079646015</v>
      </c>
      <c r="F22">
        <v>6.6432173856219565</v>
      </c>
      <c r="G22">
        <v>-6.0434131462199003</v>
      </c>
    </row>
    <row r="23" spans="1:7" x14ac:dyDescent="0.3">
      <c r="A23">
        <v>0.6</v>
      </c>
      <c r="B23">
        <v>10</v>
      </c>
      <c r="C23">
        <v>1E-3</v>
      </c>
      <c r="D23">
        <v>43.142131812022811</v>
      </c>
      <c r="E23">
        <v>2.3227470676691726</v>
      </c>
      <c r="F23">
        <v>7.2777178762666628</v>
      </c>
      <c r="G23">
        <v>-8.0176488362527092</v>
      </c>
    </row>
    <row r="24" spans="1:7" x14ac:dyDescent="0.3">
      <c r="A24">
        <v>0.6</v>
      </c>
      <c r="B24">
        <v>10</v>
      </c>
      <c r="C24">
        <v>6.6666666666666664E-4</v>
      </c>
      <c r="D24">
        <v>6.1631616874318302</v>
      </c>
      <c r="E24">
        <v>0</v>
      </c>
      <c r="F24">
        <v>0</v>
      </c>
      <c r="G24">
        <v>56.551530256083318</v>
      </c>
    </row>
    <row r="25" spans="1:7" x14ac:dyDescent="0.3">
      <c r="A25">
        <v>0.6</v>
      </c>
      <c r="B25">
        <v>10</v>
      </c>
      <c r="C25">
        <v>6.6666666666666664E-4</v>
      </c>
      <c r="D25">
        <v>12.32632337486366</v>
      </c>
      <c r="E25">
        <v>0.58774736842105268</v>
      </c>
      <c r="F25">
        <v>1.8415520094398068</v>
      </c>
      <c r="G25">
        <v>13.550622716574846</v>
      </c>
    </row>
    <row r="26" spans="1:7" x14ac:dyDescent="0.3">
      <c r="A26">
        <v>0.6</v>
      </c>
      <c r="B26">
        <v>10</v>
      </c>
      <c r="C26">
        <v>6.6666666666666664E-4</v>
      </c>
      <c r="D26">
        <v>18.48948506229549</v>
      </c>
      <c r="E26">
        <v>1.2894821052631578</v>
      </c>
      <c r="F26">
        <v>4.0402534994982418</v>
      </c>
      <c r="G26">
        <v>3.4568043921373963</v>
      </c>
    </row>
    <row r="27" spans="1:7" x14ac:dyDescent="0.3">
      <c r="A27">
        <v>0.6</v>
      </c>
      <c r="B27">
        <v>10</v>
      </c>
      <c r="C27">
        <v>6.6666666666666664E-4</v>
      </c>
      <c r="D27">
        <v>24.652646749727321</v>
      </c>
      <c r="E27">
        <v>1.7338547368421051</v>
      </c>
      <c r="F27">
        <v>5.4325784278474289</v>
      </c>
      <c r="G27">
        <v>-1.5761581813934618</v>
      </c>
    </row>
    <row r="28" spans="1:7" x14ac:dyDescent="0.3">
      <c r="A28">
        <v>0.6</v>
      </c>
      <c r="B28">
        <v>10</v>
      </c>
      <c r="C28">
        <v>6.6666666666666664E-4</v>
      </c>
      <c r="D28">
        <v>30.815808437159149</v>
      </c>
      <c r="E28">
        <v>1.9748311578947368</v>
      </c>
      <c r="F28">
        <v>6.1876147517177484</v>
      </c>
      <c r="G28">
        <v>-4.3678675634828412</v>
      </c>
    </row>
    <row r="29" spans="1:7" x14ac:dyDescent="0.3">
      <c r="A29">
        <v>0.6</v>
      </c>
      <c r="B29">
        <v>10</v>
      </c>
      <c r="C29">
        <v>6.6666666666666664E-4</v>
      </c>
      <c r="D29">
        <v>36.654593193673513</v>
      </c>
      <c r="E29">
        <v>2.1732467256637165</v>
      </c>
      <c r="F29">
        <v>6.809297820262505</v>
      </c>
      <c r="G29">
        <v>-6.4303002867462125</v>
      </c>
    </row>
    <row r="30" spans="1:7" x14ac:dyDescent="0.3">
      <c r="A30">
        <v>0.6</v>
      </c>
      <c r="B30">
        <v>10</v>
      </c>
      <c r="C30">
        <v>6.6666666666666664E-4</v>
      </c>
      <c r="D30">
        <v>43.142131812022811</v>
      </c>
      <c r="E30">
        <v>2.0487193984962402</v>
      </c>
      <c r="F30">
        <v>6.4191241471901819</v>
      </c>
      <c r="G30">
        <v>-5.9812141330481072</v>
      </c>
    </row>
    <row r="31" spans="1:7" x14ac:dyDescent="0.3">
      <c r="A31">
        <v>0.6</v>
      </c>
      <c r="B31">
        <v>15</v>
      </c>
      <c r="C31">
        <v>5.7099999999999998E-3</v>
      </c>
      <c r="D31">
        <v>4.9439162271508623</v>
      </c>
      <c r="E31">
        <v>0</v>
      </c>
      <c r="F31">
        <v>0</v>
      </c>
      <c r="G31">
        <v>58.589260778703682</v>
      </c>
    </row>
    <row r="32" spans="1:7" x14ac:dyDescent="0.3">
      <c r="A32">
        <v>0.6</v>
      </c>
      <c r="B32">
        <v>15</v>
      </c>
      <c r="C32">
        <v>5.7099999999999998E-3</v>
      </c>
      <c r="D32">
        <v>9.8878324543017246</v>
      </c>
      <c r="E32">
        <v>0.91911857142857145</v>
      </c>
      <c r="F32">
        <v>0.85327900466251361</v>
      </c>
      <c r="G32">
        <v>13.211190982489596</v>
      </c>
    </row>
    <row r="33" spans="1:7" x14ac:dyDescent="0.3">
      <c r="A33">
        <v>0.6</v>
      </c>
      <c r="B33">
        <v>15</v>
      </c>
      <c r="C33">
        <v>5.7099999999999998E-3</v>
      </c>
      <c r="D33">
        <v>14.83174868145259</v>
      </c>
      <c r="E33">
        <v>1.5789985714285717</v>
      </c>
      <c r="F33">
        <v>3.2982515372531771</v>
      </c>
      <c r="G33">
        <v>2.2714158337255097</v>
      </c>
    </row>
    <row r="34" spans="1:7" x14ac:dyDescent="0.3">
      <c r="A34">
        <v>0.6</v>
      </c>
      <c r="B34">
        <v>15</v>
      </c>
      <c r="C34">
        <v>5.7099999999999998E-3</v>
      </c>
      <c r="D34">
        <v>19.775664908603449</v>
      </c>
      <c r="E34">
        <v>1.8885439285714287</v>
      </c>
      <c r="F34">
        <v>3.9448375877537285</v>
      </c>
      <c r="G34">
        <v>-2.4013880905758289</v>
      </c>
    </row>
    <row r="35" spans="1:7" x14ac:dyDescent="0.3">
      <c r="A35">
        <v>0.6</v>
      </c>
      <c r="B35">
        <v>15</v>
      </c>
      <c r="C35">
        <v>5.7099999999999998E-3</v>
      </c>
      <c r="D35">
        <v>24.719581135754311</v>
      </c>
      <c r="E35">
        <v>2.0807974285714286</v>
      </c>
      <c r="F35">
        <v>4.3464214861758856</v>
      </c>
      <c r="G35">
        <v>-5.0169500647259522</v>
      </c>
    </row>
    <row r="36" spans="1:7" x14ac:dyDescent="0.3">
      <c r="A36">
        <v>0.6</v>
      </c>
      <c r="B36">
        <v>15</v>
      </c>
      <c r="C36">
        <v>5.7099999999999998E-3</v>
      </c>
      <c r="D36">
        <v>29.663497362905179</v>
      </c>
      <c r="E36">
        <v>2.0594057142857141</v>
      </c>
      <c r="F36">
        <v>4.3017379406654523</v>
      </c>
      <c r="G36">
        <v>-5.5824787571804091</v>
      </c>
    </row>
    <row r="37" spans="1:7" x14ac:dyDescent="0.3">
      <c r="A37">
        <v>0.6</v>
      </c>
      <c r="B37">
        <v>15</v>
      </c>
      <c r="C37">
        <v>5.7099999999999998E-3</v>
      </c>
      <c r="D37">
        <v>34.607413590056048</v>
      </c>
      <c r="E37">
        <v>2.1404663265306123</v>
      </c>
      <c r="F37">
        <v>4.4710593661468758</v>
      </c>
      <c r="G37">
        <v>-6.5930141619540894</v>
      </c>
    </row>
    <row r="38" spans="1:7" x14ac:dyDescent="0.3">
      <c r="A38">
        <v>0.6</v>
      </c>
      <c r="B38">
        <v>15</v>
      </c>
      <c r="C38">
        <v>2.8549999999999999E-3</v>
      </c>
      <c r="D38">
        <v>4.9439162271508623</v>
      </c>
      <c r="E38">
        <v>0</v>
      </c>
      <c r="F38">
        <v>0</v>
      </c>
      <c r="G38">
        <v>58.589260778703682</v>
      </c>
    </row>
    <row r="39" spans="1:7" x14ac:dyDescent="0.3">
      <c r="A39">
        <v>0.6</v>
      </c>
      <c r="B39">
        <v>15</v>
      </c>
      <c r="C39">
        <v>2.8549999999999999E-3</v>
      </c>
      <c r="D39">
        <v>9.8878324543017246</v>
      </c>
      <c r="E39">
        <v>0.67710214285714299</v>
      </c>
      <c r="F39">
        <v>1.4143478176395659</v>
      </c>
      <c r="G39">
        <v>13.867920764510972</v>
      </c>
    </row>
    <row r="40" spans="1:7" x14ac:dyDescent="0.3">
      <c r="A40">
        <v>0.6</v>
      </c>
      <c r="B40">
        <v>15</v>
      </c>
      <c r="C40">
        <v>2.8549999999999999E-3</v>
      </c>
      <c r="D40">
        <v>14.83174868145259</v>
      </c>
      <c r="E40">
        <v>1.5572442857142856</v>
      </c>
      <c r="F40">
        <v>3.2528106435137532</v>
      </c>
      <c r="G40">
        <v>2.3874012631377557</v>
      </c>
    </row>
    <row r="41" spans="1:7" x14ac:dyDescent="0.3">
      <c r="A41">
        <v>0.6</v>
      </c>
      <c r="B41">
        <v>15</v>
      </c>
      <c r="C41">
        <v>2.8549999999999999E-3</v>
      </c>
      <c r="D41">
        <v>19.775664908603449</v>
      </c>
      <c r="E41">
        <v>2.0340257142857148</v>
      </c>
      <c r="F41">
        <v>4.2487235646361254</v>
      </c>
      <c r="G41">
        <v>-3.3715142321693894</v>
      </c>
    </row>
    <row r="42" spans="1:7" x14ac:dyDescent="0.3">
      <c r="A42">
        <v>0.6</v>
      </c>
      <c r="B42">
        <v>15</v>
      </c>
      <c r="C42">
        <v>2.8549999999999999E-3</v>
      </c>
      <c r="D42">
        <v>24.719581135754311</v>
      </c>
      <c r="E42">
        <v>2.1514988571428577</v>
      </c>
      <c r="F42">
        <v>4.4941043908290128</v>
      </c>
      <c r="G42">
        <v>-5.5256400337397906</v>
      </c>
    </row>
    <row r="43" spans="1:7" x14ac:dyDescent="0.3">
      <c r="A43">
        <v>0.6</v>
      </c>
      <c r="B43">
        <v>15</v>
      </c>
      <c r="C43">
        <v>2.8549999999999999E-3</v>
      </c>
      <c r="D43">
        <v>29.663497362905179</v>
      </c>
      <c r="E43">
        <v>2.1427971428571428</v>
      </c>
      <c r="F43">
        <v>4.4759280333332434</v>
      </c>
      <c r="G43">
        <v>-6.178205846167347</v>
      </c>
    </row>
    <row r="44" spans="1:7" x14ac:dyDescent="0.3">
      <c r="A44">
        <v>0.6</v>
      </c>
      <c r="B44">
        <v>15</v>
      </c>
      <c r="C44">
        <v>2.8549999999999999E-3</v>
      </c>
      <c r="D44">
        <v>34.607413590056048</v>
      </c>
      <c r="E44">
        <v>2.4085102040816326</v>
      </c>
      <c r="F44">
        <v>5.0309560925790624</v>
      </c>
      <c r="G44">
        <v>-8.6658671858157081</v>
      </c>
    </row>
    <row r="45" spans="1:7" x14ac:dyDescent="0.3">
      <c r="A45">
        <v>0.6</v>
      </c>
      <c r="B45">
        <v>15</v>
      </c>
      <c r="C45">
        <v>1.4274999999999999E-3</v>
      </c>
      <c r="D45">
        <v>4.9439162271508623</v>
      </c>
      <c r="E45">
        <v>0</v>
      </c>
      <c r="F45">
        <v>0</v>
      </c>
      <c r="G45">
        <v>58.589260778703682</v>
      </c>
    </row>
    <row r="46" spans="1:7" x14ac:dyDescent="0.3">
      <c r="A46">
        <v>0.6</v>
      </c>
      <c r="B46">
        <v>15</v>
      </c>
      <c r="C46">
        <v>1.4274999999999999E-3</v>
      </c>
      <c r="D46">
        <v>9.8878324543017246</v>
      </c>
      <c r="E46">
        <v>0.91096071428571435</v>
      </c>
      <c r="F46">
        <v>1.9028374253383713</v>
      </c>
      <c r="G46">
        <v>13.236571175623626</v>
      </c>
    </row>
    <row r="47" spans="1:7" x14ac:dyDescent="0.3">
      <c r="A47">
        <v>0.6</v>
      </c>
      <c r="B47">
        <v>15</v>
      </c>
      <c r="C47">
        <v>1.4274999999999999E-3</v>
      </c>
      <c r="D47">
        <v>14.83174868145259</v>
      </c>
      <c r="E47">
        <v>1.59894</v>
      </c>
      <c r="F47">
        <v>3.3399056898476491</v>
      </c>
      <c r="G47">
        <v>2.1636823541804087</v>
      </c>
    </row>
    <row r="48" spans="1:7" x14ac:dyDescent="0.3">
      <c r="A48">
        <v>0.6</v>
      </c>
      <c r="B48">
        <v>15</v>
      </c>
      <c r="C48">
        <v>1.4274999999999999E-3</v>
      </c>
      <c r="D48">
        <v>19.775664908603449</v>
      </c>
      <c r="E48">
        <v>2.0965692857142857</v>
      </c>
      <c r="F48">
        <v>4.3793661341369683</v>
      </c>
      <c r="G48">
        <v>-3.8106959099918885</v>
      </c>
    </row>
    <row r="49" spans="1:7" x14ac:dyDescent="0.3">
      <c r="A49">
        <v>0.6</v>
      </c>
      <c r="B49">
        <v>15</v>
      </c>
      <c r="C49">
        <v>1.4274999999999999E-3</v>
      </c>
      <c r="D49">
        <v>24.719581135754311</v>
      </c>
      <c r="E49">
        <v>2.2776737142857146</v>
      </c>
      <c r="F49">
        <v>4.7576615745176714</v>
      </c>
      <c r="G49">
        <v>-6.4756854017235952</v>
      </c>
    </row>
    <row r="50" spans="1:7" x14ac:dyDescent="0.3">
      <c r="A50">
        <v>0.6</v>
      </c>
      <c r="B50">
        <v>15</v>
      </c>
      <c r="C50">
        <v>1.4274999999999999E-3</v>
      </c>
      <c r="D50">
        <v>29.663497362905179</v>
      </c>
      <c r="E50">
        <v>2.4872400000000003</v>
      </c>
      <c r="F50">
        <v>5.195408850874121</v>
      </c>
      <c r="G50">
        <v>-8.8893373238449005</v>
      </c>
    </row>
    <row r="51" spans="1:7" x14ac:dyDescent="0.3">
      <c r="A51">
        <v>0.6</v>
      </c>
      <c r="B51">
        <v>15</v>
      </c>
      <c r="C51">
        <v>1.4274999999999999E-3</v>
      </c>
      <c r="D51">
        <v>34.607413590056048</v>
      </c>
      <c r="E51">
        <v>2.5436975510204083</v>
      </c>
      <c r="F51">
        <v>5.3133387893883395</v>
      </c>
      <c r="G51">
        <v>-9.8039760932488953</v>
      </c>
    </row>
    <row r="52" spans="1:7" x14ac:dyDescent="0.3">
      <c r="A52">
        <v>0.6</v>
      </c>
      <c r="B52">
        <v>15</v>
      </c>
      <c r="C52">
        <v>9.5166666666666663E-4</v>
      </c>
      <c r="D52">
        <v>4.9439162271508623</v>
      </c>
      <c r="E52">
        <v>0</v>
      </c>
      <c r="F52">
        <v>0</v>
      </c>
      <c r="G52">
        <v>58.589260778703682</v>
      </c>
    </row>
    <row r="53" spans="1:7" x14ac:dyDescent="0.3">
      <c r="A53">
        <v>0.6</v>
      </c>
      <c r="B53">
        <v>15</v>
      </c>
      <c r="C53">
        <v>9.5166666666666663E-4</v>
      </c>
      <c r="D53">
        <v>9.8878324543017246</v>
      </c>
      <c r="E53">
        <v>0.40789285714285717</v>
      </c>
      <c r="F53">
        <v>0.85201675761419626</v>
      </c>
      <c r="G53">
        <v>14.364475003732045</v>
      </c>
    </row>
    <row r="54" spans="1:7" x14ac:dyDescent="0.3">
      <c r="A54">
        <v>0.6</v>
      </c>
      <c r="B54">
        <v>15</v>
      </c>
      <c r="C54">
        <v>9.5166666666666663E-4</v>
      </c>
      <c r="D54">
        <v>14.83174868145259</v>
      </c>
      <c r="E54">
        <v>1.5300514285714284</v>
      </c>
      <c r="F54">
        <v>3.196009526339473</v>
      </c>
      <c r="G54">
        <v>2.5301203283755114</v>
      </c>
    </row>
    <row r="55" spans="1:7" x14ac:dyDescent="0.3">
      <c r="A55">
        <v>0.6</v>
      </c>
      <c r="B55">
        <v>15</v>
      </c>
      <c r="C55">
        <v>9.5166666666666663E-4</v>
      </c>
      <c r="D55">
        <v>19.775664908603449</v>
      </c>
      <c r="E55">
        <v>2.2311739285714287</v>
      </c>
      <c r="F55">
        <v>4.6605316641496524</v>
      </c>
      <c r="G55">
        <v>-4.8010042705436859</v>
      </c>
    </row>
    <row r="56" spans="1:7" x14ac:dyDescent="0.3">
      <c r="A56">
        <v>0.6</v>
      </c>
      <c r="B56">
        <v>15</v>
      </c>
      <c r="C56">
        <v>9.5166666666666663E-4</v>
      </c>
      <c r="D56">
        <v>24.719581135754311</v>
      </c>
      <c r="E56">
        <v>2.3364102857142859</v>
      </c>
      <c r="F56">
        <v>4.880351987614115</v>
      </c>
      <c r="G56">
        <v>-6.936411708277423</v>
      </c>
    </row>
    <row r="57" spans="1:7" x14ac:dyDescent="0.3">
      <c r="A57">
        <v>0.6</v>
      </c>
      <c r="B57">
        <v>15</v>
      </c>
      <c r="C57">
        <v>9.5166666666666663E-4</v>
      </c>
      <c r="D57">
        <v>29.663497362905179</v>
      </c>
      <c r="E57">
        <v>2.1591128571428571</v>
      </c>
      <c r="F57">
        <v>4.5100087036378111</v>
      </c>
      <c r="G57">
        <v>-6.2975266947202053</v>
      </c>
    </row>
    <row r="58" spans="1:7" x14ac:dyDescent="0.3">
      <c r="A58">
        <v>0.6</v>
      </c>
      <c r="B58">
        <v>15</v>
      </c>
      <c r="C58">
        <v>9.5166666666666663E-4</v>
      </c>
      <c r="D58">
        <v>34.607413590056048</v>
      </c>
      <c r="E58">
        <v>2.0557799999999999</v>
      </c>
      <c r="F58">
        <v>4.2941644583755485</v>
      </c>
      <c r="G58">
        <v>-5.988894194714617</v>
      </c>
    </row>
    <row r="59" spans="1:7" x14ac:dyDescent="0.3">
      <c r="A59">
        <v>0.6</v>
      </c>
      <c r="B59">
        <v>20</v>
      </c>
      <c r="C59">
        <v>6.9699999999999996E-3</v>
      </c>
      <c r="D59">
        <v>4.1286442952199529</v>
      </c>
      <c r="E59">
        <v>0</v>
      </c>
      <c r="F59">
        <v>0</v>
      </c>
      <c r="G59">
        <v>63.00957537791998</v>
      </c>
    </row>
    <row r="60" spans="1:7" x14ac:dyDescent="0.3">
      <c r="A60">
        <v>0.6</v>
      </c>
      <c r="B60">
        <v>20</v>
      </c>
      <c r="C60">
        <v>6.9699999999999996E-3</v>
      </c>
      <c r="D60">
        <v>8.2572885904399058</v>
      </c>
      <c r="E60">
        <v>0.59219999999999995</v>
      </c>
      <c r="F60">
        <v>0.9277515805132357</v>
      </c>
      <c r="G60">
        <v>15.156202416479996</v>
      </c>
    </row>
    <row r="61" spans="1:7" x14ac:dyDescent="0.3">
      <c r="A61">
        <v>0.6</v>
      </c>
      <c r="B61">
        <v>20</v>
      </c>
      <c r="C61">
        <v>6.9699999999999996E-3</v>
      </c>
      <c r="D61">
        <v>12.385932885659859</v>
      </c>
      <c r="E61">
        <v>1.3197599999999998</v>
      </c>
      <c r="F61">
        <v>2.0675606651437826</v>
      </c>
      <c r="G61">
        <v>4.0400609529600002</v>
      </c>
    </row>
    <row r="62" spans="1:7" x14ac:dyDescent="0.3">
      <c r="A62">
        <v>0.6</v>
      </c>
      <c r="B62">
        <v>20</v>
      </c>
      <c r="C62">
        <v>6.9699999999999996E-3</v>
      </c>
      <c r="D62">
        <v>16.514577180879812</v>
      </c>
      <c r="E62">
        <v>1.6525199999999998</v>
      </c>
      <c r="F62">
        <v>2.5888686960988392</v>
      </c>
      <c r="G62">
        <v>-0.70429953455999961</v>
      </c>
    </row>
    <row r="63" spans="1:7" x14ac:dyDescent="0.3">
      <c r="A63">
        <v>0.6</v>
      </c>
      <c r="B63">
        <v>20</v>
      </c>
      <c r="C63">
        <v>6.9699999999999996E-3</v>
      </c>
      <c r="D63">
        <v>20.643221476099765</v>
      </c>
      <c r="E63">
        <v>1.7687039999999996</v>
      </c>
      <c r="F63">
        <v>2.7708847204661975</v>
      </c>
      <c r="G63">
        <v>-2.7977505122303983</v>
      </c>
    </row>
    <row r="64" spans="1:7" x14ac:dyDescent="0.3">
      <c r="A64">
        <v>0.6</v>
      </c>
      <c r="B64">
        <v>20</v>
      </c>
      <c r="C64">
        <v>6.9699999999999996E-3</v>
      </c>
      <c r="D64">
        <v>24.771865771319717</v>
      </c>
      <c r="E64">
        <v>1.8217199999999996</v>
      </c>
      <c r="F64">
        <v>2.8539405762454777</v>
      </c>
      <c r="G64">
        <v>-3.8914624065599983</v>
      </c>
    </row>
    <row r="65" spans="1:7" x14ac:dyDescent="0.3">
      <c r="A65">
        <v>0.6</v>
      </c>
      <c r="B65">
        <v>20</v>
      </c>
      <c r="C65">
        <v>6.9699999999999996E-3</v>
      </c>
      <c r="D65">
        <v>30.047355704100763</v>
      </c>
      <c r="E65">
        <v>1.8420842748091601</v>
      </c>
      <c r="F65">
        <v>2.8858436295048566</v>
      </c>
      <c r="G65">
        <v>-4.5789446502782249</v>
      </c>
    </row>
    <row r="66" spans="1:7" x14ac:dyDescent="0.3">
      <c r="A66">
        <v>0.6</v>
      </c>
      <c r="B66">
        <v>20</v>
      </c>
      <c r="C66">
        <v>3.4849999999999998E-3</v>
      </c>
      <c r="D66">
        <v>4.1286442952199529</v>
      </c>
      <c r="E66">
        <v>0</v>
      </c>
      <c r="F66">
        <v>0</v>
      </c>
      <c r="G66">
        <v>63.00957537791998</v>
      </c>
    </row>
    <row r="67" spans="1:7" x14ac:dyDescent="0.3">
      <c r="A67">
        <v>0.6</v>
      </c>
      <c r="B67">
        <v>20</v>
      </c>
      <c r="C67">
        <v>3.4849999999999998E-3</v>
      </c>
      <c r="D67">
        <v>8.2572885904399058</v>
      </c>
      <c r="E67">
        <v>0</v>
      </c>
      <c r="F67">
        <v>0</v>
      </c>
      <c r="G67">
        <v>15.752393844479995</v>
      </c>
    </row>
    <row r="68" spans="1:7" x14ac:dyDescent="0.3">
      <c r="A68">
        <v>0.6</v>
      </c>
      <c r="B68">
        <v>20</v>
      </c>
      <c r="C68">
        <v>3.4849999999999998E-3</v>
      </c>
      <c r="D68">
        <v>12.385932885659859</v>
      </c>
      <c r="E68">
        <v>1.4381999999999999</v>
      </c>
      <c r="F68">
        <v>2.2531109812464298</v>
      </c>
      <c r="G68">
        <v>3.4847512228799995</v>
      </c>
    </row>
    <row r="69" spans="1:7" x14ac:dyDescent="0.3">
      <c r="A69">
        <v>0.6</v>
      </c>
      <c r="B69">
        <v>20</v>
      </c>
      <c r="C69">
        <v>3.4849999999999998E-3</v>
      </c>
      <c r="D69">
        <v>16.514577180879812</v>
      </c>
      <c r="E69">
        <v>1.5890699999999995</v>
      </c>
      <c r="F69">
        <v>2.4894667410438491</v>
      </c>
      <c r="G69">
        <v>-0.35464542920999897</v>
      </c>
    </row>
    <row r="70" spans="1:7" x14ac:dyDescent="0.3">
      <c r="A70">
        <v>0.6</v>
      </c>
      <c r="B70">
        <v>20</v>
      </c>
      <c r="C70">
        <v>3.4849999999999998E-3</v>
      </c>
      <c r="D70">
        <v>20.643221476099765</v>
      </c>
      <c r="E70">
        <v>1.8645839999999998</v>
      </c>
      <c r="F70">
        <v>2.92109211921596</v>
      </c>
      <c r="G70">
        <v>-3.3899619230783977</v>
      </c>
    </row>
    <row r="71" spans="1:7" x14ac:dyDescent="0.3">
      <c r="A71">
        <v>0.6</v>
      </c>
      <c r="B71">
        <v>20</v>
      </c>
      <c r="C71">
        <v>3.4849999999999998E-3</v>
      </c>
      <c r="D71">
        <v>24.771865771319717</v>
      </c>
      <c r="E71">
        <v>2.0473199999999996</v>
      </c>
      <c r="F71">
        <v>3.2073697497743296</v>
      </c>
      <c r="G71">
        <v>-5.3753166273599993</v>
      </c>
    </row>
    <row r="72" spans="1:7" x14ac:dyDescent="0.3">
      <c r="A72">
        <v>0.6</v>
      </c>
      <c r="B72">
        <v>20</v>
      </c>
      <c r="C72">
        <v>3.4849999999999998E-3</v>
      </c>
      <c r="D72">
        <v>30.047355704100763</v>
      </c>
      <c r="E72">
        <v>2.2179407633587784</v>
      </c>
      <c r="F72">
        <v>3.4746674243344136</v>
      </c>
      <c r="G72">
        <v>-7.1731221325360899</v>
      </c>
    </row>
    <row r="73" spans="1:7" x14ac:dyDescent="0.3">
      <c r="A73">
        <v>0.6</v>
      </c>
      <c r="B73">
        <v>20</v>
      </c>
      <c r="C73">
        <v>1.7424999999999999E-3</v>
      </c>
      <c r="D73">
        <v>4.1286442952199529</v>
      </c>
      <c r="E73">
        <v>0</v>
      </c>
      <c r="F73">
        <v>0</v>
      </c>
      <c r="G73">
        <v>63.00957537791998</v>
      </c>
    </row>
    <row r="74" spans="1:7" x14ac:dyDescent="0.3">
      <c r="A74">
        <v>0.6</v>
      </c>
      <c r="B74">
        <v>20</v>
      </c>
      <c r="C74">
        <v>1.7424999999999999E-3</v>
      </c>
      <c r="D74">
        <v>8.2572885904399058</v>
      </c>
      <c r="E74">
        <v>0</v>
      </c>
      <c r="F74">
        <v>0</v>
      </c>
      <c r="G74">
        <v>15.752393844479995</v>
      </c>
    </row>
    <row r="75" spans="1:7" x14ac:dyDescent="0.3">
      <c r="A75">
        <v>0.6</v>
      </c>
      <c r="B75">
        <v>20</v>
      </c>
      <c r="C75">
        <v>1.7424999999999999E-3</v>
      </c>
      <c r="D75">
        <v>12.385932885659859</v>
      </c>
      <c r="E75">
        <v>1.4494799999999999</v>
      </c>
      <c r="F75">
        <v>2.2707824399228724</v>
      </c>
      <c r="G75">
        <v>3.4293770711999993</v>
      </c>
    </row>
    <row r="76" spans="1:7" x14ac:dyDescent="0.3">
      <c r="A76">
        <v>0.6</v>
      </c>
      <c r="B76">
        <v>20</v>
      </c>
      <c r="C76">
        <v>1.7424999999999999E-3</v>
      </c>
      <c r="D76">
        <v>16.514577180879812</v>
      </c>
      <c r="E76">
        <v>1.6186799999999997</v>
      </c>
      <c r="F76">
        <v>2.5358543200695114</v>
      </c>
      <c r="G76">
        <v>-0.51611394095999952</v>
      </c>
    </row>
    <row r="77" spans="1:7" x14ac:dyDescent="0.3">
      <c r="A77">
        <v>0.6</v>
      </c>
      <c r="B77">
        <v>20</v>
      </c>
      <c r="C77">
        <v>1.7424999999999999E-3</v>
      </c>
      <c r="D77">
        <v>20.643221476099765</v>
      </c>
      <c r="E77">
        <v>1.9187279999999998</v>
      </c>
      <c r="F77">
        <v>3.0059151208628845</v>
      </c>
      <c r="G77">
        <v>-3.7381961194559987</v>
      </c>
    </row>
    <row r="78" spans="1:7" x14ac:dyDescent="0.3">
      <c r="A78">
        <v>0.6</v>
      </c>
      <c r="B78">
        <v>20</v>
      </c>
      <c r="C78">
        <v>1.7424999999999999E-3</v>
      </c>
      <c r="D78">
        <v>24.771865771319717</v>
      </c>
      <c r="E78">
        <v>2.2221599999999997</v>
      </c>
      <c r="F78">
        <v>3.4812773592591895</v>
      </c>
      <c r="G78">
        <v>-6.6443256287999981</v>
      </c>
    </row>
    <row r="79" spans="1:7" x14ac:dyDescent="0.3">
      <c r="A79">
        <v>0.6</v>
      </c>
      <c r="B79">
        <v>20</v>
      </c>
      <c r="C79">
        <v>1.7424999999999999E-3</v>
      </c>
      <c r="D79">
        <v>30.047355704100763</v>
      </c>
      <c r="E79">
        <v>2.256688854961832</v>
      </c>
      <c r="F79">
        <v>3.5353709083374611</v>
      </c>
      <c r="G79">
        <v>-7.4678738417148081</v>
      </c>
    </row>
    <row r="80" spans="1:7" x14ac:dyDescent="0.3">
      <c r="A80">
        <v>0.6</v>
      </c>
      <c r="B80">
        <v>20</v>
      </c>
      <c r="C80">
        <v>1.1616666666666665E-3</v>
      </c>
      <c r="D80">
        <v>4.1286442952199529</v>
      </c>
      <c r="E80">
        <v>0</v>
      </c>
      <c r="F80">
        <v>0</v>
      </c>
      <c r="G80">
        <v>63.00957537791998</v>
      </c>
    </row>
    <row r="81" spans="1:7" x14ac:dyDescent="0.3">
      <c r="A81">
        <v>0.6</v>
      </c>
      <c r="B81">
        <v>20</v>
      </c>
      <c r="C81">
        <v>1.1616666666666665E-3</v>
      </c>
      <c r="D81">
        <v>8.2572885904399058</v>
      </c>
      <c r="E81">
        <v>0</v>
      </c>
      <c r="F81">
        <v>0</v>
      </c>
      <c r="G81">
        <v>15.752393844479995</v>
      </c>
    </row>
    <row r="82" spans="1:7" x14ac:dyDescent="0.3">
      <c r="A82">
        <v>0.6</v>
      </c>
      <c r="B82">
        <v>20</v>
      </c>
      <c r="C82">
        <v>1.1616666666666665E-3</v>
      </c>
      <c r="D82">
        <v>12.385932885659859</v>
      </c>
      <c r="E82">
        <v>0.50759999999999994</v>
      </c>
      <c r="F82">
        <v>0.79521564043991633</v>
      </c>
      <c r="G82">
        <v>6.5630457388799979</v>
      </c>
    </row>
    <row r="83" spans="1:7" x14ac:dyDescent="0.3">
      <c r="A83">
        <v>0.6</v>
      </c>
      <c r="B83">
        <v>20</v>
      </c>
      <c r="C83">
        <v>1.1616666666666665E-3</v>
      </c>
      <c r="D83">
        <v>16.514577180879812</v>
      </c>
      <c r="E83">
        <v>1.1449199999999997</v>
      </c>
      <c r="F83">
        <v>1.7936530556589221</v>
      </c>
      <c r="G83">
        <v>1.7096673902400004</v>
      </c>
    </row>
    <row r="84" spans="1:7" x14ac:dyDescent="0.3">
      <c r="A84">
        <v>0.6</v>
      </c>
      <c r="B84">
        <v>20</v>
      </c>
      <c r="C84">
        <v>1.1616666666666665E-3</v>
      </c>
      <c r="D84">
        <v>20.643221476099765</v>
      </c>
      <c r="E84">
        <v>1.6604159999999997</v>
      </c>
      <c r="F84">
        <v>2.6012387171723486</v>
      </c>
      <c r="G84">
        <v>-2.1664851830783984</v>
      </c>
    </row>
    <row r="85" spans="1:7" x14ac:dyDescent="0.3">
      <c r="A85">
        <v>0.6</v>
      </c>
      <c r="B85">
        <v>20</v>
      </c>
      <c r="C85">
        <v>1.1616666666666665E-3</v>
      </c>
      <c r="D85">
        <v>24.771865771319717</v>
      </c>
      <c r="E85">
        <v>1.7089199999999998</v>
      </c>
      <c r="F85">
        <v>2.6772259894810517</v>
      </c>
      <c r="G85">
        <v>-3.2144268801599991</v>
      </c>
    </row>
    <row r="86" spans="1:7" x14ac:dyDescent="0.3">
      <c r="A86">
        <v>0.6</v>
      </c>
      <c r="B86">
        <v>20</v>
      </c>
      <c r="C86">
        <v>1.1616666666666665E-3</v>
      </c>
      <c r="D86">
        <v>30.047355704100763</v>
      </c>
      <c r="E86">
        <v>1.7173154198473282</v>
      </c>
      <c r="F86">
        <v>2.6903784110150455</v>
      </c>
      <c r="G86">
        <v>-3.823970869046792</v>
      </c>
    </row>
    <row r="87" spans="1:7" x14ac:dyDescent="0.3">
      <c r="A87">
        <v>0.6</v>
      </c>
      <c r="B87">
        <v>30</v>
      </c>
      <c r="C87">
        <v>9.2599999999999991E-3</v>
      </c>
      <c r="D87">
        <v>3.1213184730683809</v>
      </c>
      <c r="E87">
        <v>0</v>
      </c>
      <c r="F87">
        <v>0</v>
      </c>
      <c r="G87">
        <v>73.494368720805909</v>
      </c>
    </row>
    <row r="88" spans="1:7" x14ac:dyDescent="0.3">
      <c r="A88">
        <v>0.6</v>
      </c>
      <c r="B88">
        <v>30</v>
      </c>
      <c r="C88">
        <v>9.2599999999999991E-3</v>
      </c>
      <c r="D88">
        <v>6.2426369461367619</v>
      </c>
      <c r="E88">
        <v>0</v>
      </c>
      <c r="F88">
        <v>0</v>
      </c>
      <c r="G88">
        <v>18.373592180201477</v>
      </c>
    </row>
    <row r="89" spans="1:7" x14ac:dyDescent="0.3">
      <c r="A89">
        <v>0.6</v>
      </c>
      <c r="B89">
        <v>30</v>
      </c>
      <c r="C89">
        <v>9.2599999999999991E-3</v>
      </c>
      <c r="D89">
        <v>9.3639554192051406</v>
      </c>
      <c r="E89">
        <v>0.47917440000000006</v>
      </c>
      <c r="F89">
        <v>0.50045570971685405</v>
      </c>
      <c r="G89">
        <v>7.7757071894323238</v>
      </c>
    </row>
    <row r="90" spans="1:7" x14ac:dyDescent="0.3">
      <c r="A90">
        <v>0.6</v>
      </c>
      <c r="B90">
        <v>30</v>
      </c>
      <c r="C90">
        <v>9.2599999999999991E-3</v>
      </c>
      <c r="D90">
        <v>12.485273892273524</v>
      </c>
      <c r="E90">
        <v>2.0938500000000002</v>
      </c>
      <c r="F90">
        <v>2.1868430112097701</v>
      </c>
      <c r="G90">
        <v>-2.8597552531996331</v>
      </c>
    </row>
    <row r="91" spans="1:7" x14ac:dyDescent="0.3">
      <c r="A91">
        <v>0.6</v>
      </c>
      <c r="B91">
        <v>30</v>
      </c>
      <c r="C91">
        <v>9.2599999999999991E-3</v>
      </c>
      <c r="D91">
        <v>15.606592365341905</v>
      </c>
      <c r="E91">
        <v>2.4888643200000002</v>
      </c>
      <c r="F91">
        <v>2.5994008854699984</v>
      </c>
      <c r="G91">
        <v>-7.590782776895173</v>
      </c>
    </row>
    <row r="92" spans="1:7" x14ac:dyDescent="0.3">
      <c r="A92">
        <v>0.6</v>
      </c>
      <c r="B92">
        <v>30</v>
      </c>
      <c r="C92">
        <v>9.2599999999999991E-3</v>
      </c>
      <c r="D92">
        <v>18.727910838410281</v>
      </c>
      <c r="E92">
        <v>2.3836896000000007</v>
      </c>
      <c r="F92">
        <v>2.4895550983372319</v>
      </c>
      <c r="G92">
        <v>-7.6178491433072688</v>
      </c>
    </row>
    <row r="93" spans="1:7" x14ac:dyDescent="0.3">
      <c r="A93">
        <v>0.6</v>
      </c>
      <c r="B93">
        <v>30</v>
      </c>
      <c r="C93">
        <v>9.2599999999999991E-3</v>
      </c>
      <c r="D93">
        <v>21.974082050401403</v>
      </c>
      <c r="E93">
        <v>2.5221374999999999</v>
      </c>
      <c r="F93">
        <v>2.6341518089572227</v>
      </c>
      <c r="G93">
        <v>-9.3311125189193014</v>
      </c>
    </row>
    <row r="94" spans="1:7" x14ac:dyDescent="0.3">
      <c r="A94">
        <v>0.6</v>
      </c>
      <c r="B94">
        <v>30</v>
      </c>
      <c r="C94">
        <v>4.6299999999999996E-3</v>
      </c>
      <c r="D94">
        <v>3.1213184730683809</v>
      </c>
      <c r="E94">
        <v>0</v>
      </c>
      <c r="F94">
        <v>0</v>
      </c>
      <c r="G94">
        <v>73.494368720805909</v>
      </c>
    </row>
    <row r="95" spans="1:7" x14ac:dyDescent="0.3">
      <c r="A95">
        <v>0.6</v>
      </c>
      <c r="B95">
        <v>30</v>
      </c>
      <c r="C95">
        <v>4.6299999999999996E-3</v>
      </c>
      <c r="D95">
        <v>6.2426369461367619</v>
      </c>
      <c r="E95">
        <v>0.18273600000000001</v>
      </c>
      <c r="F95">
        <v>0.19085175370557994</v>
      </c>
      <c r="G95">
        <v>18.316825022518277</v>
      </c>
    </row>
    <row r="96" spans="1:7" x14ac:dyDescent="0.3">
      <c r="A96">
        <v>0.6</v>
      </c>
      <c r="B96">
        <v>30</v>
      </c>
      <c r="C96">
        <v>4.6299999999999996E-3</v>
      </c>
      <c r="D96">
        <v>9.3639554192051406</v>
      </c>
      <c r="E96">
        <v>0.67815360000000013</v>
      </c>
      <c r="F96">
        <v>0.70827206375181884</v>
      </c>
      <c r="G96">
        <v>7.3842240501504035</v>
      </c>
    </row>
    <row r="97" spans="1:7" x14ac:dyDescent="0.3">
      <c r="A97">
        <v>0.6</v>
      </c>
      <c r="B97">
        <v>30</v>
      </c>
      <c r="C97">
        <v>4.6299999999999996E-3</v>
      </c>
      <c r="D97">
        <v>12.485273892273524</v>
      </c>
      <c r="E97">
        <v>1.9887768000000003</v>
      </c>
      <c r="F97">
        <v>2.0771032528290614</v>
      </c>
      <c r="G97">
        <v>-2.1304983273206406</v>
      </c>
    </row>
    <row r="98" spans="1:7" x14ac:dyDescent="0.3">
      <c r="A98">
        <v>0.6</v>
      </c>
      <c r="B98">
        <v>30</v>
      </c>
      <c r="C98">
        <v>4.6299999999999996E-3</v>
      </c>
      <c r="D98">
        <v>15.606592365341905</v>
      </c>
      <c r="E98">
        <v>2.4973920000000001</v>
      </c>
      <c r="F98">
        <v>2.6083073006429256</v>
      </c>
      <c r="G98">
        <v>-7.6630688139965653</v>
      </c>
    </row>
    <row r="99" spans="1:7" x14ac:dyDescent="0.3">
      <c r="A99">
        <v>0.6</v>
      </c>
      <c r="B99">
        <v>30</v>
      </c>
      <c r="C99">
        <v>4.6299999999999996E-3</v>
      </c>
      <c r="D99">
        <v>18.727910838410281</v>
      </c>
      <c r="E99">
        <v>2.4293736000000004</v>
      </c>
      <c r="F99">
        <v>2.5372680367636264</v>
      </c>
      <c r="G99">
        <v>-7.9916451079962281</v>
      </c>
    </row>
    <row r="100" spans="1:7" x14ac:dyDescent="0.3">
      <c r="A100">
        <v>0.6</v>
      </c>
      <c r="B100">
        <v>30</v>
      </c>
      <c r="C100">
        <v>4.6299999999999996E-3</v>
      </c>
      <c r="D100">
        <v>21.974082050401403</v>
      </c>
      <c r="E100">
        <v>2.7678620454545455</v>
      </c>
      <c r="F100">
        <v>2.8907895838264688</v>
      </c>
      <c r="G100">
        <v>-11.540913166313972</v>
      </c>
    </row>
    <row r="101" spans="1:7" x14ac:dyDescent="0.3">
      <c r="A101">
        <v>0.6</v>
      </c>
      <c r="B101">
        <v>30</v>
      </c>
      <c r="C101">
        <v>2.3149999999999998E-3</v>
      </c>
      <c r="D101">
        <v>3.1213184730683809</v>
      </c>
      <c r="E101">
        <v>0</v>
      </c>
      <c r="F101">
        <v>0</v>
      </c>
      <c r="G101">
        <v>73.494368720805909</v>
      </c>
    </row>
    <row r="102" spans="1:7" x14ac:dyDescent="0.3">
      <c r="A102">
        <v>0.6</v>
      </c>
      <c r="B102">
        <v>30</v>
      </c>
      <c r="C102">
        <v>2.3149999999999998E-3</v>
      </c>
      <c r="D102">
        <v>6.2426369461367619</v>
      </c>
      <c r="E102">
        <v>0</v>
      </c>
      <c r="F102">
        <v>0</v>
      </c>
      <c r="G102">
        <v>18.373592180201477</v>
      </c>
    </row>
    <row r="103" spans="1:7" x14ac:dyDescent="0.3">
      <c r="A103">
        <v>0.6</v>
      </c>
      <c r="B103">
        <v>30</v>
      </c>
      <c r="C103">
        <v>2.3149999999999998E-3</v>
      </c>
      <c r="D103">
        <v>9.3639554192051406</v>
      </c>
      <c r="E103">
        <v>0.74312640000000019</v>
      </c>
      <c r="F103">
        <v>0.77613046506935846</v>
      </c>
      <c r="G103">
        <v>7.2272383301376033</v>
      </c>
    </row>
    <row r="104" spans="1:7" x14ac:dyDescent="0.3">
      <c r="A104">
        <v>0.6</v>
      </c>
      <c r="B104">
        <v>30</v>
      </c>
      <c r="C104">
        <v>2.3149999999999998E-3</v>
      </c>
      <c r="D104">
        <v>12.485273892273524</v>
      </c>
      <c r="E104">
        <v>2.2217652000000001</v>
      </c>
      <c r="F104">
        <v>2.3204392388036759</v>
      </c>
      <c r="G104">
        <v>-3.7982109816324008</v>
      </c>
    </row>
    <row r="105" spans="1:7" x14ac:dyDescent="0.3">
      <c r="A105">
        <v>0.6</v>
      </c>
      <c r="B105">
        <v>30</v>
      </c>
      <c r="C105">
        <v>2.3149999999999998E-3</v>
      </c>
      <c r="D105">
        <v>15.606592365341905</v>
      </c>
      <c r="E105">
        <v>2.5375939199999999</v>
      </c>
      <c r="F105">
        <v>2.6502946864581531</v>
      </c>
      <c r="G105">
        <v>-8.0071761859634076</v>
      </c>
    </row>
    <row r="106" spans="1:7" x14ac:dyDescent="0.3">
      <c r="A106">
        <v>0.6</v>
      </c>
      <c r="B106">
        <v>30</v>
      </c>
      <c r="C106">
        <v>2.3149999999999998E-3</v>
      </c>
      <c r="D106">
        <v>18.727910838410281</v>
      </c>
      <c r="E106">
        <v>2.1877560000000007</v>
      </c>
      <c r="F106">
        <v>2.2849196068640265</v>
      </c>
      <c r="G106">
        <v>-6.0951594941665954</v>
      </c>
    </row>
    <row r="107" spans="1:7" x14ac:dyDescent="0.3">
      <c r="A107">
        <v>0.6</v>
      </c>
      <c r="B107">
        <v>30</v>
      </c>
      <c r="C107">
        <v>2.3149999999999998E-3</v>
      </c>
      <c r="D107">
        <v>21.974082050401403</v>
      </c>
      <c r="E107">
        <v>2.286795681818182</v>
      </c>
      <c r="F107">
        <v>2.3883578837303396</v>
      </c>
      <c r="G107">
        <v>-7.4071492854285594</v>
      </c>
    </row>
    <row r="108" spans="1:7" x14ac:dyDescent="0.3">
      <c r="A108">
        <v>0.6</v>
      </c>
      <c r="B108">
        <v>30</v>
      </c>
      <c r="C108">
        <v>1.5433333333333332E-3</v>
      </c>
      <c r="D108">
        <v>3.1213184730683809</v>
      </c>
      <c r="E108">
        <v>0</v>
      </c>
      <c r="F108">
        <v>0</v>
      </c>
      <c r="G108">
        <v>73.494368720805909</v>
      </c>
    </row>
    <row r="109" spans="1:7" x14ac:dyDescent="0.3">
      <c r="A109">
        <v>0.6</v>
      </c>
      <c r="B109">
        <v>30</v>
      </c>
      <c r="C109">
        <v>1.5433333333333332E-3</v>
      </c>
      <c r="D109">
        <v>6.2426369461367619</v>
      </c>
      <c r="E109">
        <v>0.12182400000000003</v>
      </c>
      <c r="F109">
        <v>0.12723450247038665</v>
      </c>
      <c r="G109">
        <v>18.348362332342276</v>
      </c>
    </row>
    <row r="110" spans="1:7" x14ac:dyDescent="0.3">
      <c r="A110">
        <v>0.6</v>
      </c>
      <c r="B110">
        <v>30</v>
      </c>
      <c r="C110">
        <v>1.5433333333333332E-3</v>
      </c>
      <c r="D110">
        <v>9.3639554192051406</v>
      </c>
      <c r="E110">
        <v>0.60505920000000013</v>
      </c>
      <c r="F110">
        <v>0.6319313622695869</v>
      </c>
      <c r="G110">
        <v>7.5436766886205477</v>
      </c>
    </row>
    <row r="111" spans="1:7" x14ac:dyDescent="0.3">
      <c r="A111">
        <v>0.6</v>
      </c>
      <c r="B111">
        <v>30</v>
      </c>
      <c r="C111">
        <v>1.5433333333333332E-3</v>
      </c>
      <c r="D111">
        <v>12.485273892273524</v>
      </c>
      <c r="E111">
        <v>1.8745668000000004</v>
      </c>
      <c r="F111">
        <v>1.9578209067630741</v>
      </c>
      <c r="G111">
        <v>-1.3804031239754408</v>
      </c>
    </row>
    <row r="112" spans="1:7" x14ac:dyDescent="0.3">
      <c r="A112">
        <v>0.6</v>
      </c>
      <c r="B112">
        <v>30</v>
      </c>
      <c r="C112">
        <v>1.5433333333333332E-3</v>
      </c>
      <c r="D112">
        <v>15.606592365341905</v>
      </c>
      <c r="E112">
        <v>1.5837120000000002</v>
      </c>
      <c r="F112">
        <v>1.6540485321150262</v>
      </c>
      <c r="G112">
        <v>-1.3240695393725646</v>
      </c>
    </row>
    <row r="113" spans="1:7" x14ac:dyDescent="0.3">
      <c r="A113">
        <v>0.6</v>
      </c>
      <c r="B113">
        <v>30</v>
      </c>
      <c r="C113">
        <v>1.5433333333333332E-3</v>
      </c>
      <c r="D113">
        <v>18.727910838410281</v>
      </c>
      <c r="E113">
        <v>1.6700040000000003</v>
      </c>
      <c r="F113">
        <v>1.7441729713648833</v>
      </c>
      <c r="G113">
        <v>-2.6996424697825923</v>
      </c>
    </row>
    <row r="114" spans="1:7" x14ac:dyDescent="0.3">
      <c r="A114">
        <v>0.6</v>
      </c>
      <c r="B114">
        <v>30</v>
      </c>
      <c r="C114">
        <v>1.5433333333333332E-3</v>
      </c>
      <c r="D114">
        <v>21.974082050401403</v>
      </c>
      <c r="E114">
        <v>1.7581418181818183</v>
      </c>
      <c r="F114">
        <v>1.8362252061067161</v>
      </c>
      <c r="G114">
        <v>-3.7719171616061162</v>
      </c>
    </row>
    <row r="115" spans="1:7" x14ac:dyDescent="0.3">
      <c r="A115">
        <v>0.6</v>
      </c>
      <c r="B115">
        <v>40</v>
      </c>
      <c r="C115">
        <v>9.2599999999999991E-3</v>
      </c>
      <c r="D115">
        <v>2.5950154473397178</v>
      </c>
      <c r="E115">
        <v>0</v>
      </c>
      <c r="F115">
        <v>0</v>
      </c>
      <c r="G115">
        <v>79.746493837680006</v>
      </c>
    </row>
    <row r="116" spans="1:7" x14ac:dyDescent="0.3">
      <c r="A116">
        <v>0.6</v>
      </c>
      <c r="B116">
        <v>40</v>
      </c>
      <c r="C116">
        <v>9.2599999999999991E-3</v>
      </c>
      <c r="D116">
        <v>5.1900308946794356</v>
      </c>
      <c r="E116">
        <v>0</v>
      </c>
      <c r="F116">
        <v>0</v>
      </c>
      <c r="G116">
        <v>19.936623459420002</v>
      </c>
    </row>
    <row r="117" spans="1:7" x14ac:dyDescent="0.3">
      <c r="A117">
        <v>0.6</v>
      </c>
      <c r="B117">
        <v>40</v>
      </c>
      <c r="C117">
        <v>9.2599999999999991E-3</v>
      </c>
      <c r="D117">
        <v>7.7850463420191529</v>
      </c>
      <c r="E117">
        <v>0.21573000000000001</v>
      </c>
      <c r="F117">
        <v>0.16898332359348223</v>
      </c>
      <c r="G117">
        <v>8.7816045015900031</v>
      </c>
    </row>
    <row r="118" spans="1:7" x14ac:dyDescent="0.3">
      <c r="A118">
        <v>0.6</v>
      </c>
      <c r="B118">
        <v>40</v>
      </c>
      <c r="C118">
        <v>9.2599999999999991E-3</v>
      </c>
      <c r="D118">
        <v>10.380061789358871</v>
      </c>
      <c r="E118">
        <v>0.5964299999999999</v>
      </c>
      <c r="F118">
        <v>0.46718918875845078</v>
      </c>
      <c r="G118">
        <v>4.3794169985250004</v>
      </c>
    </row>
    <row r="119" spans="1:7" x14ac:dyDescent="0.3">
      <c r="A119">
        <v>0.6</v>
      </c>
      <c r="B119">
        <v>40</v>
      </c>
      <c r="C119">
        <v>9.2599999999999991E-3</v>
      </c>
      <c r="D119">
        <v>12.97507723669859</v>
      </c>
      <c r="E119">
        <v>0.86545799999999995</v>
      </c>
      <c r="F119">
        <v>0.6779213334750287</v>
      </c>
      <c r="G119">
        <v>1.9165299189083997</v>
      </c>
    </row>
    <row r="120" spans="1:7" x14ac:dyDescent="0.3">
      <c r="A120">
        <v>0.6</v>
      </c>
      <c r="B120">
        <v>40</v>
      </c>
      <c r="C120">
        <v>9.2599999999999991E-3</v>
      </c>
      <c r="D120">
        <v>15.570092684038306</v>
      </c>
      <c r="E120">
        <v>1.26054</v>
      </c>
      <c r="F120">
        <v>0.98739275354622957</v>
      </c>
      <c r="G120">
        <v>-0.48605347133999982</v>
      </c>
    </row>
    <row r="121" spans="1:7" x14ac:dyDescent="0.3">
      <c r="A121">
        <v>0.6</v>
      </c>
      <c r="B121">
        <v>40</v>
      </c>
      <c r="C121">
        <v>9.2599999999999991E-3</v>
      </c>
      <c r="D121">
        <v>18.08401389864866</v>
      </c>
      <c r="E121">
        <v>1.5651379372197309</v>
      </c>
      <c r="F121">
        <v>1.2259871622566962</v>
      </c>
      <c r="G121">
        <v>-2.5223080748516482</v>
      </c>
    </row>
    <row r="122" spans="1:7" x14ac:dyDescent="0.3">
      <c r="A122">
        <v>0.6</v>
      </c>
      <c r="B122">
        <v>40</v>
      </c>
      <c r="C122">
        <v>4.6299999999999996E-3</v>
      </c>
      <c r="D122">
        <v>2.5950154473397178</v>
      </c>
      <c r="E122">
        <v>0</v>
      </c>
      <c r="F122">
        <v>0</v>
      </c>
      <c r="G122">
        <v>79.746493837680006</v>
      </c>
    </row>
    <row r="123" spans="1:7" x14ac:dyDescent="0.3">
      <c r="A123">
        <v>0.6</v>
      </c>
      <c r="B123">
        <v>40</v>
      </c>
      <c r="C123">
        <v>4.6299999999999996E-3</v>
      </c>
      <c r="D123">
        <v>5.1900308946794356</v>
      </c>
      <c r="E123">
        <v>0.19034999999999999</v>
      </c>
      <c r="F123">
        <v>0.14910293258248433</v>
      </c>
      <c r="G123">
        <v>19.875027151169999</v>
      </c>
    </row>
    <row r="124" spans="1:7" x14ac:dyDescent="0.3">
      <c r="A124">
        <v>0.6</v>
      </c>
      <c r="B124">
        <v>40</v>
      </c>
      <c r="C124">
        <v>4.6299999999999996E-3</v>
      </c>
      <c r="D124">
        <v>7.7850463420191529</v>
      </c>
      <c r="E124">
        <v>0.683145</v>
      </c>
      <c r="F124">
        <v>0.53511385804602707</v>
      </c>
      <c r="G124">
        <v>8.0673534827775022</v>
      </c>
    </row>
    <row r="125" spans="1:7" x14ac:dyDescent="0.3">
      <c r="A125">
        <v>0.6</v>
      </c>
      <c r="B125">
        <v>40</v>
      </c>
      <c r="C125">
        <v>4.6299999999999996E-3</v>
      </c>
      <c r="D125">
        <v>10.380061789358871</v>
      </c>
      <c r="E125">
        <v>1.3086562499999999</v>
      </c>
      <c r="F125">
        <v>1.0250826615045798</v>
      </c>
      <c r="G125">
        <v>2.072767857726094</v>
      </c>
    </row>
    <row r="126" spans="1:7" x14ac:dyDescent="0.3">
      <c r="A126">
        <v>0.6</v>
      </c>
      <c r="B126">
        <v>40</v>
      </c>
      <c r="C126">
        <v>4.6299999999999996E-3</v>
      </c>
      <c r="D126">
        <v>12.97507723669859</v>
      </c>
      <c r="E126">
        <v>1.7372609999999997</v>
      </c>
      <c r="F126">
        <v>1.360812764702807</v>
      </c>
      <c r="G126">
        <v>-1.9408690760984997</v>
      </c>
    </row>
    <row r="127" spans="1:7" x14ac:dyDescent="0.3">
      <c r="A127">
        <v>0.6</v>
      </c>
      <c r="B127">
        <v>40</v>
      </c>
      <c r="C127">
        <v>4.6299999999999996E-3</v>
      </c>
      <c r="D127">
        <v>15.570092684038306</v>
      </c>
      <c r="E127">
        <v>1.8252450000000002</v>
      </c>
      <c r="F127">
        <v>1.4297314535409331</v>
      </c>
      <c r="G127">
        <v>-3.4484024426625011</v>
      </c>
    </row>
    <row r="128" spans="1:7" x14ac:dyDescent="0.3">
      <c r="A128">
        <v>0.6</v>
      </c>
      <c r="B128">
        <v>40</v>
      </c>
      <c r="C128">
        <v>4.6299999999999996E-3</v>
      </c>
      <c r="D128">
        <v>18.08401389864866</v>
      </c>
      <c r="E128">
        <v>2.2216035874439459</v>
      </c>
      <c r="F128">
        <v>1.7402028364783817</v>
      </c>
      <c r="G128">
        <v>-6.7482798281245868</v>
      </c>
    </row>
    <row r="129" spans="1:7" x14ac:dyDescent="0.3">
      <c r="A129">
        <v>0.6</v>
      </c>
      <c r="B129">
        <v>40</v>
      </c>
      <c r="C129">
        <v>2.3149999999999998E-3</v>
      </c>
      <c r="D129">
        <v>2.5950154473397178</v>
      </c>
      <c r="E129">
        <v>0</v>
      </c>
      <c r="F129">
        <v>0</v>
      </c>
      <c r="G129">
        <v>79.746493837680006</v>
      </c>
    </row>
    <row r="130" spans="1:7" x14ac:dyDescent="0.3">
      <c r="A130">
        <v>0.6</v>
      </c>
      <c r="B130">
        <v>40</v>
      </c>
      <c r="C130">
        <v>2.3149999999999998E-3</v>
      </c>
      <c r="D130">
        <v>5.1900308946794356</v>
      </c>
      <c r="E130">
        <v>0</v>
      </c>
      <c r="F130">
        <v>0</v>
      </c>
      <c r="G130">
        <v>19.936623459420002</v>
      </c>
    </row>
    <row r="131" spans="1:7" x14ac:dyDescent="0.3">
      <c r="A131">
        <v>0.6</v>
      </c>
      <c r="B131">
        <v>40</v>
      </c>
      <c r="C131">
        <v>2.3149999999999998E-3</v>
      </c>
      <c r="D131">
        <v>7.7850463420191529</v>
      </c>
      <c r="E131">
        <v>0.78043499999999999</v>
      </c>
      <c r="F131">
        <v>0.61132202358818577</v>
      </c>
      <c r="G131">
        <v>7.8252875958375014</v>
      </c>
    </row>
    <row r="132" spans="1:7" x14ac:dyDescent="0.3">
      <c r="A132">
        <v>0.6</v>
      </c>
      <c r="B132">
        <v>40</v>
      </c>
      <c r="C132">
        <v>2.3149999999999998E-3</v>
      </c>
      <c r="D132">
        <v>10.380061789358871</v>
      </c>
      <c r="E132">
        <v>1.35941625</v>
      </c>
      <c r="F132">
        <v>1.0648434435265757</v>
      </c>
      <c r="G132">
        <v>1.842534545556094</v>
      </c>
    </row>
    <row r="133" spans="1:7" x14ac:dyDescent="0.3">
      <c r="A133">
        <v>0.6</v>
      </c>
      <c r="B133">
        <v>40</v>
      </c>
      <c r="C133">
        <v>2.3149999999999998E-3</v>
      </c>
      <c r="D133">
        <v>12.97507723669859</v>
      </c>
      <c r="E133">
        <v>1.6776179999999998</v>
      </c>
      <c r="F133">
        <v>1.314093845826962</v>
      </c>
      <c r="G133">
        <v>-1.5946239081635998</v>
      </c>
    </row>
    <row r="134" spans="1:7" x14ac:dyDescent="0.3">
      <c r="A134">
        <v>0.6</v>
      </c>
      <c r="B134">
        <v>40</v>
      </c>
      <c r="C134">
        <v>2.3149999999999998E-3</v>
      </c>
      <c r="D134">
        <v>15.570092684038306</v>
      </c>
      <c r="E134">
        <v>1.6719075000000001</v>
      </c>
      <c r="F134">
        <v>1.3096207578494874</v>
      </c>
      <c r="G134">
        <v>-2.5367865861656256</v>
      </c>
    </row>
    <row r="135" spans="1:7" x14ac:dyDescent="0.3">
      <c r="A135">
        <v>0.6</v>
      </c>
      <c r="B135">
        <v>40</v>
      </c>
      <c r="C135">
        <v>2.3149999999999998E-3</v>
      </c>
      <c r="D135">
        <v>18.08401389864866</v>
      </c>
      <c r="E135">
        <v>1.6953384753363228</v>
      </c>
      <c r="F135">
        <v>1.3279744596404701</v>
      </c>
      <c r="G135">
        <v>-3.2439849066847786</v>
      </c>
    </row>
    <row r="136" spans="1:7" x14ac:dyDescent="0.3">
      <c r="A136">
        <v>0.6</v>
      </c>
      <c r="B136">
        <v>40</v>
      </c>
      <c r="C136">
        <v>1.5433333333333332E-3</v>
      </c>
      <c r="D136">
        <v>2.5950154473397178</v>
      </c>
      <c r="E136">
        <v>0</v>
      </c>
      <c r="F136">
        <v>0</v>
      </c>
      <c r="G136">
        <v>79.746493837680006</v>
      </c>
    </row>
    <row r="137" spans="1:7" x14ac:dyDescent="0.3">
      <c r="A137">
        <v>0.6</v>
      </c>
      <c r="B137">
        <v>40</v>
      </c>
      <c r="C137">
        <v>1.5433333333333332E-3</v>
      </c>
      <c r="D137">
        <v>5.1900308946794356</v>
      </c>
      <c r="E137">
        <v>0.14276249999999999</v>
      </c>
      <c r="F137">
        <v>0.11182719943686324</v>
      </c>
      <c r="G137">
        <v>19.901975536029376</v>
      </c>
    </row>
    <row r="138" spans="1:7" x14ac:dyDescent="0.3">
      <c r="A138">
        <v>0.6</v>
      </c>
      <c r="B138">
        <v>40</v>
      </c>
      <c r="C138">
        <v>1.5433333333333332E-3</v>
      </c>
      <c r="D138">
        <v>7.7850463420191529</v>
      </c>
      <c r="E138">
        <v>0.47164500000000004</v>
      </c>
      <c r="F138">
        <v>0.36944393295437788</v>
      </c>
      <c r="G138">
        <v>8.4825582272775026</v>
      </c>
    </row>
    <row r="139" spans="1:7" x14ac:dyDescent="0.3">
      <c r="A139">
        <v>0.6</v>
      </c>
      <c r="B139">
        <v>40</v>
      </c>
      <c r="C139">
        <v>1.5433333333333332E-3</v>
      </c>
      <c r="D139">
        <v>10.380061789358871</v>
      </c>
      <c r="E139">
        <v>0.85181624999999994</v>
      </c>
      <c r="F139">
        <v>0.66723562330661734</v>
      </c>
      <c r="G139">
        <v>3.7506512944560941</v>
      </c>
    </row>
    <row r="140" spans="1:7" x14ac:dyDescent="0.3">
      <c r="A140">
        <v>0.6</v>
      </c>
      <c r="B140">
        <v>40</v>
      </c>
      <c r="C140">
        <v>1.5433333333333332E-3</v>
      </c>
      <c r="D140">
        <v>12.97507723669859</v>
      </c>
      <c r="E140">
        <v>0.8832239999999999</v>
      </c>
      <c r="F140">
        <v>0.69183760718272724</v>
      </c>
      <c r="G140">
        <v>1.8637158754080001</v>
      </c>
    </row>
    <row r="141" spans="1:7" x14ac:dyDescent="0.3">
      <c r="A141">
        <v>0.6</v>
      </c>
      <c r="B141">
        <v>40</v>
      </c>
      <c r="C141">
        <v>1.5433333333333332E-3</v>
      </c>
      <c r="D141">
        <v>15.570092684038306</v>
      </c>
      <c r="E141">
        <v>0.96021000000000012</v>
      </c>
      <c r="F141">
        <v>0.7521414599160875</v>
      </c>
      <c r="G141">
        <v>0.64777486941000051</v>
      </c>
    </row>
    <row r="142" spans="1:7" x14ac:dyDescent="0.3">
      <c r="A142">
        <v>0.6</v>
      </c>
      <c r="B142">
        <v>40</v>
      </c>
      <c r="C142">
        <v>1.5433333333333332E-3</v>
      </c>
      <c r="D142">
        <v>18.08401389864866</v>
      </c>
      <c r="E142">
        <v>1.0370518385650225</v>
      </c>
      <c r="F142">
        <v>0.81233238965117904</v>
      </c>
      <c r="G142">
        <v>-0.18620165554096771</v>
      </c>
    </row>
    <row r="143" spans="1:7" x14ac:dyDescent="0.3">
      <c r="A143">
        <v>0.6</v>
      </c>
      <c r="B143">
        <v>60</v>
      </c>
      <c r="C143">
        <v>1.3789999999999998E-2</v>
      </c>
      <c r="D143">
        <v>1.8539685851815737</v>
      </c>
      <c r="E143">
        <v>0</v>
      </c>
      <c r="F143">
        <v>0</v>
      </c>
      <c r="G143">
        <v>104.15868582880654</v>
      </c>
    </row>
    <row r="144" spans="1:7" x14ac:dyDescent="0.3">
      <c r="A144">
        <v>0.6</v>
      </c>
      <c r="B144">
        <v>60</v>
      </c>
      <c r="C144">
        <v>1.3789999999999998E-2</v>
      </c>
      <c r="D144">
        <v>3.7079371703631474</v>
      </c>
      <c r="E144">
        <v>0</v>
      </c>
      <c r="F144">
        <v>0</v>
      </c>
      <c r="G144">
        <v>26.039671457201635</v>
      </c>
    </row>
    <row r="145" spans="1:7" x14ac:dyDescent="0.3">
      <c r="A145">
        <v>0.6</v>
      </c>
      <c r="B145">
        <v>60</v>
      </c>
      <c r="C145">
        <v>1.3789999999999998E-2</v>
      </c>
      <c r="D145">
        <v>5.5619057555447204</v>
      </c>
      <c r="E145">
        <v>0.12569142857142859</v>
      </c>
      <c r="F145">
        <v>6.563684651250104E-2</v>
      </c>
      <c r="G145">
        <v>11.546330144444084</v>
      </c>
    </row>
    <row r="146" spans="1:7" x14ac:dyDescent="0.3">
      <c r="A146">
        <v>0.6</v>
      </c>
      <c r="B146">
        <v>60</v>
      </c>
      <c r="C146">
        <v>1.3789999999999998E-2</v>
      </c>
      <c r="D146">
        <v>7.4158743407262948</v>
      </c>
      <c r="E146">
        <v>0.54929571428571422</v>
      </c>
      <c r="F146">
        <v>0.28684564173011268</v>
      </c>
      <c r="G146">
        <v>5.9969840353548989</v>
      </c>
    </row>
    <row r="147" spans="1:7" x14ac:dyDescent="0.3">
      <c r="A147">
        <v>0.6</v>
      </c>
      <c r="B147">
        <v>60</v>
      </c>
      <c r="C147">
        <v>1.3789999999999998E-2</v>
      </c>
      <c r="D147">
        <v>9.2698429259078683</v>
      </c>
      <c r="E147">
        <v>0.92818285714285731</v>
      </c>
      <c r="F147">
        <v>0.48470286655385386</v>
      </c>
      <c r="G147">
        <v>2.7017576254526694</v>
      </c>
    </row>
    <row r="148" spans="1:7" x14ac:dyDescent="0.3">
      <c r="A148">
        <v>0.6</v>
      </c>
      <c r="B148">
        <v>60</v>
      </c>
      <c r="C148">
        <v>1.3789999999999998E-2</v>
      </c>
      <c r="D148">
        <v>11.123811511089441</v>
      </c>
      <c r="E148">
        <v>1.0877142857142859</v>
      </c>
      <c r="F148">
        <v>0.56801117174279736</v>
      </c>
      <c r="G148">
        <v>0.88198880408816371</v>
      </c>
    </row>
    <row r="149" spans="1:7" x14ac:dyDescent="0.3">
      <c r="A149">
        <v>0.6</v>
      </c>
      <c r="B149">
        <v>60</v>
      </c>
      <c r="C149">
        <v>1.3789999999999998E-2</v>
      </c>
      <c r="D149">
        <v>13.021922205442007</v>
      </c>
      <c r="E149">
        <v>1.3204482711864405</v>
      </c>
      <c r="F149">
        <v>0.68954630787976479</v>
      </c>
      <c r="G149">
        <v>-0.85279173107722117</v>
      </c>
    </row>
    <row r="150" spans="1:7" x14ac:dyDescent="0.3">
      <c r="A150">
        <v>0.6</v>
      </c>
      <c r="B150">
        <v>60</v>
      </c>
      <c r="C150">
        <v>6.8949999999999992E-3</v>
      </c>
      <c r="D150">
        <v>1.8539685851815737</v>
      </c>
      <c r="E150">
        <v>0</v>
      </c>
      <c r="F150">
        <v>0</v>
      </c>
      <c r="G150">
        <v>104.15868582880654</v>
      </c>
    </row>
    <row r="151" spans="1:7" x14ac:dyDescent="0.3">
      <c r="A151">
        <v>0.6</v>
      </c>
      <c r="B151">
        <v>60</v>
      </c>
      <c r="C151">
        <v>6.8949999999999992E-3</v>
      </c>
      <c r="D151">
        <v>3.7079371703631474</v>
      </c>
      <c r="E151">
        <v>0</v>
      </c>
      <c r="F151">
        <v>0</v>
      </c>
      <c r="G151">
        <v>26.039671457201635</v>
      </c>
    </row>
    <row r="152" spans="1:7" x14ac:dyDescent="0.3">
      <c r="A152">
        <v>0.6</v>
      </c>
      <c r="B152">
        <v>60</v>
      </c>
      <c r="C152">
        <v>6.8949999999999992E-3</v>
      </c>
      <c r="D152">
        <v>5.5619057555447204</v>
      </c>
      <c r="E152">
        <v>0.58978285714285716</v>
      </c>
      <c r="F152">
        <v>0.30798827978942794</v>
      </c>
      <c r="G152">
        <v>10.981852822726534</v>
      </c>
    </row>
    <row r="153" spans="1:7" x14ac:dyDescent="0.3">
      <c r="A153">
        <v>0.6</v>
      </c>
      <c r="B153">
        <v>60</v>
      </c>
      <c r="C153">
        <v>6.8949999999999992E-3</v>
      </c>
      <c r="D153">
        <v>7.4158743407262948</v>
      </c>
      <c r="E153">
        <v>0.88648714285714281</v>
      </c>
      <c r="F153">
        <v>0.46292910497037987</v>
      </c>
      <c r="G153">
        <v>5.1739567917336746</v>
      </c>
    </row>
    <row r="154" spans="1:7" x14ac:dyDescent="0.3">
      <c r="A154">
        <v>0.6</v>
      </c>
      <c r="B154">
        <v>60</v>
      </c>
      <c r="C154">
        <v>6.8949999999999992E-3</v>
      </c>
      <c r="D154">
        <v>9.2698429259078683</v>
      </c>
      <c r="E154">
        <v>1.3313622857142857</v>
      </c>
      <c r="F154">
        <v>0.69524567421318406</v>
      </c>
      <c r="G154">
        <v>1.1530540222542378</v>
      </c>
    </row>
    <row r="155" spans="1:7" x14ac:dyDescent="0.3">
      <c r="A155">
        <v>0.6</v>
      </c>
      <c r="B155">
        <v>60</v>
      </c>
      <c r="C155">
        <v>6.8949999999999992E-3</v>
      </c>
      <c r="D155">
        <v>11.123811511089441</v>
      </c>
      <c r="E155">
        <v>1.3439314285714286</v>
      </c>
      <c r="F155">
        <v>0.70180935886443407</v>
      </c>
      <c r="G155">
        <v>-0.17716103541550965</v>
      </c>
    </row>
    <row r="156" spans="1:7" x14ac:dyDescent="0.3">
      <c r="A156">
        <v>0.6</v>
      </c>
      <c r="B156">
        <v>60</v>
      </c>
      <c r="C156">
        <v>6.8949999999999992E-3</v>
      </c>
      <c r="D156">
        <v>13.021922205442007</v>
      </c>
      <c r="E156">
        <v>1.4732444745762712</v>
      </c>
      <c r="F156">
        <v>0.76933743654763431</v>
      </c>
      <c r="G156">
        <v>-1.5784633275606514</v>
      </c>
    </row>
    <row r="157" spans="1:7" x14ac:dyDescent="0.3">
      <c r="A157">
        <v>0.6</v>
      </c>
      <c r="B157">
        <v>60</v>
      </c>
      <c r="C157">
        <v>3.4474999999999996E-3</v>
      </c>
      <c r="D157">
        <v>1.8539685851815737</v>
      </c>
      <c r="E157">
        <v>0</v>
      </c>
      <c r="F157">
        <v>0</v>
      </c>
      <c r="G157">
        <v>104.15868582880654</v>
      </c>
    </row>
    <row r="158" spans="1:7" x14ac:dyDescent="0.3">
      <c r="A158">
        <v>0.6</v>
      </c>
      <c r="B158">
        <v>60</v>
      </c>
      <c r="C158">
        <v>3.4474999999999996E-3</v>
      </c>
      <c r="D158">
        <v>3.7079371703631474</v>
      </c>
      <c r="E158">
        <v>0</v>
      </c>
      <c r="F158">
        <v>0</v>
      </c>
      <c r="G158">
        <v>26.039671457201635</v>
      </c>
    </row>
    <row r="159" spans="1:7" x14ac:dyDescent="0.3">
      <c r="A159">
        <v>0.6</v>
      </c>
      <c r="B159">
        <v>60</v>
      </c>
      <c r="C159">
        <v>3.4474999999999996E-3</v>
      </c>
      <c r="D159">
        <v>5.5619057555447204</v>
      </c>
      <c r="E159">
        <v>0.37707428571428575</v>
      </c>
      <c r="F159">
        <v>0.19691053953750309</v>
      </c>
      <c r="G159">
        <v>11.331472785502044</v>
      </c>
    </row>
    <row r="160" spans="1:7" x14ac:dyDescent="0.3">
      <c r="A160">
        <v>0.6</v>
      </c>
      <c r="B160">
        <v>60</v>
      </c>
      <c r="C160">
        <v>3.4474999999999996E-3</v>
      </c>
      <c r="D160">
        <v>7.4158743407262948</v>
      </c>
      <c r="E160">
        <v>0.81397285714285716</v>
      </c>
      <c r="F160">
        <v>0.4250616935208601</v>
      </c>
      <c r="G160">
        <v>5.3835797836193882</v>
      </c>
    </row>
    <row r="161" spans="1:7" x14ac:dyDescent="0.3">
      <c r="A161">
        <v>0.6</v>
      </c>
      <c r="B161">
        <v>60</v>
      </c>
      <c r="C161">
        <v>3.4474999999999996E-3</v>
      </c>
      <c r="D161">
        <v>9.2698429259078683</v>
      </c>
      <c r="E161">
        <v>0.97604228571428586</v>
      </c>
      <c r="F161">
        <v>0.5096953581105369</v>
      </c>
      <c r="G161">
        <v>2.5468279091982371</v>
      </c>
    </row>
    <row r="162" spans="1:7" x14ac:dyDescent="0.3">
      <c r="A162">
        <v>0.6</v>
      </c>
      <c r="B162">
        <v>60</v>
      </c>
      <c r="C162">
        <v>3.4474999999999996E-3</v>
      </c>
      <c r="D162">
        <v>11.123811511089441</v>
      </c>
      <c r="E162">
        <v>0.86775428571428581</v>
      </c>
      <c r="F162">
        <v>0.45314669034592064</v>
      </c>
      <c r="G162">
        <v>1.6132010779395924</v>
      </c>
    </row>
    <row r="163" spans="1:7" x14ac:dyDescent="0.3">
      <c r="A163">
        <v>0.6</v>
      </c>
      <c r="B163">
        <v>60</v>
      </c>
      <c r="C163">
        <v>3.4474999999999996E-3</v>
      </c>
      <c r="D163">
        <v>13.021922205442007</v>
      </c>
      <c r="E163">
        <v>0.91058277966101697</v>
      </c>
      <c r="F163">
        <v>0.47551199652068227</v>
      </c>
      <c r="G163">
        <v>0.70172675397170747</v>
      </c>
    </row>
    <row r="164" spans="1:7" x14ac:dyDescent="0.3">
      <c r="A164">
        <v>0.6</v>
      </c>
      <c r="B164">
        <v>60</v>
      </c>
      <c r="C164">
        <v>2.2983333333333332E-3</v>
      </c>
      <c r="D164">
        <v>1.8539685851815737</v>
      </c>
      <c r="E164">
        <v>0</v>
      </c>
      <c r="F164">
        <v>0</v>
      </c>
      <c r="G164">
        <v>104.15868582880654</v>
      </c>
    </row>
    <row r="165" spans="1:7" x14ac:dyDescent="0.3">
      <c r="A165">
        <v>0.6</v>
      </c>
      <c r="B165">
        <v>60</v>
      </c>
      <c r="C165">
        <v>2.2983333333333332E-3</v>
      </c>
      <c r="D165">
        <v>3.7079371703631474</v>
      </c>
      <c r="E165">
        <v>0</v>
      </c>
      <c r="F165">
        <v>0</v>
      </c>
      <c r="G165">
        <v>26.039671457201635</v>
      </c>
    </row>
    <row r="166" spans="1:7" x14ac:dyDescent="0.3">
      <c r="A166">
        <v>0.6</v>
      </c>
      <c r="B166">
        <v>60</v>
      </c>
      <c r="C166">
        <v>2.2983333333333332E-3</v>
      </c>
      <c r="D166">
        <v>5.5619057555447204</v>
      </c>
      <c r="E166">
        <v>0</v>
      </c>
      <c r="F166">
        <v>0</v>
      </c>
      <c r="G166">
        <v>11.57318731431184</v>
      </c>
    </row>
    <row r="167" spans="1:7" x14ac:dyDescent="0.3">
      <c r="A167">
        <v>0.6</v>
      </c>
      <c r="B167">
        <v>60</v>
      </c>
      <c r="C167">
        <v>2.2983333333333332E-3</v>
      </c>
      <c r="D167">
        <v>7.4158743407262948</v>
      </c>
      <c r="E167">
        <v>0</v>
      </c>
      <c r="F167">
        <v>0</v>
      </c>
      <c r="G167">
        <v>6.5099178643004088</v>
      </c>
    </row>
    <row r="168" spans="1:7" x14ac:dyDescent="0.3">
      <c r="A168">
        <v>0.6</v>
      </c>
      <c r="B168">
        <v>60</v>
      </c>
      <c r="C168">
        <v>2.2983333333333332E-3</v>
      </c>
      <c r="D168">
        <v>9.2698429259078683</v>
      </c>
      <c r="E168">
        <v>0.10877142857142857</v>
      </c>
      <c r="F168">
        <v>2.5244940966346552E-2</v>
      </c>
      <c r="G168">
        <v>4.1462343529073635</v>
      </c>
    </row>
    <row r="169" spans="1:7" x14ac:dyDescent="0.3">
      <c r="A169">
        <v>0.6</v>
      </c>
      <c r="B169">
        <v>60</v>
      </c>
      <c r="C169">
        <v>2.2983333333333332E-3</v>
      </c>
      <c r="D169">
        <v>11.123811511089441</v>
      </c>
      <c r="E169">
        <v>0.12810857142857146</v>
      </c>
      <c r="F169">
        <v>6.6899093560818357E-2</v>
      </c>
      <c r="G169">
        <v>2.8653967582530617</v>
      </c>
    </row>
    <row r="170" spans="1:7" x14ac:dyDescent="0.3">
      <c r="A170">
        <v>0.6</v>
      </c>
      <c r="B170">
        <v>60</v>
      </c>
      <c r="C170">
        <v>2.2983333333333332E-3</v>
      </c>
      <c r="D170">
        <v>13.021922205442007</v>
      </c>
      <c r="E170">
        <v>0.16931471186440678</v>
      </c>
      <c r="F170">
        <v>8.8417196631963568E-2</v>
      </c>
      <c r="G170">
        <v>2.0625657498061845</v>
      </c>
    </row>
    <row r="171" spans="1:7" x14ac:dyDescent="0.3">
      <c r="A171">
        <v>1.6666666666666667</v>
      </c>
      <c r="B171">
        <v>10</v>
      </c>
      <c r="C171">
        <v>2.5500000000000002E-3</v>
      </c>
      <c r="D171">
        <v>8.131498912699044</v>
      </c>
      <c r="E171">
        <v>0</v>
      </c>
      <c r="F171">
        <v>0</v>
      </c>
      <c r="G171">
        <v>56.551530256083318</v>
      </c>
    </row>
    <row r="172" spans="1:7" x14ac:dyDescent="0.3">
      <c r="A172">
        <v>1.6666666666666667</v>
      </c>
      <c r="B172">
        <v>10</v>
      </c>
      <c r="C172">
        <v>2.5500000000000002E-3</v>
      </c>
      <c r="D172">
        <v>16.262997825398088</v>
      </c>
      <c r="E172">
        <v>0.16029473684210524</v>
      </c>
      <c r="F172">
        <v>0.50224145711994728</v>
      </c>
      <c r="G172">
        <v>14.094202079500052</v>
      </c>
    </row>
    <row r="173" spans="1:7" x14ac:dyDescent="0.3">
      <c r="A173">
        <v>1.6666666666666667</v>
      </c>
      <c r="B173">
        <v>10</v>
      </c>
      <c r="C173">
        <v>2.5500000000000002E-3</v>
      </c>
      <c r="D173">
        <v>24.394496738097136</v>
      </c>
      <c r="E173">
        <v>0.37580210526315783</v>
      </c>
      <c r="F173">
        <v>1.1774771939145425</v>
      </c>
      <c r="G173">
        <v>6.0434170838426597</v>
      </c>
    </row>
    <row r="174" spans="1:7" x14ac:dyDescent="0.3">
      <c r="A174">
        <v>1.6666666666666667</v>
      </c>
      <c r="B174">
        <v>10</v>
      </c>
      <c r="C174">
        <v>2.5500000000000002E-3</v>
      </c>
      <c r="D174">
        <v>32.525995650796176</v>
      </c>
      <c r="E174">
        <v>0.6839242105263158</v>
      </c>
      <c r="F174">
        <v>2.1428968837117752</v>
      </c>
      <c r="G174">
        <v>2.7392916872403319</v>
      </c>
    </row>
    <row r="175" spans="1:7" x14ac:dyDescent="0.3">
      <c r="A175">
        <v>1.6666666666666667</v>
      </c>
      <c r="B175">
        <v>10</v>
      </c>
      <c r="C175">
        <v>2.5500000000000002E-3</v>
      </c>
      <c r="D175">
        <v>40.65749456349522</v>
      </c>
      <c r="E175">
        <v>0.98314105263157892</v>
      </c>
      <c r="F175">
        <v>3.0804142703356758</v>
      </c>
      <c r="G175">
        <v>0.61889845031513391</v>
      </c>
    </row>
    <row r="176" spans="1:7" x14ac:dyDescent="0.3">
      <c r="A176">
        <v>1.6666666666666667</v>
      </c>
      <c r="B176">
        <v>10</v>
      </c>
      <c r="C176">
        <v>2.5500000000000002E-3</v>
      </c>
      <c r="D176">
        <v>48.788993476194271</v>
      </c>
      <c r="E176">
        <v>1.3366799999999999</v>
      </c>
      <c r="F176">
        <v>4.1881357063168929</v>
      </c>
      <c r="G176">
        <v>-1.4665369776332404</v>
      </c>
    </row>
    <row r="177" spans="1:7" x14ac:dyDescent="0.3">
      <c r="A177">
        <v>1.6666666666666667</v>
      </c>
      <c r="B177">
        <v>10</v>
      </c>
      <c r="C177">
        <v>2.5500000000000002E-3</v>
      </c>
      <c r="D177">
        <v>57.348466015877477</v>
      </c>
      <c r="E177">
        <v>1.3735504477611937</v>
      </c>
      <c r="F177">
        <v>4.3036595705002041</v>
      </c>
      <c r="G177">
        <v>-2.0703378435707185</v>
      </c>
    </row>
    <row r="178" spans="1:7" x14ac:dyDescent="0.3">
      <c r="A178">
        <v>1.6666666666666667</v>
      </c>
      <c r="B178">
        <v>10</v>
      </c>
      <c r="C178">
        <v>1.2750000000000001E-3</v>
      </c>
      <c r="D178">
        <v>8.131498912699044</v>
      </c>
      <c r="E178">
        <v>0.32058947368421048</v>
      </c>
      <c r="F178">
        <v>1.0044829142398946</v>
      </c>
      <c r="G178">
        <v>56.376808318000208</v>
      </c>
    </row>
    <row r="179" spans="1:7" x14ac:dyDescent="0.3">
      <c r="A179">
        <v>1.6666666666666667</v>
      </c>
      <c r="B179">
        <v>10</v>
      </c>
      <c r="C179">
        <v>1.2750000000000001E-3</v>
      </c>
      <c r="D179">
        <v>16.262997825398088</v>
      </c>
      <c r="E179">
        <v>0.58240421052631575</v>
      </c>
      <c r="F179">
        <v>1.8248106275358082</v>
      </c>
      <c r="G179">
        <v>13.561251634474901</v>
      </c>
    </row>
    <row r="180" spans="1:7" x14ac:dyDescent="0.3">
      <c r="A180">
        <v>1.6666666666666667</v>
      </c>
      <c r="B180">
        <v>10</v>
      </c>
      <c r="C180">
        <v>1.2750000000000001E-3</v>
      </c>
      <c r="D180">
        <v>24.394496738097136</v>
      </c>
      <c r="E180">
        <v>1.0543831578947367</v>
      </c>
      <c r="F180">
        <v>3.3036326957223192</v>
      </c>
      <c r="G180">
        <v>4.3935728275785042</v>
      </c>
    </row>
    <row r="181" spans="1:7" x14ac:dyDescent="0.3">
      <c r="A181">
        <v>1.6666666666666667</v>
      </c>
      <c r="B181">
        <v>10</v>
      </c>
      <c r="C181">
        <v>1.2750000000000001E-3</v>
      </c>
      <c r="D181">
        <v>32.525995650796176</v>
      </c>
      <c r="E181">
        <v>1.3958999999999997</v>
      </c>
      <c r="F181">
        <v>4.3736860224195402</v>
      </c>
      <c r="G181">
        <v>0.22195806400520815</v>
      </c>
    </row>
    <row r="182" spans="1:7" x14ac:dyDescent="0.3">
      <c r="A182">
        <v>1.6666666666666667</v>
      </c>
      <c r="B182">
        <v>10</v>
      </c>
      <c r="C182">
        <v>1.2750000000000001E-3</v>
      </c>
      <c r="D182">
        <v>40.65749456349522</v>
      </c>
      <c r="E182">
        <v>1.8711738947368424</v>
      </c>
      <c r="F182">
        <v>5.8628319427801836</v>
      </c>
      <c r="G182">
        <v>-3.6901347551425601</v>
      </c>
    </row>
    <row r="183" spans="1:7" x14ac:dyDescent="0.3">
      <c r="A183">
        <v>1.6666666666666667</v>
      </c>
      <c r="B183">
        <v>10</v>
      </c>
      <c r="C183">
        <v>1.2750000000000001E-3</v>
      </c>
      <c r="D183">
        <v>48.788993476194271</v>
      </c>
      <c r="E183">
        <v>2.1898042105263156</v>
      </c>
      <c r="F183">
        <v>6.8611763503219452</v>
      </c>
      <c r="G183">
        <v>-6.5810363762991688</v>
      </c>
    </row>
    <row r="184" spans="1:7" x14ac:dyDescent="0.3">
      <c r="A184">
        <v>1.6666666666666667</v>
      </c>
      <c r="B184">
        <v>10</v>
      </c>
      <c r="C184">
        <v>1.2750000000000001E-3</v>
      </c>
      <c r="D184">
        <v>56.492518761909153</v>
      </c>
      <c r="E184">
        <v>2.1996000000000002</v>
      </c>
      <c r="F184">
        <v>6.8918688838126103</v>
      </c>
      <c r="G184">
        <v>-7.0533426141461151</v>
      </c>
    </row>
    <row r="185" spans="1:7" x14ac:dyDescent="0.3">
      <c r="A185">
        <v>1.6666666666666667</v>
      </c>
      <c r="B185">
        <v>10</v>
      </c>
      <c r="C185">
        <v>6.3750000000000005E-4</v>
      </c>
      <c r="D185">
        <v>8.131498912699044</v>
      </c>
      <c r="E185">
        <v>0</v>
      </c>
      <c r="F185">
        <v>0</v>
      </c>
      <c r="G185">
        <v>56.551530256083318</v>
      </c>
    </row>
    <row r="186" spans="1:7" x14ac:dyDescent="0.3">
      <c r="A186">
        <v>1.6666666666666667</v>
      </c>
      <c r="B186">
        <v>10</v>
      </c>
      <c r="C186">
        <v>6.3750000000000005E-4</v>
      </c>
      <c r="D186">
        <v>16.262997825398088</v>
      </c>
      <c r="E186">
        <v>0.38203578947368416</v>
      </c>
      <c r="F186">
        <v>1.1970088061358739</v>
      </c>
      <c r="G186">
        <v>13.889765278474901</v>
      </c>
    </row>
    <row r="187" spans="1:7" x14ac:dyDescent="0.3">
      <c r="A187">
        <v>1.6666666666666667</v>
      </c>
      <c r="B187">
        <v>10</v>
      </c>
      <c r="C187">
        <v>6.3750000000000005E-4</v>
      </c>
      <c r="D187">
        <v>24.394496738097136</v>
      </c>
      <c r="E187">
        <v>1.1808378947368421</v>
      </c>
      <c r="F187">
        <v>3.6998454007836115</v>
      </c>
      <c r="G187">
        <v>3.9130605345879226</v>
      </c>
    </row>
    <row r="188" spans="1:7" x14ac:dyDescent="0.3">
      <c r="A188">
        <v>1.6666666666666667</v>
      </c>
      <c r="B188">
        <v>10</v>
      </c>
      <c r="C188">
        <v>6.3750000000000005E-4</v>
      </c>
      <c r="D188">
        <v>32.525995650796176</v>
      </c>
      <c r="E188">
        <v>1.385213684210526</v>
      </c>
      <c r="F188">
        <v>4.3402032586115435</v>
      </c>
      <c r="G188">
        <v>0.27248182443423874</v>
      </c>
    </row>
    <row r="189" spans="1:7" x14ac:dyDescent="0.3">
      <c r="A189">
        <v>1.6666666666666667</v>
      </c>
      <c r="B189">
        <v>10</v>
      </c>
      <c r="C189">
        <v>6.3750000000000005E-4</v>
      </c>
      <c r="D189">
        <v>40.65749456349522</v>
      </c>
      <c r="E189">
        <v>1.6713397894736843</v>
      </c>
      <c r="F189">
        <v>5.2367042595706499</v>
      </c>
      <c r="G189">
        <v>-2.4866791659491634</v>
      </c>
    </row>
    <row r="190" spans="1:7" x14ac:dyDescent="0.3">
      <c r="A190">
        <v>1.6666666666666667</v>
      </c>
      <c r="B190">
        <v>10</v>
      </c>
      <c r="C190">
        <v>6.3750000000000005E-4</v>
      </c>
      <c r="D190">
        <v>48.788993476194271</v>
      </c>
      <c r="E190">
        <v>1.7124821052631578</v>
      </c>
      <c r="F190">
        <v>5.3656129002314366</v>
      </c>
      <c r="G190">
        <v>-3.4145355929923555</v>
      </c>
    </row>
    <row r="191" spans="1:7" x14ac:dyDescent="0.3">
      <c r="A191">
        <v>1.6666666666666667</v>
      </c>
      <c r="B191">
        <v>10</v>
      </c>
      <c r="C191">
        <v>6.3750000000000005E-4</v>
      </c>
      <c r="D191">
        <v>56.492518761909153</v>
      </c>
      <c r="E191">
        <v>1.743529090909091</v>
      </c>
      <c r="F191">
        <v>5.4628904753857288</v>
      </c>
      <c r="G191">
        <v>-3.996153616584794</v>
      </c>
    </row>
    <row r="192" spans="1:7" x14ac:dyDescent="0.3">
      <c r="A192">
        <v>1.6666666666666667</v>
      </c>
      <c r="B192">
        <v>10</v>
      </c>
      <c r="C192">
        <v>4.2499999999999998E-4</v>
      </c>
      <c r="D192">
        <v>8.131498912699044</v>
      </c>
      <c r="E192">
        <v>0</v>
      </c>
      <c r="F192">
        <v>0</v>
      </c>
      <c r="G192">
        <v>56.551530256083318</v>
      </c>
    </row>
    <row r="193" spans="1:7" x14ac:dyDescent="0.3">
      <c r="A193">
        <v>1.6666666666666667</v>
      </c>
      <c r="B193">
        <v>10</v>
      </c>
      <c r="C193">
        <v>4.2499999999999998E-4</v>
      </c>
      <c r="D193">
        <v>16.262997825398088</v>
      </c>
      <c r="E193">
        <v>0.48088421052631575</v>
      </c>
      <c r="F193">
        <v>1.5067243713598417</v>
      </c>
      <c r="G193">
        <v>13.744758203333848</v>
      </c>
    </row>
    <row r="194" spans="1:7" x14ac:dyDescent="0.3">
      <c r="A194">
        <v>1.6666666666666667</v>
      </c>
      <c r="B194">
        <v>10</v>
      </c>
      <c r="C194">
        <v>4.2499999999999998E-4</v>
      </c>
      <c r="D194">
        <v>24.394496738097136</v>
      </c>
      <c r="E194">
        <v>1.0864421052631577</v>
      </c>
      <c r="F194">
        <v>3.4040809871463082</v>
      </c>
      <c r="G194">
        <v>4.2768974000363436</v>
      </c>
    </row>
    <row r="195" spans="1:7" x14ac:dyDescent="0.3">
      <c r="A195">
        <v>1.6666666666666667</v>
      </c>
      <c r="B195">
        <v>10</v>
      </c>
      <c r="C195">
        <v>4.2499999999999998E-4</v>
      </c>
      <c r="D195">
        <v>32.525995650796176</v>
      </c>
      <c r="E195">
        <v>1.4386452631578945</v>
      </c>
      <c r="F195">
        <v>4.5076170776515259</v>
      </c>
      <c r="G195">
        <v>1.5980312553905942E-2</v>
      </c>
    </row>
    <row r="196" spans="1:7" x14ac:dyDescent="0.3">
      <c r="A196">
        <v>1.6666666666666667</v>
      </c>
      <c r="B196">
        <v>10</v>
      </c>
      <c r="C196">
        <v>4.2499999999999998E-4</v>
      </c>
      <c r="D196">
        <v>40.65749456349522</v>
      </c>
      <c r="E196">
        <v>1.6478298947368422</v>
      </c>
      <c r="F196">
        <v>5.1630421791930576</v>
      </c>
      <c r="G196">
        <v>-2.3540225051370016</v>
      </c>
    </row>
    <row r="197" spans="1:7" x14ac:dyDescent="0.3">
      <c r="A197">
        <v>1.6666666666666667</v>
      </c>
      <c r="B197">
        <v>10</v>
      </c>
      <c r="C197">
        <v>4.2499999999999998E-4</v>
      </c>
      <c r="D197">
        <v>48.788993476194271</v>
      </c>
      <c r="E197">
        <v>1.6581599999999999</v>
      </c>
      <c r="F197">
        <v>5.1954088508741201</v>
      </c>
      <c r="G197">
        <v>-3.1032649550732407</v>
      </c>
    </row>
    <row r="198" spans="1:7" x14ac:dyDescent="0.3">
      <c r="A198">
        <v>1.6666666666666667</v>
      </c>
      <c r="B198">
        <v>10</v>
      </c>
      <c r="C198">
        <v>4.2499999999999998E-4</v>
      </c>
      <c r="D198">
        <v>57.348466015877477</v>
      </c>
      <c r="E198">
        <v>1.6508364179104476</v>
      </c>
      <c r="F198">
        <v>5.1724623299062022</v>
      </c>
      <c r="G198">
        <v>-3.4959919220332347</v>
      </c>
    </row>
    <row r="199" spans="1:7" x14ac:dyDescent="0.3">
      <c r="A199">
        <v>1.6666666666666667</v>
      </c>
      <c r="B199">
        <v>15</v>
      </c>
      <c r="C199">
        <v>3.7299999999999998E-3</v>
      </c>
      <c r="D199">
        <v>6.5228613923163552</v>
      </c>
      <c r="E199">
        <v>0</v>
      </c>
      <c r="F199">
        <v>0</v>
      </c>
      <c r="G199">
        <v>58.589260778703682</v>
      </c>
    </row>
    <row r="200" spans="1:7" x14ac:dyDescent="0.3">
      <c r="A200">
        <v>1.6666666666666667</v>
      </c>
      <c r="B200">
        <v>15</v>
      </c>
      <c r="C200">
        <v>3.7299999999999998E-3</v>
      </c>
      <c r="D200">
        <v>13.04572278463271</v>
      </c>
      <c r="E200">
        <v>0.16315714285714286</v>
      </c>
      <c r="F200">
        <v>0.34080670304567851</v>
      </c>
      <c r="G200">
        <v>14.6020607641249</v>
      </c>
    </row>
    <row r="201" spans="1:7" x14ac:dyDescent="0.3">
      <c r="A201">
        <v>1.6666666666666667</v>
      </c>
      <c r="B201">
        <v>15</v>
      </c>
      <c r="C201">
        <v>3.7299999999999998E-3</v>
      </c>
      <c r="D201">
        <v>19.568584176949066</v>
      </c>
      <c r="E201">
        <v>1.0587085714285713</v>
      </c>
      <c r="F201">
        <v>2.2114568286519578</v>
      </c>
      <c r="G201">
        <v>4.6044493376326541</v>
      </c>
    </row>
    <row r="202" spans="1:7" x14ac:dyDescent="0.3">
      <c r="A202">
        <v>1.6666666666666667</v>
      </c>
      <c r="B202">
        <v>15</v>
      </c>
      <c r="C202">
        <v>3.7299999999999998E-3</v>
      </c>
      <c r="D202">
        <v>26.091445569265421</v>
      </c>
      <c r="E202">
        <v>1.4575371428571431</v>
      </c>
      <c r="F202">
        <v>3.0445398805413943</v>
      </c>
      <c r="G202">
        <v>5.032410989510213E-2</v>
      </c>
    </row>
    <row r="203" spans="1:7" x14ac:dyDescent="0.3">
      <c r="A203">
        <v>1.6666666666666667</v>
      </c>
      <c r="B203">
        <v>15</v>
      </c>
      <c r="C203">
        <v>3.7299999999999998E-3</v>
      </c>
      <c r="D203">
        <v>32.614306961581775</v>
      </c>
      <c r="E203">
        <v>1.7066237142857144</v>
      </c>
      <c r="F203">
        <v>3.5648381138577965</v>
      </c>
      <c r="G203">
        <v>-2.6077892225278783</v>
      </c>
    </row>
    <row r="204" spans="1:7" x14ac:dyDescent="0.3">
      <c r="A204">
        <v>1.6666666666666667</v>
      </c>
      <c r="B204">
        <v>15</v>
      </c>
      <c r="C204">
        <v>3.7299999999999998E-3</v>
      </c>
      <c r="D204">
        <v>39.137168353898133</v>
      </c>
      <c r="E204">
        <v>1.6723607142857142</v>
      </c>
      <c r="F204">
        <v>3.493268706218204</v>
      </c>
      <c r="G204">
        <v>-3.1270641436914794</v>
      </c>
    </row>
    <row r="205" spans="1:7" x14ac:dyDescent="0.3">
      <c r="A205">
        <v>1.6666666666666667</v>
      </c>
      <c r="B205">
        <v>15</v>
      </c>
      <c r="C205">
        <v>3.7299999999999998E-3</v>
      </c>
      <c r="D205">
        <v>45.660029746214491</v>
      </c>
      <c r="E205">
        <v>1.7675357142857142</v>
      </c>
      <c r="F205">
        <v>3.6920726163281827</v>
      </c>
      <c r="G205">
        <v>-4.115411052602985</v>
      </c>
    </row>
    <row r="206" spans="1:7" x14ac:dyDescent="0.3">
      <c r="A206">
        <v>1.6666666666666667</v>
      </c>
      <c r="B206">
        <v>15</v>
      </c>
      <c r="C206">
        <v>1.8649999999999999E-3</v>
      </c>
      <c r="D206">
        <v>6.5228613923163552</v>
      </c>
      <c r="E206">
        <v>0</v>
      </c>
      <c r="F206">
        <v>0</v>
      </c>
      <c r="G206">
        <v>58.589260778703682</v>
      </c>
    </row>
    <row r="207" spans="1:7" x14ac:dyDescent="0.3">
      <c r="A207">
        <v>1.6666666666666667</v>
      </c>
      <c r="B207">
        <v>15</v>
      </c>
      <c r="C207">
        <v>1.8649999999999999E-3</v>
      </c>
      <c r="D207">
        <v>13.04572278463271</v>
      </c>
      <c r="E207">
        <v>0.3942964285714286</v>
      </c>
      <c r="F207">
        <v>0.82361619902705629</v>
      </c>
      <c r="G207">
        <v>14.38301674958281</v>
      </c>
    </row>
    <row r="208" spans="1:7" x14ac:dyDescent="0.3">
      <c r="A208">
        <v>1.6666666666666667</v>
      </c>
      <c r="B208">
        <v>15</v>
      </c>
      <c r="C208">
        <v>1.8649999999999999E-3</v>
      </c>
      <c r="D208">
        <v>19.568584176949066</v>
      </c>
      <c r="E208">
        <v>1.2653742857142858</v>
      </c>
      <c r="F208">
        <v>2.643145319176484</v>
      </c>
      <c r="G208">
        <v>3.7879253232906129</v>
      </c>
    </row>
    <row r="209" spans="1:7" x14ac:dyDescent="0.3">
      <c r="A209">
        <v>1.6666666666666667</v>
      </c>
      <c r="B209">
        <v>15</v>
      </c>
      <c r="C209">
        <v>1.8649999999999999E-3</v>
      </c>
      <c r="D209">
        <v>26.091445569265421</v>
      </c>
      <c r="E209">
        <v>2.1727092857142858</v>
      </c>
      <c r="F209">
        <v>4.5384092622249517</v>
      </c>
      <c r="G209">
        <v>-4.3633027897204597</v>
      </c>
    </row>
    <row r="210" spans="1:7" x14ac:dyDescent="0.3">
      <c r="A210">
        <v>1.6666666666666667</v>
      </c>
      <c r="B210">
        <v>15</v>
      </c>
      <c r="C210">
        <v>1.8649999999999999E-3</v>
      </c>
      <c r="D210">
        <v>32.614306961581775</v>
      </c>
      <c r="E210">
        <v>2.0960254285714286</v>
      </c>
      <c r="F210">
        <v>4.3782301117934823</v>
      </c>
      <c r="G210">
        <v>-5.125077984122524</v>
      </c>
    </row>
    <row r="211" spans="1:7" x14ac:dyDescent="0.3">
      <c r="A211">
        <v>1.6666666666666667</v>
      </c>
      <c r="B211">
        <v>15</v>
      </c>
      <c r="C211">
        <v>1.8649999999999999E-3</v>
      </c>
      <c r="D211">
        <v>39.137168353898133</v>
      </c>
      <c r="E211">
        <v>2.4319478571428572</v>
      </c>
      <c r="F211">
        <v>5.0799132459530849</v>
      </c>
      <c r="G211">
        <v>-8.4269501796898467</v>
      </c>
    </row>
    <row r="212" spans="1:7" x14ac:dyDescent="0.3">
      <c r="A212">
        <v>1.6666666666666667</v>
      </c>
      <c r="B212">
        <v>15</v>
      </c>
      <c r="C212">
        <v>1.8649999999999999E-3</v>
      </c>
      <c r="D212">
        <v>45.660029746214491</v>
      </c>
      <c r="E212">
        <v>2.5009659183673465</v>
      </c>
      <c r="F212">
        <v>5.2240798909716126</v>
      </c>
      <c r="G212">
        <v>-9.4375126926541597</v>
      </c>
    </row>
    <row r="213" spans="1:7" x14ac:dyDescent="0.3">
      <c r="A213">
        <v>1.6666666666666667</v>
      </c>
      <c r="B213">
        <v>15</v>
      </c>
      <c r="C213">
        <v>9.3249999999999995E-4</v>
      </c>
      <c r="D213">
        <v>6.5228613923163552</v>
      </c>
      <c r="E213">
        <v>0</v>
      </c>
      <c r="F213">
        <v>0</v>
      </c>
      <c r="G213">
        <v>58.589260778703682</v>
      </c>
    </row>
    <row r="214" spans="1:7" x14ac:dyDescent="0.3">
      <c r="A214">
        <v>1.6666666666666667</v>
      </c>
      <c r="B214">
        <v>15</v>
      </c>
      <c r="C214">
        <v>9.3249999999999995E-4</v>
      </c>
      <c r="D214">
        <v>13.04572278463271</v>
      </c>
      <c r="E214">
        <v>0.2420164285714286</v>
      </c>
      <c r="F214">
        <v>0.50552994285108976</v>
      </c>
      <c r="G214">
        <v>14.547742876788522</v>
      </c>
    </row>
    <row r="215" spans="1:7" x14ac:dyDescent="0.3">
      <c r="A215">
        <v>1.6666666666666667</v>
      </c>
      <c r="B215">
        <v>15</v>
      </c>
      <c r="C215">
        <v>9.3249999999999995E-4</v>
      </c>
      <c r="D215">
        <v>19.568584176949066</v>
      </c>
      <c r="E215">
        <v>1.229117142857143</v>
      </c>
      <c r="F215">
        <v>2.5674104962774442</v>
      </c>
      <c r="G215">
        <v>3.9416786478293884</v>
      </c>
    </row>
    <row r="216" spans="1:7" x14ac:dyDescent="0.3">
      <c r="A216">
        <v>1.6666666666666667</v>
      </c>
      <c r="B216">
        <v>15</v>
      </c>
      <c r="C216">
        <v>9.3249999999999995E-4</v>
      </c>
      <c r="D216">
        <v>26.091445569265421</v>
      </c>
      <c r="E216">
        <v>1.9796400000000003</v>
      </c>
      <c r="F216">
        <v>4.135121330287566</v>
      </c>
      <c r="G216">
        <v>-3.0004279016510198</v>
      </c>
    </row>
    <row r="217" spans="1:7" x14ac:dyDescent="0.3">
      <c r="A217">
        <v>1.6666666666666667</v>
      </c>
      <c r="B217">
        <v>15</v>
      </c>
      <c r="C217">
        <v>9.3249999999999995E-4</v>
      </c>
      <c r="D217">
        <v>32.614306961581775</v>
      </c>
      <c r="E217">
        <v>1.9709382857142861</v>
      </c>
      <c r="F217">
        <v>4.1169449727917966</v>
      </c>
      <c r="G217">
        <v>-4.2602457032122789</v>
      </c>
    </row>
    <row r="218" spans="1:7" x14ac:dyDescent="0.3">
      <c r="A218">
        <v>1.6666666666666667</v>
      </c>
      <c r="B218">
        <v>15</v>
      </c>
      <c r="C218">
        <v>9.3249999999999995E-4</v>
      </c>
      <c r="D218">
        <v>39.137168353898133</v>
      </c>
      <c r="E218">
        <v>2.216217857142857</v>
      </c>
      <c r="F218">
        <v>4.6292910497037996</v>
      </c>
      <c r="G218">
        <v>-6.7222772374669901</v>
      </c>
    </row>
    <row r="219" spans="1:7" x14ac:dyDescent="0.3">
      <c r="A219">
        <v>1.6666666666666667</v>
      </c>
      <c r="B219">
        <v>15</v>
      </c>
      <c r="C219">
        <v>9.3249999999999995E-4</v>
      </c>
      <c r="D219">
        <v>45.660029746214491</v>
      </c>
      <c r="E219">
        <v>2.4224951020408163</v>
      </c>
      <c r="F219">
        <v>5.0601680956972634</v>
      </c>
      <c r="G219">
        <v>-8.7807210834345835</v>
      </c>
    </row>
    <row r="220" spans="1:7" x14ac:dyDescent="0.3">
      <c r="A220">
        <v>1.6666666666666667</v>
      </c>
      <c r="B220">
        <v>15</v>
      </c>
      <c r="C220">
        <v>6.2169999999999999E-4</v>
      </c>
      <c r="D220">
        <v>6.5228613923163552</v>
      </c>
      <c r="E220">
        <v>0</v>
      </c>
      <c r="F220">
        <v>0</v>
      </c>
      <c r="G220">
        <v>58.589260778703682</v>
      </c>
    </row>
    <row r="221" spans="1:7" x14ac:dyDescent="0.3">
      <c r="A221">
        <v>1.6666666666666667</v>
      </c>
      <c r="B221">
        <v>15</v>
      </c>
      <c r="C221">
        <v>6.2169999999999999E-4</v>
      </c>
      <c r="D221">
        <v>13.04572278463271</v>
      </c>
      <c r="E221">
        <v>0.32631428571428572</v>
      </c>
      <c r="F221">
        <v>0.68161340609135701</v>
      </c>
      <c r="G221">
        <v>14.46629747247184</v>
      </c>
    </row>
    <row r="222" spans="1:7" x14ac:dyDescent="0.3">
      <c r="A222">
        <v>1.6666666666666667</v>
      </c>
      <c r="B222">
        <v>15</v>
      </c>
      <c r="C222">
        <v>6.2169999999999999E-4</v>
      </c>
      <c r="D222">
        <v>19.568584176949066</v>
      </c>
      <c r="E222">
        <v>1.2472457142857143</v>
      </c>
      <c r="F222">
        <v>2.6052779077269639</v>
      </c>
      <c r="G222">
        <v>3.865360682233471</v>
      </c>
    </row>
    <row r="223" spans="1:7" x14ac:dyDescent="0.3">
      <c r="A223">
        <v>1.6666666666666667</v>
      </c>
      <c r="B223">
        <v>15</v>
      </c>
      <c r="C223">
        <v>6.2169999999999999E-4</v>
      </c>
      <c r="D223">
        <v>26.091445569265421</v>
      </c>
      <c r="E223">
        <v>1.7376235714285715</v>
      </c>
      <c r="F223">
        <v>3.6295913874364754</v>
      </c>
      <c r="G223">
        <v>-1.4710418505041325</v>
      </c>
    </row>
    <row r="224" spans="1:7" x14ac:dyDescent="0.3">
      <c r="A224">
        <v>1.6666666666666667</v>
      </c>
      <c r="B224">
        <v>15</v>
      </c>
      <c r="C224">
        <v>6.2169999999999999E-4</v>
      </c>
      <c r="D224">
        <v>32.614306961581775</v>
      </c>
      <c r="E224">
        <v>2.0372888571428573</v>
      </c>
      <c r="F224">
        <v>4.2555396986970386</v>
      </c>
      <c r="G224">
        <v>-4.7123575774972188</v>
      </c>
    </row>
    <row r="225" spans="1:7" x14ac:dyDescent="0.3">
      <c r="A225">
        <v>1.6666666666666667</v>
      </c>
      <c r="B225">
        <v>15</v>
      </c>
      <c r="C225">
        <v>6.2169999999999999E-4</v>
      </c>
      <c r="D225">
        <v>39.137168353898133</v>
      </c>
      <c r="E225">
        <v>1.9461021428571428</v>
      </c>
      <c r="F225">
        <v>4.065066619105953</v>
      </c>
      <c r="G225">
        <v>-4.8109535696612751</v>
      </c>
    </row>
    <row r="226" spans="1:7" x14ac:dyDescent="0.3">
      <c r="A226">
        <v>1.6666666666666667</v>
      </c>
      <c r="B226">
        <v>15</v>
      </c>
      <c r="C226">
        <v>6.2169999999999999E-4</v>
      </c>
      <c r="D226">
        <v>45.660029746214491</v>
      </c>
      <c r="E226">
        <v>1.9182618367346937</v>
      </c>
      <c r="F226">
        <v>4.0069130943799056</v>
      </c>
      <c r="G226">
        <v>-5.0598392066983129</v>
      </c>
    </row>
    <row r="227" spans="1:7" x14ac:dyDescent="0.3">
      <c r="A227">
        <v>1.6666666666666667</v>
      </c>
      <c r="B227">
        <v>20</v>
      </c>
      <c r="C227">
        <v>4.8399999999999997E-3</v>
      </c>
      <c r="D227">
        <v>5.144591914761528</v>
      </c>
      <c r="E227">
        <v>0</v>
      </c>
      <c r="F227">
        <v>0</v>
      </c>
      <c r="G227">
        <v>70.640492811232093</v>
      </c>
    </row>
    <row r="228" spans="1:7" x14ac:dyDescent="0.3">
      <c r="A228">
        <v>1.6666666666666667</v>
      </c>
      <c r="B228">
        <v>20</v>
      </c>
      <c r="C228">
        <v>4.8399999999999997E-3</v>
      </c>
      <c r="D228">
        <v>10.289183829523056</v>
      </c>
      <c r="E228">
        <v>0.11943529411764706</v>
      </c>
      <c r="F228">
        <v>0.18710956245645094</v>
      </c>
      <c r="G228">
        <v>17.635873060690376</v>
      </c>
    </row>
    <row r="229" spans="1:7" x14ac:dyDescent="0.3">
      <c r="A229">
        <v>1.6666666666666667</v>
      </c>
      <c r="B229">
        <v>20</v>
      </c>
      <c r="C229">
        <v>4.8399999999999997E-3</v>
      </c>
      <c r="D229">
        <v>15.433775744284583</v>
      </c>
      <c r="E229">
        <v>0.75045176470588248</v>
      </c>
      <c r="F229">
        <v>1.1756717507680334</v>
      </c>
      <c r="G229">
        <v>6.8915412987371649</v>
      </c>
    </row>
    <row r="230" spans="1:7" x14ac:dyDescent="0.3">
      <c r="A230">
        <v>1.6666666666666667</v>
      </c>
      <c r="B230">
        <v>20</v>
      </c>
      <c r="C230">
        <v>4.8399999999999997E-3</v>
      </c>
      <c r="D230">
        <v>20.578367659046112</v>
      </c>
      <c r="E230">
        <v>1.2033105882352941</v>
      </c>
      <c r="F230">
        <v>1.8851288417487431</v>
      </c>
      <c r="G230">
        <v>1.9535049687114177</v>
      </c>
    </row>
    <row r="231" spans="1:7" x14ac:dyDescent="0.3">
      <c r="A231">
        <v>1.6666666666666667</v>
      </c>
      <c r="B231">
        <v>20</v>
      </c>
      <c r="C231">
        <v>4.8399999999999997E-3</v>
      </c>
      <c r="D231">
        <v>25.722959573807643</v>
      </c>
      <c r="E231">
        <v>1.4654710588235293</v>
      </c>
      <c r="F231">
        <v>2.2958343313406528</v>
      </c>
      <c r="G231">
        <v>-0.82530950877462084</v>
      </c>
    </row>
    <row r="232" spans="1:7" x14ac:dyDescent="0.3">
      <c r="A232">
        <v>1.6666666666666667</v>
      </c>
      <c r="B232">
        <v>20</v>
      </c>
      <c r="C232">
        <v>4.8399999999999997E-3</v>
      </c>
      <c r="D232">
        <v>30.867551488569166</v>
      </c>
      <c r="E232">
        <v>1.5646023529411768</v>
      </c>
      <c r="F232">
        <v>2.4511352681795073</v>
      </c>
      <c r="G232">
        <v>-2.1993309773862983</v>
      </c>
    </row>
    <row r="233" spans="1:7" x14ac:dyDescent="0.3">
      <c r="A233">
        <v>1.6666666666666667</v>
      </c>
      <c r="B233">
        <v>20</v>
      </c>
      <c r="C233">
        <v>4.8399999999999997E-3</v>
      </c>
      <c r="D233">
        <v>36.920012564759197</v>
      </c>
      <c r="E233">
        <v>1.734993442622951</v>
      </c>
      <c r="F233">
        <v>2.7180731316675835</v>
      </c>
      <c r="G233">
        <v>-3.7457298418598453</v>
      </c>
    </row>
    <row r="234" spans="1:7" x14ac:dyDescent="0.3">
      <c r="A234">
        <v>1.6666666666666667</v>
      </c>
      <c r="B234">
        <v>20</v>
      </c>
      <c r="C234">
        <v>2.4199999999999998E-3</v>
      </c>
      <c r="D234">
        <v>5.144591914761528</v>
      </c>
      <c r="E234">
        <v>0</v>
      </c>
      <c r="F234">
        <v>0</v>
      </c>
      <c r="G234">
        <v>70.640492811232093</v>
      </c>
    </row>
    <row r="235" spans="1:7" x14ac:dyDescent="0.3">
      <c r="A235">
        <v>1.6666666666666667</v>
      </c>
      <c r="B235">
        <v>20</v>
      </c>
      <c r="C235">
        <v>2.4199999999999998E-3</v>
      </c>
      <c r="D235">
        <v>10.289183829523056</v>
      </c>
      <c r="E235">
        <v>1.3496188235294115</v>
      </c>
      <c r="F235">
        <v>2.1143380557578952</v>
      </c>
      <c r="G235">
        <v>14.563622555805674</v>
      </c>
    </row>
    <row r="236" spans="1:7" x14ac:dyDescent="0.3">
      <c r="A236">
        <v>1.6666666666666667</v>
      </c>
      <c r="B236">
        <v>20</v>
      </c>
      <c r="C236">
        <v>2.4199999999999998E-3</v>
      </c>
      <c r="D236">
        <v>15.433775744284583</v>
      </c>
      <c r="E236">
        <v>1.6302917647058826</v>
      </c>
      <c r="F236">
        <v>2.5540455275305551</v>
      </c>
      <c r="G236">
        <v>3.3305965409771647</v>
      </c>
    </row>
    <row r="237" spans="1:7" x14ac:dyDescent="0.3">
      <c r="A237">
        <v>1.6666666666666667</v>
      </c>
      <c r="B237">
        <v>20</v>
      </c>
      <c r="C237">
        <v>2.4199999999999998E-3</v>
      </c>
      <c r="D237">
        <v>20.578367659046112</v>
      </c>
      <c r="E237">
        <v>1.830345882352941</v>
      </c>
      <c r="F237">
        <v>2.8674540446451102</v>
      </c>
      <c r="G237">
        <v>-1.2802514826768161</v>
      </c>
    </row>
    <row r="238" spans="1:7" x14ac:dyDescent="0.3">
      <c r="A238">
        <v>1.6666666666666667</v>
      </c>
      <c r="B238">
        <v>20</v>
      </c>
      <c r="C238">
        <v>2.4199999999999998E-3</v>
      </c>
      <c r="D238">
        <v>25.722959573807643</v>
      </c>
      <c r="E238">
        <v>2.2011924705882353</v>
      </c>
      <c r="F238">
        <v>3.4484292360723905</v>
      </c>
      <c r="G238">
        <v>-5.4113023849270911</v>
      </c>
    </row>
    <row r="239" spans="1:7" x14ac:dyDescent="0.3">
      <c r="A239">
        <v>1.6666666666666667</v>
      </c>
      <c r="B239">
        <v>20</v>
      </c>
      <c r="C239">
        <v>2.4199999999999998E-3</v>
      </c>
      <c r="D239">
        <v>30.867551488569166</v>
      </c>
      <c r="E239">
        <v>2.5141129411764709</v>
      </c>
      <c r="F239">
        <v>3.938656289708292</v>
      </c>
      <c r="G239">
        <v>-8.7830626862615961</v>
      </c>
    </row>
    <row r="240" spans="1:7" x14ac:dyDescent="0.3">
      <c r="A240">
        <v>1.6666666666666667</v>
      </c>
      <c r="B240">
        <v>20</v>
      </c>
      <c r="C240">
        <v>2.4199999999999998E-3</v>
      </c>
      <c r="D240">
        <v>36.920012564759197</v>
      </c>
      <c r="E240">
        <v>2.7035940983606559</v>
      </c>
      <c r="F240">
        <v>4.2355010094906369</v>
      </c>
      <c r="G240">
        <v>-11.054401806527926</v>
      </c>
    </row>
    <row r="241" spans="1:7" x14ac:dyDescent="0.3">
      <c r="A241">
        <v>1.6666666666666667</v>
      </c>
      <c r="B241">
        <v>20</v>
      </c>
      <c r="C241">
        <v>1.2099999999999999E-3</v>
      </c>
      <c r="D241">
        <v>5.144591914761528</v>
      </c>
      <c r="E241">
        <v>0</v>
      </c>
      <c r="F241">
        <v>0</v>
      </c>
      <c r="G241">
        <v>70.640492811232093</v>
      </c>
    </row>
    <row r="242" spans="1:7" x14ac:dyDescent="0.3">
      <c r="A242">
        <v>1.6666666666666667</v>
      </c>
      <c r="B242">
        <v>20</v>
      </c>
      <c r="C242">
        <v>1.2099999999999999E-3</v>
      </c>
      <c r="D242">
        <v>10.289183829523056</v>
      </c>
      <c r="E242">
        <v>1.8691623529411763</v>
      </c>
      <c r="F242">
        <v>2.9282646524434566</v>
      </c>
      <c r="G242">
        <v>11.720717769998616</v>
      </c>
    </row>
    <row r="243" spans="1:7" x14ac:dyDescent="0.3">
      <c r="A243">
        <v>1.6666666666666667</v>
      </c>
      <c r="B243">
        <v>20</v>
      </c>
      <c r="C243">
        <v>1.2099999999999999E-3</v>
      </c>
      <c r="D243">
        <v>15.433775744284583</v>
      </c>
      <c r="E243">
        <v>1.859209411764706</v>
      </c>
      <c r="F243">
        <v>2.9126721889054195</v>
      </c>
      <c r="G243">
        <v>1.9726222631418706</v>
      </c>
    </row>
    <row r="244" spans="1:7" x14ac:dyDescent="0.3">
      <c r="A244">
        <v>1.6666666666666667</v>
      </c>
      <c r="B244">
        <v>20</v>
      </c>
      <c r="C244">
        <v>1.2099999999999999E-3</v>
      </c>
      <c r="D244">
        <v>20.578367659046112</v>
      </c>
      <c r="E244">
        <v>2.0707094117647058</v>
      </c>
      <c r="F244">
        <v>3.2440120390887173</v>
      </c>
      <c r="G244">
        <v>-2.8742928948485784</v>
      </c>
    </row>
    <row r="245" spans="1:7" x14ac:dyDescent="0.3">
      <c r="A245">
        <v>1.6666666666666667</v>
      </c>
      <c r="B245">
        <v>20</v>
      </c>
      <c r="C245">
        <v>1.2099999999999999E-3</v>
      </c>
      <c r="D245">
        <v>25.722959573807643</v>
      </c>
      <c r="E245">
        <v>2.1796941176470588</v>
      </c>
      <c r="F245">
        <v>3.4147495148302291</v>
      </c>
      <c r="G245">
        <v>-5.2511932466095388</v>
      </c>
    </row>
    <row r="246" spans="1:7" x14ac:dyDescent="0.3">
      <c r="A246">
        <v>1.6666666666666667</v>
      </c>
      <c r="B246">
        <v>20</v>
      </c>
      <c r="C246">
        <v>1.2099999999999999E-3</v>
      </c>
      <c r="D246">
        <v>30.867551488569166</v>
      </c>
      <c r="E246">
        <v>2.310077647058824</v>
      </c>
      <c r="F246">
        <v>3.6190107871785222</v>
      </c>
      <c r="G246">
        <v>-7.1097439388263002</v>
      </c>
    </row>
    <row r="247" spans="1:7" x14ac:dyDescent="0.3">
      <c r="A247">
        <v>1.6666666666666667</v>
      </c>
      <c r="B247">
        <v>20</v>
      </c>
      <c r="C247">
        <v>1.2099999999999999E-3</v>
      </c>
      <c r="D247">
        <v>36.920012564759197</v>
      </c>
      <c r="E247">
        <v>2.2467540983606558</v>
      </c>
      <c r="F247">
        <v>3.5198069330947122</v>
      </c>
      <c r="G247">
        <v>-7.2098227872046454</v>
      </c>
    </row>
    <row r="248" spans="1:7" x14ac:dyDescent="0.3">
      <c r="A248">
        <v>1.6666666666666667</v>
      </c>
      <c r="B248">
        <v>20</v>
      </c>
      <c r="C248">
        <v>8.0670000000000004E-4</v>
      </c>
      <c r="D248">
        <v>5.144591914761528</v>
      </c>
      <c r="E248">
        <v>0</v>
      </c>
      <c r="F248">
        <v>0</v>
      </c>
      <c r="G248">
        <v>70.640492811232093</v>
      </c>
    </row>
    <row r="249" spans="1:7" x14ac:dyDescent="0.3">
      <c r="A249">
        <v>1.6666666666666667</v>
      </c>
      <c r="B249">
        <v>20</v>
      </c>
      <c r="C249">
        <v>8.0670000000000004E-4</v>
      </c>
      <c r="D249">
        <v>10.289183829523056</v>
      </c>
      <c r="E249">
        <v>1.3287176470588236</v>
      </c>
      <c r="F249">
        <v>2.0815938823280167</v>
      </c>
      <c r="G249">
        <v>14.658789207278613</v>
      </c>
    </row>
    <row r="250" spans="1:7" x14ac:dyDescent="0.3">
      <c r="A250">
        <v>1.6666666666666667</v>
      </c>
      <c r="B250">
        <v>20</v>
      </c>
      <c r="C250">
        <v>8.0670000000000004E-4</v>
      </c>
      <c r="D250">
        <v>15.433775744284583</v>
      </c>
      <c r="E250">
        <v>1.5685835294117649</v>
      </c>
      <c r="F250">
        <v>2.457372253594722</v>
      </c>
      <c r="G250">
        <v>3.6661713548312815</v>
      </c>
    </row>
    <row r="251" spans="1:7" x14ac:dyDescent="0.3">
      <c r="A251">
        <v>1.6666666666666667</v>
      </c>
      <c r="B251">
        <v>20</v>
      </c>
      <c r="C251">
        <v>8.0670000000000004E-4</v>
      </c>
      <c r="D251">
        <v>20.578367659046112</v>
      </c>
      <c r="E251">
        <v>1.8049658823529411</v>
      </c>
      <c r="F251">
        <v>2.8276932626231144</v>
      </c>
      <c r="G251">
        <v>-1.1234023212768161</v>
      </c>
    </row>
    <row r="252" spans="1:7" x14ac:dyDescent="0.3">
      <c r="A252">
        <v>1.6666666666666667</v>
      </c>
      <c r="B252">
        <v>20</v>
      </c>
      <c r="C252">
        <v>8.0670000000000004E-4</v>
      </c>
      <c r="D252">
        <v>25.722959573807643</v>
      </c>
      <c r="E252">
        <v>1.9109647058823529</v>
      </c>
      <c r="F252">
        <v>2.9937529993032146</v>
      </c>
      <c r="G252">
        <v>-3.3824166696683622</v>
      </c>
    </row>
    <row r="253" spans="1:7" x14ac:dyDescent="0.3">
      <c r="A253">
        <v>1.6666666666666667</v>
      </c>
      <c r="B253">
        <v>20</v>
      </c>
      <c r="C253">
        <v>8.0670000000000004E-4</v>
      </c>
      <c r="D253">
        <v>30.867551488569166</v>
      </c>
      <c r="E253">
        <v>1.7626658823529415</v>
      </c>
      <c r="F253">
        <v>2.7614252925864551</v>
      </c>
      <c r="G253">
        <v>-3.3196488103557109</v>
      </c>
    </row>
    <row r="254" spans="1:7" x14ac:dyDescent="0.3">
      <c r="A254">
        <v>1.6666666666666667</v>
      </c>
      <c r="B254">
        <v>20</v>
      </c>
      <c r="C254">
        <v>8.0670000000000004E-4</v>
      </c>
      <c r="D254">
        <v>36.920012564759197</v>
      </c>
      <c r="E254">
        <v>1.7574609836065576</v>
      </c>
      <c r="F254">
        <v>2.753271200998531</v>
      </c>
      <c r="G254">
        <v>-3.8791235088828175</v>
      </c>
    </row>
    <row r="255" spans="1:7" x14ac:dyDescent="0.3">
      <c r="A255">
        <v>1.6666666666666667</v>
      </c>
      <c r="B255">
        <v>30</v>
      </c>
      <c r="C255">
        <v>6.9100000000000003E-3</v>
      </c>
      <c r="D255">
        <v>4.2829052715863334</v>
      </c>
      <c r="E255">
        <v>0</v>
      </c>
      <c r="F255">
        <v>0</v>
      </c>
      <c r="G255">
        <v>67.949675222638575</v>
      </c>
    </row>
    <row r="256" spans="1:7" x14ac:dyDescent="0.3">
      <c r="A256">
        <v>1.6666666666666667</v>
      </c>
      <c r="B256">
        <v>30</v>
      </c>
      <c r="C256">
        <v>6.9100000000000003E-3</v>
      </c>
      <c r="D256">
        <v>8.5658105431726668</v>
      </c>
      <c r="E256">
        <v>0.14642307692307693</v>
      </c>
      <c r="F256">
        <v>0.15292608469998389</v>
      </c>
      <c r="G256">
        <v>16.950971285985091</v>
      </c>
    </row>
    <row r="257" spans="1:7" x14ac:dyDescent="0.3">
      <c r="A257">
        <v>1.6666666666666667</v>
      </c>
      <c r="B257">
        <v>30</v>
      </c>
      <c r="C257">
        <v>6.9100000000000003E-3</v>
      </c>
      <c r="D257">
        <v>12.848715814758997</v>
      </c>
      <c r="E257">
        <v>0.98201076923076946</v>
      </c>
      <c r="F257">
        <v>1.0256242747212256</v>
      </c>
      <c r="G257">
        <v>5.9105771571216597</v>
      </c>
    </row>
    <row r="258" spans="1:7" x14ac:dyDescent="0.3">
      <c r="A258">
        <v>1.6666666666666667</v>
      </c>
      <c r="B258">
        <v>30</v>
      </c>
      <c r="C258">
        <v>6.9100000000000003E-3</v>
      </c>
      <c r="D258">
        <v>17.131621086345334</v>
      </c>
      <c r="E258">
        <v>1.8244315384615386</v>
      </c>
      <c r="F258">
        <v>1.9054590153617998</v>
      </c>
      <c r="G258">
        <v>-1.4116810440914205</v>
      </c>
    </row>
    <row r="259" spans="1:7" x14ac:dyDescent="0.3">
      <c r="A259">
        <v>1.6666666666666667</v>
      </c>
      <c r="B259">
        <v>30</v>
      </c>
      <c r="C259">
        <v>6.9100000000000003E-3</v>
      </c>
      <c r="D259">
        <v>21.414526357931667</v>
      </c>
      <c r="E259">
        <v>1.9292704615384615</v>
      </c>
      <c r="F259">
        <v>2.0149540920069877</v>
      </c>
      <c r="G259">
        <v>-3.6095566644946637</v>
      </c>
    </row>
    <row r="260" spans="1:7" x14ac:dyDescent="0.3">
      <c r="A260">
        <v>1.6666666666666667</v>
      </c>
      <c r="B260">
        <v>30</v>
      </c>
      <c r="C260">
        <v>6.9100000000000003E-3</v>
      </c>
      <c r="D260">
        <v>25.697431629517993</v>
      </c>
      <c r="E260">
        <v>2.2051315384615391</v>
      </c>
      <c r="F260">
        <v>2.3030668355817578</v>
      </c>
      <c r="G260">
        <v>-6.3789376948535521</v>
      </c>
    </row>
    <row r="261" spans="1:7" x14ac:dyDescent="0.3">
      <c r="A261">
        <v>1.6666666666666667</v>
      </c>
      <c r="B261">
        <v>30</v>
      </c>
      <c r="C261">
        <v>6.9100000000000003E-3</v>
      </c>
      <c r="D261">
        <v>29.815609775274087</v>
      </c>
      <c r="E261">
        <v>2.4162881767955802</v>
      </c>
      <c r="F261">
        <v>2.5236014578380548</v>
      </c>
      <c r="G261">
        <v>-8.5232691842023076</v>
      </c>
    </row>
    <row r="262" spans="1:7" x14ac:dyDescent="0.3">
      <c r="A262">
        <v>1.6666666666666667</v>
      </c>
      <c r="B262">
        <v>30</v>
      </c>
      <c r="C262">
        <v>3.4550000000000002E-3</v>
      </c>
      <c r="D262">
        <v>4.2829052715863334</v>
      </c>
      <c r="E262">
        <v>0</v>
      </c>
      <c r="F262">
        <v>0</v>
      </c>
      <c r="G262">
        <v>67.949675222638575</v>
      </c>
    </row>
    <row r="263" spans="1:7" x14ac:dyDescent="0.3">
      <c r="A263">
        <v>1.6666666666666667</v>
      </c>
      <c r="B263">
        <v>30</v>
      </c>
      <c r="C263">
        <v>3.4550000000000002E-3</v>
      </c>
      <c r="D263">
        <v>8.5658105431726668</v>
      </c>
      <c r="E263">
        <v>1.4788730769230769</v>
      </c>
      <c r="F263">
        <v>1.5445534554698375</v>
      </c>
      <c r="G263">
        <v>13.269407323658168</v>
      </c>
    </row>
    <row r="264" spans="1:7" x14ac:dyDescent="0.3">
      <c r="A264">
        <v>1.6666666666666667</v>
      </c>
      <c r="B264">
        <v>30</v>
      </c>
      <c r="C264">
        <v>3.4550000000000002E-3</v>
      </c>
      <c r="D264">
        <v>12.848715814758997</v>
      </c>
      <c r="E264">
        <v>1.8293123076923079</v>
      </c>
      <c r="F264">
        <v>1.9105565515184659</v>
      </c>
      <c r="G264">
        <v>1.8611119311997659</v>
      </c>
    </row>
    <row r="265" spans="1:7" x14ac:dyDescent="0.3">
      <c r="A265">
        <v>1.6666666666666667</v>
      </c>
      <c r="B265">
        <v>30</v>
      </c>
      <c r="C265">
        <v>3.4550000000000002E-3</v>
      </c>
      <c r="D265">
        <v>17.131621086345334</v>
      </c>
      <c r="E265">
        <v>2.2871284615384613</v>
      </c>
      <c r="F265">
        <v>2.3887054430137487</v>
      </c>
      <c r="G265">
        <v>-4.6457715178698802</v>
      </c>
    </row>
    <row r="266" spans="1:7" x14ac:dyDescent="0.3">
      <c r="A266">
        <v>1.6666666666666667</v>
      </c>
      <c r="B266">
        <v>30</v>
      </c>
      <c r="C266">
        <v>3.4550000000000002E-3</v>
      </c>
      <c r="D266">
        <v>21.414526357931667</v>
      </c>
      <c r="E266">
        <v>2.6367867692307696</v>
      </c>
      <c r="F266">
        <v>2.7538929332773106</v>
      </c>
      <c r="G266">
        <v>-9.1015085839582053</v>
      </c>
    </row>
    <row r="267" spans="1:7" x14ac:dyDescent="0.3">
      <c r="A267">
        <v>1.6666666666666667</v>
      </c>
      <c r="B267">
        <v>30</v>
      </c>
      <c r="C267">
        <v>3.4550000000000002E-3</v>
      </c>
      <c r="D267">
        <v>25.697431629517993</v>
      </c>
      <c r="E267">
        <v>2.8074184615384623</v>
      </c>
      <c r="F267">
        <v>2.932102797314359</v>
      </c>
      <c r="G267">
        <v>-11.511226332511249</v>
      </c>
    </row>
    <row r="268" spans="1:7" x14ac:dyDescent="0.3">
      <c r="A268">
        <v>1.6666666666666667</v>
      </c>
      <c r="B268">
        <v>30</v>
      </c>
      <c r="C268">
        <v>3.4550000000000002E-3</v>
      </c>
      <c r="D268">
        <v>29.815609775274087</v>
      </c>
      <c r="E268">
        <v>2.8049807734806631</v>
      </c>
      <c r="F268">
        <v>2.9295568455543441</v>
      </c>
      <c r="G268">
        <v>-11.973365780868228</v>
      </c>
    </row>
    <row r="269" spans="1:7" x14ac:dyDescent="0.3">
      <c r="A269">
        <v>1.6666666666666667</v>
      </c>
      <c r="B269">
        <v>30</v>
      </c>
      <c r="C269">
        <v>1.7275000000000001E-3</v>
      </c>
      <c r="D269">
        <v>4.2829052715863334</v>
      </c>
      <c r="E269">
        <v>0</v>
      </c>
      <c r="F269">
        <v>0</v>
      </c>
      <c r="G269">
        <v>67.949675222638575</v>
      </c>
    </row>
    <row r="270" spans="1:7" x14ac:dyDescent="0.3">
      <c r="A270">
        <v>1.6666666666666667</v>
      </c>
      <c r="B270">
        <v>30</v>
      </c>
      <c r="C270">
        <v>1.7275000000000001E-3</v>
      </c>
      <c r="D270">
        <v>8.5658105431726668</v>
      </c>
      <c r="E270">
        <v>1.5169430769230769</v>
      </c>
      <c r="F270">
        <v>1.5843142374918333</v>
      </c>
      <c r="G270">
        <v>13.075521097997399</v>
      </c>
    </row>
    <row r="271" spans="1:7" x14ac:dyDescent="0.3">
      <c r="A271">
        <v>1.6666666666666667</v>
      </c>
      <c r="B271">
        <v>30</v>
      </c>
      <c r="C271">
        <v>1.7275000000000001E-3</v>
      </c>
      <c r="D271">
        <v>12.848715814758997</v>
      </c>
      <c r="E271">
        <v>1.7219353846153851</v>
      </c>
      <c r="F271">
        <v>1.7984107560718112</v>
      </c>
      <c r="G271">
        <v>2.5093594166826048</v>
      </c>
    </row>
    <row r="272" spans="1:7" x14ac:dyDescent="0.3">
      <c r="A272">
        <v>1.6666666666666667</v>
      </c>
      <c r="B272">
        <v>30</v>
      </c>
      <c r="C272">
        <v>1.7275000000000001E-3</v>
      </c>
      <c r="D272">
        <v>17.131621086345334</v>
      </c>
      <c r="E272">
        <v>1.9562123076923077</v>
      </c>
      <c r="F272">
        <v>2.0430924915917852</v>
      </c>
      <c r="G272">
        <v>-2.2586485062887571</v>
      </c>
    </row>
    <row r="273" spans="1:7" x14ac:dyDescent="0.3">
      <c r="A273">
        <v>1.6666666666666667</v>
      </c>
      <c r="B273">
        <v>30</v>
      </c>
      <c r="C273">
        <v>1.7275000000000001E-3</v>
      </c>
      <c r="D273">
        <v>21.414526357931667</v>
      </c>
      <c r="E273">
        <v>2.2432015384615385</v>
      </c>
      <c r="F273">
        <v>2.3428276176037532</v>
      </c>
      <c r="G273">
        <v>-5.8363333327600202</v>
      </c>
    </row>
    <row r="274" spans="1:7" x14ac:dyDescent="0.3">
      <c r="A274">
        <v>1.6666666666666667</v>
      </c>
      <c r="B274">
        <v>30</v>
      </c>
      <c r="C274">
        <v>1.7275000000000001E-3</v>
      </c>
      <c r="D274">
        <v>25.697431629517993</v>
      </c>
      <c r="E274">
        <v>2.2978661538461544</v>
      </c>
      <c r="F274">
        <v>2.3999200225584141</v>
      </c>
      <c r="G274">
        <v>-7.0888300852792918</v>
      </c>
    </row>
    <row r="275" spans="1:7" x14ac:dyDescent="0.3">
      <c r="A275">
        <v>1.6666666666666667</v>
      </c>
      <c r="B275">
        <v>30</v>
      </c>
      <c r="C275">
        <v>1.7275000000000001E-3</v>
      </c>
      <c r="D275">
        <v>29.815609775274087</v>
      </c>
      <c r="E275">
        <v>2.2900892817679557</v>
      </c>
      <c r="F275">
        <v>2.3917977605275715</v>
      </c>
      <c r="G275">
        <v>-7.5135718049511233</v>
      </c>
    </row>
    <row r="276" spans="1:7" x14ac:dyDescent="0.3">
      <c r="A276">
        <v>1.6666666666666667</v>
      </c>
      <c r="B276">
        <v>30</v>
      </c>
      <c r="C276">
        <v>1.1517000000000001E-3</v>
      </c>
      <c r="D276">
        <v>4.2829052715863334</v>
      </c>
      <c r="E276">
        <v>0</v>
      </c>
      <c r="F276">
        <v>0</v>
      </c>
      <c r="G276">
        <v>67.949675222638575</v>
      </c>
    </row>
    <row r="277" spans="1:7" x14ac:dyDescent="0.3">
      <c r="A277">
        <v>1.6666666666666667</v>
      </c>
      <c r="B277">
        <v>30</v>
      </c>
      <c r="C277">
        <v>1.1517000000000001E-3</v>
      </c>
      <c r="D277">
        <v>8.5658105431726668</v>
      </c>
      <c r="E277">
        <v>0.24891923076923078</v>
      </c>
      <c r="F277">
        <v>0.25997434398997266</v>
      </c>
      <c r="G277">
        <v>16.882085473800178</v>
      </c>
    </row>
    <row r="278" spans="1:7" x14ac:dyDescent="0.3">
      <c r="A278">
        <v>1.6666666666666667</v>
      </c>
      <c r="B278">
        <v>30</v>
      </c>
      <c r="C278">
        <v>1.1517000000000001E-3</v>
      </c>
      <c r="D278">
        <v>12.848715814758997</v>
      </c>
      <c r="E278">
        <v>1.6126061538461542</v>
      </c>
      <c r="F278">
        <v>1.6842259461624898</v>
      </c>
      <c r="G278">
        <v>3.1291162810082866</v>
      </c>
    </row>
    <row r="279" spans="1:7" x14ac:dyDescent="0.3">
      <c r="A279">
        <v>1.6666666666666667</v>
      </c>
      <c r="B279">
        <v>30</v>
      </c>
      <c r="C279">
        <v>1.1517000000000001E-3</v>
      </c>
      <c r="D279">
        <v>17.131621086345334</v>
      </c>
      <c r="E279">
        <v>1.6985076923076923</v>
      </c>
      <c r="F279">
        <v>1.7739425825198134</v>
      </c>
      <c r="G279">
        <v>-0.65752354599337237</v>
      </c>
    </row>
    <row r="280" spans="1:7" x14ac:dyDescent="0.3">
      <c r="A280">
        <v>1.6666666666666667</v>
      </c>
      <c r="B280">
        <v>30</v>
      </c>
      <c r="C280">
        <v>1.1517000000000001E-3</v>
      </c>
      <c r="D280">
        <v>21.414526357931667</v>
      </c>
      <c r="E280">
        <v>1.3400639999999999</v>
      </c>
      <c r="F280">
        <v>1.3995795271742526</v>
      </c>
      <c r="G280">
        <v>-0.33482458205765636</v>
      </c>
    </row>
    <row r="281" spans="1:7" x14ac:dyDescent="0.3">
      <c r="A281">
        <v>1.6666666666666667</v>
      </c>
      <c r="B281">
        <v>30</v>
      </c>
      <c r="C281">
        <v>1.1517000000000001E-3</v>
      </c>
      <c r="D281">
        <v>25.697431629517993</v>
      </c>
      <c r="E281">
        <v>1.4983961538461541</v>
      </c>
      <c r="F281">
        <v>1.5649436000965018</v>
      </c>
      <c r="G281">
        <v>-1.9293337791569829</v>
      </c>
    </row>
    <row r="282" spans="1:7" x14ac:dyDescent="0.3">
      <c r="A282">
        <v>1.6666666666666667</v>
      </c>
      <c r="B282">
        <v>30</v>
      </c>
      <c r="C282">
        <v>1.1517000000000001E-3</v>
      </c>
      <c r="D282">
        <v>29.815609775274087</v>
      </c>
      <c r="E282">
        <v>1.6414269613259671</v>
      </c>
      <c r="F282">
        <v>1.7143267563516873</v>
      </c>
      <c r="G282">
        <v>-3.1781868414799801</v>
      </c>
    </row>
    <row r="283" spans="1:7" x14ac:dyDescent="0.3">
      <c r="A283">
        <v>1.6666666666666667</v>
      </c>
      <c r="B283">
        <v>40</v>
      </c>
      <c r="C283">
        <v>8.7799999999999996E-3</v>
      </c>
      <c r="D283">
        <v>3.423789015873282</v>
      </c>
      <c r="E283">
        <v>0</v>
      </c>
      <c r="F283">
        <v>0</v>
      </c>
      <c r="G283">
        <v>79.746493837680006</v>
      </c>
    </row>
    <row r="284" spans="1:7" x14ac:dyDescent="0.3">
      <c r="A284">
        <v>1.6666666666666667</v>
      </c>
      <c r="B284">
        <v>40</v>
      </c>
      <c r="C284">
        <v>8.7799999999999996E-3</v>
      </c>
      <c r="D284">
        <v>6.847578031746564</v>
      </c>
      <c r="E284">
        <v>0</v>
      </c>
      <c r="F284">
        <v>0</v>
      </c>
      <c r="G284">
        <v>19.936623459420002</v>
      </c>
    </row>
    <row r="285" spans="1:7" x14ac:dyDescent="0.3">
      <c r="A285">
        <v>1.6666666666666667</v>
      </c>
      <c r="B285">
        <v>40</v>
      </c>
      <c r="C285">
        <v>8.7799999999999996E-3</v>
      </c>
      <c r="D285">
        <v>10.271367047619844</v>
      </c>
      <c r="E285">
        <v>0.23688000000000003</v>
      </c>
      <c r="F285">
        <v>0.18555031610264722</v>
      </c>
      <c r="G285">
        <v>8.7653309090400011</v>
      </c>
    </row>
    <row r="286" spans="1:7" x14ac:dyDescent="0.3">
      <c r="A286">
        <v>1.6666666666666667</v>
      </c>
      <c r="B286">
        <v>40</v>
      </c>
      <c r="C286">
        <v>8.7799999999999996E-3</v>
      </c>
      <c r="D286">
        <v>13.695156063493128</v>
      </c>
      <c r="E286">
        <v>0.55201500000000003</v>
      </c>
      <c r="F286">
        <v>0.43239850448920453</v>
      </c>
      <c r="G286">
        <v>4.4661309124724999</v>
      </c>
    </row>
    <row r="287" spans="1:7" x14ac:dyDescent="0.3">
      <c r="A287">
        <v>1.6666666666666667</v>
      </c>
      <c r="B287">
        <v>40</v>
      </c>
      <c r="C287">
        <v>8.7799999999999996E-3</v>
      </c>
      <c r="D287">
        <v>17.118945079366409</v>
      </c>
      <c r="E287">
        <v>0.81596699999999989</v>
      </c>
      <c r="F287">
        <v>0.63915457100358275</v>
      </c>
      <c r="G287">
        <v>2.0579961068558998</v>
      </c>
    </row>
    <row r="288" spans="1:7" x14ac:dyDescent="0.3">
      <c r="A288">
        <v>1.6666666666666667</v>
      </c>
      <c r="B288">
        <v>40</v>
      </c>
      <c r="C288">
        <v>8.7799999999999996E-3</v>
      </c>
      <c r="D288">
        <v>20.542734095239688</v>
      </c>
      <c r="E288">
        <v>1.28169</v>
      </c>
      <c r="F288">
        <v>1.0039597460553944</v>
      </c>
      <c r="G288">
        <v>-0.57745935098999968</v>
      </c>
    </row>
    <row r="289" spans="1:7" x14ac:dyDescent="0.3">
      <c r="A289">
        <v>1.6666666666666667</v>
      </c>
      <c r="B289">
        <v>40</v>
      </c>
      <c r="C289">
        <v>8.7799999999999996E-3</v>
      </c>
      <c r="D289">
        <v>23.859529704366935</v>
      </c>
      <c r="E289">
        <v>1.5569434977578476</v>
      </c>
      <c r="F289">
        <v>1.2195683813024727</v>
      </c>
      <c r="G289">
        <v>-2.4788157724178577</v>
      </c>
    </row>
    <row r="290" spans="1:7" x14ac:dyDescent="0.3">
      <c r="A290">
        <v>1.6666666666666667</v>
      </c>
      <c r="B290">
        <v>40</v>
      </c>
      <c r="C290">
        <v>4.3899999999999998E-3</v>
      </c>
      <c r="D290">
        <v>3.423789015873282</v>
      </c>
      <c r="E290">
        <v>0</v>
      </c>
      <c r="F290">
        <v>0</v>
      </c>
      <c r="G290">
        <v>79.746493837680006</v>
      </c>
    </row>
    <row r="291" spans="1:7" x14ac:dyDescent="0.3">
      <c r="A291">
        <v>1.6666666666666667</v>
      </c>
      <c r="B291">
        <v>40</v>
      </c>
      <c r="C291">
        <v>4.3899999999999998E-3</v>
      </c>
      <c r="D291">
        <v>6.847578031746564</v>
      </c>
      <c r="E291">
        <v>0.12690000000000001</v>
      </c>
      <c r="F291">
        <v>9.9401955054989555E-2</v>
      </c>
      <c r="G291">
        <v>19.909247322420001</v>
      </c>
    </row>
    <row r="292" spans="1:7" x14ac:dyDescent="0.3">
      <c r="A292">
        <v>1.6666666666666667</v>
      </c>
      <c r="B292">
        <v>40</v>
      </c>
      <c r="C292">
        <v>4.3899999999999998E-3</v>
      </c>
      <c r="D292">
        <v>10.271367047619844</v>
      </c>
      <c r="E292">
        <v>0.60911999999999999</v>
      </c>
      <c r="F292">
        <v>0.47712938426394985</v>
      </c>
      <c r="G292">
        <v>8.2299753410400012</v>
      </c>
    </row>
    <row r="293" spans="1:7" x14ac:dyDescent="0.3">
      <c r="A293">
        <v>1.6666666666666667</v>
      </c>
      <c r="B293">
        <v>40</v>
      </c>
      <c r="C293">
        <v>4.3899999999999998E-3</v>
      </c>
      <c r="D293">
        <v>13.695156063493128</v>
      </c>
      <c r="E293">
        <v>1.2404474999999999</v>
      </c>
      <c r="F293">
        <v>0.97165411066252283</v>
      </c>
      <c r="G293">
        <v>2.3683488644193749</v>
      </c>
    </row>
    <row r="294" spans="1:7" x14ac:dyDescent="0.3">
      <c r="A294">
        <v>1.6666666666666667</v>
      </c>
      <c r="B294">
        <v>40</v>
      </c>
      <c r="C294">
        <v>4.3899999999999998E-3</v>
      </c>
      <c r="D294">
        <v>17.118945079366409</v>
      </c>
      <c r="E294">
        <v>1.6649279999999997</v>
      </c>
      <c r="F294">
        <v>1.3041536503214626</v>
      </c>
      <c r="G294">
        <v>-1.5225151633055989</v>
      </c>
    </row>
    <row r="295" spans="1:7" x14ac:dyDescent="0.3">
      <c r="A295">
        <v>1.6666666666666667</v>
      </c>
      <c r="B295">
        <v>40</v>
      </c>
      <c r="C295">
        <v>4.3899999999999998E-3</v>
      </c>
      <c r="D295">
        <v>20.542734095239688</v>
      </c>
      <c r="E295">
        <v>1.7861175000000002</v>
      </c>
      <c r="F295">
        <v>1.3990825173989778</v>
      </c>
      <c r="G295">
        <v>-3.2081863460906255</v>
      </c>
    </row>
    <row r="296" spans="1:7" x14ac:dyDescent="0.3">
      <c r="A296">
        <v>1.6666666666666667</v>
      </c>
      <c r="B296">
        <v>40</v>
      </c>
      <c r="C296">
        <v>4.3899999999999998E-3</v>
      </c>
      <c r="D296">
        <v>23.859529704366935</v>
      </c>
      <c r="E296">
        <v>2.1715264573991031</v>
      </c>
      <c r="F296">
        <v>1.7009769528692382</v>
      </c>
      <c r="G296">
        <v>-6.3742877423734177</v>
      </c>
    </row>
    <row r="297" spans="1:7" x14ac:dyDescent="0.3">
      <c r="A297">
        <v>1.6666666666666667</v>
      </c>
      <c r="B297">
        <v>40</v>
      </c>
      <c r="C297">
        <v>2.1949999999999999E-3</v>
      </c>
      <c r="D297">
        <v>3.423789015873282</v>
      </c>
      <c r="E297">
        <v>0</v>
      </c>
      <c r="F297">
        <v>0</v>
      </c>
      <c r="G297">
        <v>79.746493837680006</v>
      </c>
    </row>
    <row r="298" spans="1:7" x14ac:dyDescent="0.3">
      <c r="A298">
        <v>1.6666666666666667</v>
      </c>
      <c r="B298">
        <v>40</v>
      </c>
      <c r="C298">
        <v>2.1949999999999999E-3</v>
      </c>
      <c r="D298">
        <v>6.847578031746564</v>
      </c>
      <c r="E298">
        <v>0.12690000000000001</v>
      </c>
      <c r="F298">
        <v>9.9401955054989555E-2</v>
      </c>
      <c r="G298">
        <v>19.909247322420001</v>
      </c>
    </row>
    <row r="299" spans="1:7" x14ac:dyDescent="0.3">
      <c r="A299">
        <v>1.6666666666666667</v>
      </c>
      <c r="B299">
        <v>40</v>
      </c>
      <c r="C299">
        <v>2.1949999999999999E-3</v>
      </c>
      <c r="D299">
        <v>10.271367047619844</v>
      </c>
      <c r="E299">
        <v>0.72967500000000007</v>
      </c>
      <c r="F299">
        <v>0.57156124156618993</v>
      </c>
      <c r="G299">
        <v>7.9555980079575006</v>
      </c>
    </row>
    <row r="300" spans="1:7" x14ac:dyDescent="0.3">
      <c r="A300">
        <v>1.6666666666666667</v>
      </c>
      <c r="B300">
        <v>40</v>
      </c>
      <c r="C300">
        <v>2.1949999999999999E-3</v>
      </c>
      <c r="D300">
        <v>13.695156063493128</v>
      </c>
      <c r="E300">
        <v>1.3832100000000001</v>
      </c>
      <c r="F300">
        <v>1.0834813100993861</v>
      </c>
      <c r="G300">
        <v>1.7315970278849999</v>
      </c>
    </row>
    <row r="301" spans="1:7" x14ac:dyDescent="0.3">
      <c r="A301">
        <v>1.6666666666666667</v>
      </c>
      <c r="B301">
        <v>40</v>
      </c>
      <c r="C301">
        <v>2.1949999999999999E-3</v>
      </c>
      <c r="D301">
        <v>17.118945079366409</v>
      </c>
      <c r="E301">
        <v>1.7918279999999998</v>
      </c>
      <c r="F301">
        <v>1.4035556053764524</v>
      </c>
      <c r="G301">
        <v>-2.2682411351855989</v>
      </c>
    </row>
    <row r="302" spans="1:7" x14ac:dyDescent="0.3">
      <c r="A302">
        <v>1.6666666666666667</v>
      </c>
      <c r="B302">
        <v>40</v>
      </c>
      <c r="C302">
        <v>2.1949999999999999E-3</v>
      </c>
      <c r="D302">
        <v>20.542734095239688</v>
      </c>
      <c r="E302">
        <v>1.6888275000000001</v>
      </c>
      <c r="F302">
        <v>1.3228743518568196</v>
      </c>
      <c r="G302">
        <v>-2.6334547677056261</v>
      </c>
    </row>
    <row r="303" spans="1:7" x14ac:dyDescent="0.3">
      <c r="A303">
        <v>1.6666666666666667</v>
      </c>
      <c r="B303">
        <v>40</v>
      </c>
      <c r="C303">
        <v>2.1949999999999999E-3</v>
      </c>
      <c r="D303">
        <v>23.859529704366935</v>
      </c>
      <c r="E303">
        <v>1.6798600896860985</v>
      </c>
      <c r="F303">
        <v>1.3158500956158257</v>
      </c>
      <c r="G303">
        <v>-3.1551724441244269</v>
      </c>
    </row>
    <row r="304" spans="1:7" x14ac:dyDescent="0.3">
      <c r="A304">
        <v>1.6666666666666667</v>
      </c>
      <c r="B304">
        <v>40</v>
      </c>
      <c r="C304">
        <v>1.4633000000000001E-3</v>
      </c>
      <c r="D304">
        <v>3.423789015873282</v>
      </c>
      <c r="E304">
        <v>0</v>
      </c>
      <c r="F304">
        <v>0</v>
      </c>
      <c r="G304">
        <v>79.746493837680006</v>
      </c>
    </row>
    <row r="305" spans="1:7" x14ac:dyDescent="0.3">
      <c r="A305">
        <v>1.6666666666666667</v>
      </c>
      <c r="B305">
        <v>40</v>
      </c>
      <c r="C305">
        <v>1.4633000000000001E-3</v>
      </c>
      <c r="D305">
        <v>6.847578031746564</v>
      </c>
      <c r="E305">
        <v>0</v>
      </c>
      <c r="F305">
        <v>0</v>
      </c>
      <c r="G305">
        <v>19.936623459420002</v>
      </c>
    </row>
    <row r="306" spans="1:7" x14ac:dyDescent="0.3">
      <c r="A306">
        <v>1.6666666666666667</v>
      </c>
      <c r="B306">
        <v>40</v>
      </c>
      <c r="C306">
        <v>1.4633000000000001E-3</v>
      </c>
      <c r="D306">
        <v>10.271367047619844</v>
      </c>
      <c r="E306">
        <v>0.41877000000000003</v>
      </c>
      <c r="F306">
        <v>0.32802645168146555</v>
      </c>
      <c r="G306">
        <v>8.5625954055900024</v>
      </c>
    </row>
    <row r="307" spans="1:7" x14ac:dyDescent="0.3">
      <c r="A307">
        <v>1.6666666666666667</v>
      </c>
      <c r="B307">
        <v>40</v>
      </c>
      <c r="C307">
        <v>1.4633000000000001E-3</v>
      </c>
      <c r="D307">
        <v>13.695156063493128</v>
      </c>
      <c r="E307">
        <v>0.86450625000000003</v>
      </c>
      <c r="F307">
        <v>0.6771758188121163</v>
      </c>
      <c r="G307">
        <v>3.7136250691635939</v>
      </c>
    </row>
    <row r="308" spans="1:7" x14ac:dyDescent="0.3">
      <c r="A308">
        <v>1.6666666666666667</v>
      </c>
      <c r="B308">
        <v>40</v>
      </c>
      <c r="C308">
        <v>1.4633000000000001E-3</v>
      </c>
      <c r="D308">
        <v>17.118945079366409</v>
      </c>
      <c r="E308">
        <v>0.86926499999999984</v>
      </c>
      <c r="F308">
        <v>0.68090339212667828</v>
      </c>
      <c r="G308">
        <v>1.9053029651247002</v>
      </c>
    </row>
    <row r="309" spans="1:7" x14ac:dyDescent="0.3">
      <c r="A309">
        <v>1.6666666666666667</v>
      </c>
      <c r="B309">
        <v>40</v>
      </c>
      <c r="C309">
        <v>1.4633000000000001E-3</v>
      </c>
      <c r="D309">
        <v>20.542734095239688</v>
      </c>
      <c r="E309">
        <v>0.98030249999999997</v>
      </c>
      <c r="F309">
        <v>0.76788010279979424</v>
      </c>
      <c r="G309">
        <v>0.58149229881937525</v>
      </c>
    </row>
    <row r="310" spans="1:7" x14ac:dyDescent="0.3">
      <c r="A310">
        <v>1.6666666666666667</v>
      </c>
      <c r="B310">
        <v>40</v>
      </c>
      <c r="C310">
        <v>1.4633000000000001E-3</v>
      </c>
      <c r="D310">
        <v>23.859529704366935</v>
      </c>
      <c r="E310">
        <v>1.0607246636771299</v>
      </c>
      <c r="F310">
        <v>0.83087553463004715</v>
      </c>
      <c r="G310">
        <v>-0.27062415918614224</v>
      </c>
    </row>
    <row r="311" spans="1:7" x14ac:dyDescent="0.3">
      <c r="A311">
        <v>1.6666666666666667</v>
      </c>
      <c r="B311">
        <v>60</v>
      </c>
      <c r="C311">
        <v>1.205E-2</v>
      </c>
      <c r="D311">
        <v>2.4460730221186333</v>
      </c>
      <c r="E311">
        <v>0</v>
      </c>
      <c r="F311">
        <v>0</v>
      </c>
      <c r="G311">
        <v>104.15868582880654</v>
      </c>
    </row>
    <row r="312" spans="1:7" x14ac:dyDescent="0.3">
      <c r="A312">
        <v>1.6666666666666667</v>
      </c>
      <c r="B312">
        <v>60</v>
      </c>
      <c r="C312">
        <v>1.205E-2</v>
      </c>
      <c r="D312">
        <v>4.8921460442372666</v>
      </c>
      <c r="E312">
        <v>0</v>
      </c>
      <c r="F312">
        <v>0</v>
      </c>
      <c r="G312">
        <v>26.039671457201635</v>
      </c>
    </row>
    <row r="313" spans="1:7" x14ac:dyDescent="0.3">
      <c r="A313">
        <v>1.6666666666666667</v>
      </c>
      <c r="B313">
        <v>60</v>
      </c>
      <c r="C313">
        <v>1.205E-2</v>
      </c>
      <c r="D313">
        <v>7.338219066355899</v>
      </c>
      <c r="E313">
        <v>1.1288057142857144</v>
      </c>
      <c r="F313">
        <v>0.58946937156419199</v>
      </c>
      <c r="G313">
        <v>9.4070433352849001</v>
      </c>
    </row>
    <row r="314" spans="1:7" x14ac:dyDescent="0.3">
      <c r="A314">
        <v>1.6666666666666667</v>
      </c>
      <c r="B314">
        <v>60</v>
      </c>
      <c r="C314">
        <v>1.205E-2</v>
      </c>
      <c r="D314">
        <v>9.7842920884745332</v>
      </c>
      <c r="E314">
        <v>1.3523914285714285</v>
      </c>
      <c r="F314">
        <v>0.70622722353354472</v>
      </c>
      <c r="G314">
        <v>3.4006814849755109</v>
      </c>
    </row>
    <row r="315" spans="1:7" x14ac:dyDescent="0.3">
      <c r="A315">
        <v>1.6666666666666667</v>
      </c>
      <c r="B315">
        <v>60</v>
      </c>
      <c r="C315">
        <v>1.205E-2</v>
      </c>
      <c r="D315">
        <v>12.230365110593166</v>
      </c>
      <c r="E315">
        <v>1.4749405714285715</v>
      </c>
      <c r="F315">
        <v>0.7702231488832334</v>
      </c>
      <c r="G315">
        <v>0.4680829614339922</v>
      </c>
    </row>
    <row r="316" spans="1:7" x14ac:dyDescent="0.3">
      <c r="A316">
        <v>1.6666666666666667</v>
      </c>
      <c r="B316">
        <v>60</v>
      </c>
      <c r="C316">
        <v>1.205E-2</v>
      </c>
      <c r="D316">
        <v>14.676438132711798</v>
      </c>
      <c r="E316">
        <v>1.3789800000000001</v>
      </c>
      <c r="F316">
        <v>0.7201119410650354</v>
      </c>
      <c r="G316">
        <v>-0.33939910010204044</v>
      </c>
    </row>
    <row r="317" spans="1:7" x14ac:dyDescent="0.3">
      <c r="A317">
        <v>1.6666666666666667</v>
      </c>
      <c r="B317">
        <v>60</v>
      </c>
      <c r="C317">
        <v>1.205E-2</v>
      </c>
      <c r="D317">
        <v>17.180750988690402</v>
      </c>
      <c r="E317">
        <v>1.4422722711864406</v>
      </c>
      <c r="F317">
        <v>0.75316355911495814</v>
      </c>
      <c r="G317">
        <v>-1.4249533655790791</v>
      </c>
    </row>
    <row r="318" spans="1:7" x14ac:dyDescent="0.3">
      <c r="A318">
        <v>1.6666666666666667</v>
      </c>
      <c r="B318">
        <v>60</v>
      </c>
      <c r="C318">
        <v>6.025E-3</v>
      </c>
      <c r="D318">
        <v>2.4460730221186333</v>
      </c>
      <c r="E318">
        <v>0</v>
      </c>
      <c r="F318">
        <v>0</v>
      </c>
      <c r="G318">
        <v>104.15868582880654</v>
      </c>
    </row>
    <row r="319" spans="1:7" x14ac:dyDescent="0.3">
      <c r="A319">
        <v>1.6666666666666667</v>
      </c>
      <c r="B319">
        <v>60</v>
      </c>
      <c r="C319">
        <v>6.025E-3</v>
      </c>
      <c r="D319">
        <v>4.8921460442372666</v>
      </c>
      <c r="E319">
        <v>0</v>
      </c>
      <c r="F319">
        <v>0</v>
      </c>
      <c r="G319">
        <v>26.039671457201635</v>
      </c>
    </row>
    <row r="320" spans="1:7" x14ac:dyDescent="0.3">
      <c r="A320">
        <v>1.6666666666666667</v>
      </c>
      <c r="B320">
        <v>60</v>
      </c>
      <c r="C320">
        <v>6.025E-3</v>
      </c>
      <c r="D320">
        <v>7.338219066355899</v>
      </c>
      <c r="E320">
        <v>1.1433085714285716</v>
      </c>
      <c r="F320">
        <v>0.59704285385409606</v>
      </c>
      <c r="G320">
        <v>9.3510246821583713</v>
      </c>
    </row>
    <row r="321" spans="1:7" x14ac:dyDescent="0.3">
      <c r="A321">
        <v>1.6666666666666667</v>
      </c>
      <c r="B321">
        <v>60</v>
      </c>
      <c r="C321">
        <v>6.025E-3</v>
      </c>
      <c r="D321">
        <v>9.7842920884745332</v>
      </c>
      <c r="E321">
        <v>1.381397142857143</v>
      </c>
      <c r="F321">
        <v>0.72137418811335274</v>
      </c>
      <c r="G321">
        <v>3.2658791516008168</v>
      </c>
    </row>
    <row r="322" spans="1:7" x14ac:dyDescent="0.3">
      <c r="A322">
        <v>1.6666666666666667</v>
      </c>
      <c r="B322">
        <v>60</v>
      </c>
      <c r="C322">
        <v>6.025E-3</v>
      </c>
      <c r="D322">
        <v>12.230365110593166</v>
      </c>
      <c r="E322">
        <v>1.6301211428571429</v>
      </c>
      <c r="F322">
        <v>0.85125940938520561</v>
      </c>
      <c r="G322">
        <v>-0.35105396551053053</v>
      </c>
    </row>
    <row r="323" spans="1:7" x14ac:dyDescent="0.3">
      <c r="A323">
        <v>1.6666666666666667</v>
      </c>
      <c r="B323">
        <v>60</v>
      </c>
      <c r="C323">
        <v>6.025E-3</v>
      </c>
      <c r="D323">
        <v>14.676438132711798</v>
      </c>
      <c r="E323">
        <v>1.6255285714285714</v>
      </c>
      <c r="F323">
        <v>0.84886113999340274</v>
      </c>
      <c r="G323">
        <v>-1.5986865035240807</v>
      </c>
    </row>
    <row r="324" spans="1:7" x14ac:dyDescent="0.3">
      <c r="A324">
        <v>1.6666666666666667</v>
      </c>
      <c r="B324">
        <v>60</v>
      </c>
      <c r="C324">
        <v>6.025E-3</v>
      </c>
      <c r="D324">
        <v>17.122511154830431</v>
      </c>
      <c r="E324">
        <v>1.8335755102040818</v>
      </c>
      <c r="F324">
        <v>0.95750454665214413</v>
      </c>
      <c r="G324">
        <v>-3.5897110918602588</v>
      </c>
    </row>
    <row r="325" spans="1:7" x14ac:dyDescent="0.3">
      <c r="A325">
        <v>1.6666666666666667</v>
      </c>
      <c r="B325">
        <v>60</v>
      </c>
      <c r="C325">
        <v>3.0125E-3</v>
      </c>
      <c r="D325">
        <v>2.4460730221186333</v>
      </c>
      <c r="E325">
        <v>0</v>
      </c>
      <c r="F325">
        <v>0</v>
      </c>
      <c r="G325">
        <v>104.15868582880654</v>
      </c>
    </row>
    <row r="326" spans="1:7" x14ac:dyDescent="0.3">
      <c r="A326">
        <v>1.6666666666666667</v>
      </c>
      <c r="B326">
        <v>60</v>
      </c>
      <c r="C326">
        <v>3.0125E-3</v>
      </c>
      <c r="D326">
        <v>4.8921460442372666</v>
      </c>
      <c r="E326">
        <v>0</v>
      </c>
      <c r="F326">
        <v>0</v>
      </c>
      <c r="G326">
        <v>26.039671457201635</v>
      </c>
    </row>
    <row r="327" spans="1:7" x14ac:dyDescent="0.3">
      <c r="A327">
        <v>1.6666666666666667</v>
      </c>
      <c r="B327">
        <v>60</v>
      </c>
      <c r="C327">
        <v>3.0125E-3</v>
      </c>
      <c r="D327">
        <v>7.338219066355899</v>
      </c>
      <c r="E327">
        <v>0.89434285714285733</v>
      </c>
      <c r="F327">
        <v>0.46703140787741121</v>
      </c>
      <c r="G327">
        <v>10.213443765903676</v>
      </c>
    </row>
    <row r="328" spans="1:7" x14ac:dyDescent="0.3">
      <c r="A328">
        <v>1.6666666666666667</v>
      </c>
      <c r="B328">
        <v>60</v>
      </c>
      <c r="C328">
        <v>3.0125E-3</v>
      </c>
      <c r="D328">
        <v>9.7842920884745332</v>
      </c>
      <c r="E328">
        <v>0.58917857142857144</v>
      </c>
      <c r="F328">
        <v>0.30767271802734864</v>
      </c>
      <c r="G328">
        <v>5.9197945029483687</v>
      </c>
    </row>
    <row r="329" spans="1:7" x14ac:dyDescent="0.3">
      <c r="A329">
        <v>1.6666666666666667</v>
      </c>
      <c r="B329">
        <v>60</v>
      </c>
      <c r="C329">
        <v>3.0125E-3</v>
      </c>
      <c r="D329">
        <v>12.230365110593166</v>
      </c>
      <c r="E329">
        <v>0.81070971428571437</v>
      </c>
      <c r="F329">
        <v>0.42335766000563169</v>
      </c>
      <c r="G329">
        <v>3.0490220237289805</v>
      </c>
    </row>
    <row r="330" spans="1:7" x14ac:dyDescent="0.3">
      <c r="A330">
        <v>1.6666666666666667</v>
      </c>
      <c r="B330">
        <v>60</v>
      </c>
      <c r="C330">
        <v>3.0125E-3</v>
      </c>
      <c r="D330">
        <v>14.676438132711798</v>
      </c>
      <c r="E330">
        <v>0.97773428571428578</v>
      </c>
      <c r="F330">
        <v>0.51057893104435903</v>
      </c>
      <c r="G330">
        <v>1.2681574616938782</v>
      </c>
    </row>
    <row r="331" spans="1:7" x14ac:dyDescent="0.3">
      <c r="A331">
        <v>1.6666666666666667</v>
      </c>
      <c r="B331">
        <v>60</v>
      </c>
      <c r="C331">
        <v>3.0125E-3</v>
      </c>
      <c r="D331">
        <v>17.064271320970462</v>
      </c>
      <c r="E331">
        <v>1.0602430034129693</v>
      </c>
      <c r="F331">
        <v>0.55366549709809865</v>
      </c>
      <c r="G331">
        <v>0.22922615403285693</v>
      </c>
    </row>
    <row r="332" spans="1:7" x14ac:dyDescent="0.3">
      <c r="A332">
        <v>1.6666666666666667</v>
      </c>
      <c r="B332">
        <v>60</v>
      </c>
      <c r="C332">
        <v>2.0083000000000002E-3</v>
      </c>
      <c r="D332">
        <v>2.4460730221186333</v>
      </c>
      <c r="E332">
        <v>0</v>
      </c>
      <c r="F332">
        <v>0</v>
      </c>
      <c r="G332">
        <v>104.15868582880654</v>
      </c>
    </row>
    <row r="333" spans="1:7" x14ac:dyDescent="0.3">
      <c r="A333">
        <v>1.6666666666666667</v>
      </c>
      <c r="B333">
        <v>60</v>
      </c>
      <c r="C333">
        <v>2.0083000000000002E-3</v>
      </c>
      <c r="D333">
        <v>4.8921460442372666</v>
      </c>
      <c r="E333">
        <v>0</v>
      </c>
      <c r="F333">
        <v>0</v>
      </c>
      <c r="G333">
        <v>26.039671457201635</v>
      </c>
    </row>
    <row r="334" spans="1:7" x14ac:dyDescent="0.3">
      <c r="A334">
        <v>1.6666666666666667</v>
      </c>
      <c r="B334">
        <v>60</v>
      </c>
      <c r="C334">
        <v>2.0083000000000002E-3</v>
      </c>
      <c r="D334">
        <v>7.338219066355899</v>
      </c>
      <c r="E334">
        <v>0</v>
      </c>
      <c r="F334">
        <v>0</v>
      </c>
      <c r="G334">
        <v>11.57318731431184</v>
      </c>
    </row>
    <row r="335" spans="1:7" x14ac:dyDescent="0.3">
      <c r="A335">
        <v>1.6666666666666667</v>
      </c>
      <c r="B335">
        <v>60</v>
      </c>
      <c r="C335">
        <v>2.0083000000000002E-3</v>
      </c>
      <c r="D335">
        <v>9.7842920884745332</v>
      </c>
      <c r="E335">
        <v>0</v>
      </c>
      <c r="F335">
        <v>0</v>
      </c>
      <c r="G335">
        <v>6.5099178643004088</v>
      </c>
    </row>
    <row r="336" spans="1:7" x14ac:dyDescent="0.3">
      <c r="A336">
        <v>1.6666666666666667</v>
      </c>
      <c r="B336">
        <v>60</v>
      </c>
      <c r="C336">
        <v>2.0083000000000002E-3</v>
      </c>
      <c r="D336">
        <v>12.230365110593166</v>
      </c>
      <c r="E336">
        <v>0.11602285714285716</v>
      </c>
      <c r="F336">
        <v>6.0587858319231733E-2</v>
      </c>
      <c r="G336">
        <v>4.1434632174069561</v>
      </c>
    </row>
    <row r="337" spans="1:7" x14ac:dyDescent="0.3">
      <c r="A337">
        <v>1.6666666666666667</v>
      </c>
      <c r="B337">
        <v>60</v>
      </c>
      <c r="C337">
        <v>2.0083000000000002E-3</v>
      </c>
      <c r="D337">
        <v>14.676438132711798</v>
      </c>
      <c r="E337">
        <v>0.23567142857142859</v>
      </c>
      <c r="F337">
        <v>0.12306908721093945</v>
      </c>
      <c r="G337">
        <v>2.7988770907616334</v>
      </c>
    </row>
    <row r="338" spans="1:7" x14ac:dyDescent="0.3">
      <c r="A338">
        <v>1.6666666666666667</v>
      </c>
      <c r="B338">
        <v>60</v>
      </c>
      <c r="C338">
        <v>2.0083000000000002E-3</v>
      </c>
      <c r="D338">
        <v>17.122511154830431</v>
      </c>
      <c r="E338">
        <v>0.21029142857142857</v>
      </c>
      <c r="F338">
        <v>0.10981549320360748</v>
      </c>
      <c r="G338">
        <v>2.0505092415119708</v>
      </c>
    </row>
    <row r="339" spans="1:7" x14ac:dyDescent="0.3">
      <c r="A339">
        <v>1</v>
      </c>
      <c r="B339">
        <v>10</v>
      </c>
      <c r="C339">
        <v>5.5425090000000002E-3</v>
      </c>
      <c r="D339">
        <v>6.6410165731286011</v>
      </c>
      <c r="E339">
        <v>0</v>
      </c>
      <c r="F339">
        <v>0</v>
      </c>
      <c r="G339">
        <v>52.35207939747584</v>
      </c>
    </row>
    <row r="340" spans="1:7" x14ac:dyDescent="0.3">
      <c r="A340">
        <v>1</v>
      </c>
      <c r="B340">
        <v>10</v>
      </c>
      <c r="C340">
        <v>5.5425090000000002E-3</v>
      </c>
      <c r="D340">
        <v>13.282033146257202</v>
      </c>
      <c r="E340">
        <v>0.58349703992049995</v>
      </c>
      <c r="F340">
        <v>1.80513950379861</v>
      </c>
      <c r="G340">
        <v>12.509222896855785</v>
      </c>
    </row>
    <row r="341" spans="1:7" x14ac:dyDescent="0.3">
      <c r="A341">
        <v>1</v>
      </c>
      <c r="B341">
        <v>10</v>
      </c>
      <c r="C341">
        <v>5.5425090000000002E-3</v>
      </c>
      <c r="D341">
        <v>19.923049719385801</v>
      </c>
      <c r="E341">
        <v>1.0778843997356666</v>
      </c>
      <c r="F341">
        <v>3.3346042522447159</v>
      </c>
      <c r="G341">
        <v>3.8417785862016682</v>
      </c>
    </row>
    <row r="342" spans="1:7" x14ac:dyDescent="0.3">
      <c r="A342">
        <v>1</v>
      </c>
      <c r="B342">
        <v>10</v>
      </c>
      <c r="C342">
        <v>5.5425090000000002E-3</v>
      </c>
      <c r="D342">
        <v>26.564066292514404</v>
      </c>
      <c r="E342">
        <v>1.2543901122519998</v>
      </c>
      <c r="F342">
        <v>3.8806523253467922</v>
      </c>
      <c r="G342">
        <v>0.59706422102574574</v>
      </c>
    </row>
    <row r="343" spans="1:7" x14ac:dyDescent="0.3">
      <c r="A343">
        <v>1</v>
      </c>
      <c r="B343">
        <v>10</v>
      </c>
      <c r="C343">
        <v>5.5425090000000002E-3</v>
      </c>
      <c r="D343">
        <v>33.205082865643007</v>
      </c>
      <c r="E343">
        <v>1.1669940798409999</v>
      </c>
      <c r="F343">
        <v>3.61027900759722</v>
      </c>
      <c r="G343">
        <v>-0.22110463415366771</v>
      </c>
    </row>
    <row r="344" spans="1:7" x14ac:dyDescent="0.3">
      <c r="A344">
        <v>1</v>
      </c>
      <c r="B344">
        <v>10</v>
      </c>
      <c r="C344">
        <v>5.5425090000000002E-3</v>
      </c>
      <c r="D344">
        <v>39.846099438771603</v>
      </c>
      <c r="E344">
        <v>1.2244012776011666</v>
      </c>
      <c r="F344">
        <v>3.7878771672954681</v>
      </c>
      <c r="G344">
        <v>-1.0943450028976647</v>
      </c>
    </row>
    <row r="345" spans="1:7" x14ac:dyDescent="0.3">
      <c r="A345">
        <v>1</v>
      </c>
      <c r="B345">
        <v>10</v>
      </c>
      <c r="C345">
        <v>5.5425090000000002E-3</v>
      </c>
      <c r="D345">
        <v>47.81531932652593</v>
      </c>
      <c r="E345">
        <v>1.2495347771180554</v>
      </c>
      <c r="F345">
        <v>3.8656315854718155</v>
      </c>
      <c r="G345">
        <v>-1.6443950958897089</v>
      </c>
    </row>
    <row r="346" spans="1:7" x14ac:dyDescent="0.3">
      <c r="A346">
        <v>1</v>
      </c>
      <c r="B346">
        <v>10</v>
      </c>
      <c r="C346">
        <v>2.7712549999999998E-3</v>
      </c>
      <c r="D346">
        <v>6.6410165731286011</v>
      </c>
      <c r="E346">
        <v>0.30845658497999995</v>
      </c>
      <c r="F346">
        <v>0.42411500823462206</v>
      </c>
      <c r="G346">
        <v>52.190332107286046</v>
      </c>
    </row>
    <row r="347" spans="1:7" x14ac:dyDescent="0.3">
      <c r="A347">
        <v>1</v>
      </c>
      <c r="B347">
        <v>10</v>
      </c>
      <c r="C347">
        <v>2.7712549999999998E-3</v>
      </c>
      <c r="D347">
        <v>13.282033146257202</v>
      </c>
      <c r="E347">
        <v>0.5038124221339999</v>
      </c>
      <c r="F347">
        <v>1.558622655262236</v>
      </c>
      <c r="G347">
        <v>12.656514022984865</v>
      </c>
    </row>
    <row r="348" spans="1:7" x14ac:dyDescent="0.3">
      <c r="A348">
        <v>1</v>
      </c>
      <c r="B348">
        <v>10</v>
      </c>
      <c r="C348">
        <v>2.7712549999999998E-3</v>
      </c>
      <c r="D348">
        <v>19.923049719385801</v>
      </c>
      <c r="E348">
        <v>1.2098352721993333</v>
      </c>
      <c r="F348">
        <v>3.7428149476705399</v>
      </c>
      <c r="G348">
        <v>3.3286053548726704</v>
      </c>
    </row>
    <row r="349" spans="1:7" x14ac:dyDescent="0.3">
      <c r="A349">
        <v>1</v>
      </c>
      <c r="B349">
        <v>10</v>
      </c>
      <c r="C349">
        <v>2.7712549999999998E-3</v>
      </c>
      <c r="D349">
        <v>26.564066292514404</v>
      </c>
      <c r="E349">
        <v>1.7080783393267498</v>
      </c>
      <c r="F349">
        <v>5.2842079307232446</v>
      </c>
      <c r="G349">
        <v>-1.6877987802290459</v>
      </c>
    </row>
    <row r="350" spans="1:7" x14ac:dyDescent="0.3">
      <c r="A350">
        <v>1</v>
      </c>
      <c r="B350">
        <v>10</v>
      </c>
      <c r="C350">
        <v>2.7712549999999998E-3</v>
      </c>
      <c r="D350">
        <v>33.205082865643007</v>
      </c>
      <c r="E350">
        <v>1.8692469049787999</v>
      </c>
      <c r="F350">
        <v>5.7828081372790718</v>
      </c>
      <c r="G350">
        <v>-3.8458596101147653</v>
      </c>
    </row>
    <row r="351" spans="1:7" x14ac:dyDescent="0.3">
      <c r="A351">
        <v>1</v>
      </c>
      <c r="B351">
        <v>10</v>
      </c>
      <c r="C351">
        <v>2.7712549999999998E-3</v>
      </c>
      <c r="D351">
        <v>39.846099438771603</v>
      </c>
      <c r="E351">
        <v>1.8533099814214999</v>
      </c>
      <c r="F351">
        <v>5.7335047675717954</v>
      </c>
      <c r="G351">
        <v>-4.3848639805944902</v>
      </c>
    </row>
    <row r="352" spans="1:7" x14ac:dyDescent="0.3">
      <c r="A352">
        <v>1</v>
      </c>
      <c r="B352">
        <v>10</v>
      </c>
      <c r="C352">
        <v>2.7712549999999998E-3</v>
      </c>
      <c r="D352">
        <v>47.151217669213061</v>
      </c>
      <c r="E352">
        <v>1.8594284277667605</v>
      </c>
      <c r="F352">
        <v>5.7524331398583248</v>
      </c>
      <c r="G352">
        <v>-4.8391802551833054</v>
      </c>
    </row>
    <row r="353" spans="1:7" x14ac:dyDescent="0.3">
      <c r="A353">
        <v>1</v>
      </c>
      <c r="B353">
        <v>10</v>
      </c>
      <c r="C353">
        <v>1.385627E-3</v>
      </c>
      <c r="D353">
        <v>6.6410165731286011</v>
      </c>
      <c r="E353">
        <v>0.27761092648199998</v>
      </c>
      <c r="F353">
        <v>0.85883289167510968</v>
      </c>
      <c r="G353">
        <v>52.221064092422111</v>
      </c>
    </row>
    <row r="354" spans="1:7" x14ac:dyDescent="0.3">
      <c r="A354">
        <v>1</v>
      </c>
      <c r="B354">
        <v>10</v>
      </c>
      <c r="C354">
        <v>1.385627E-3</v>
      </c>
      <c r="D354">
        <v>13.282033146257202</v>
      </c>
      <c r="E354">
        <v>0.59634939762799988</v>
      </c>
      <c r="F354">
        <v>1.8449002858206058</v>
      </c>
      <c r="G354">
        <v>12.483444422481787</v>
      </c>
    </row>
    <row r="355" spans="1:7" x14ac:dyDescent="0.3">
      <c r="A355">
        <v>1</v>
      </c>
      <c r="B355">
        <v>10</v>
      </c>
      <c r="C355">
        <v>1.385627E-3</v>
      </c>
      <c r="D355">
        <v>19.923049719385801</v>
      </c>
      <c r="E355">
        <v>1.2458218737803333</v>
      </c>
      <c r="F355">
        <v>3.8541451373321274</v>
      </c>
      <c r="G355">
        <v>3.1783750708084306</v>
      </c>
    </row>
    <row r="356" spans="1:7" x14ac:dyDescent="0.3">
      <c r="A356">
        <v>1</v>
      </c>
      <c r="B356">
        <v>10</v>
      </c>
      <c r="C356">
        <v>1.385627E-3</v>
      </c>
      <c r="D356">
        <v>26.564066292514404</v>
      </c>
      <c r="E356">
        <v>1.6746622092872498</v>
      </c>
      <c r="F356">
        <v>5.1808298974660554</v>
      </c>
      <c r="G356">
        <v>-1.4956340135230084</v>
      </c>
    </row>
    <row r="357" spans="1:7" x14ac:dyDescent="0.3">
      <c r="A357">
        <v>1</v>
      </c>
      <c r="B357">
        <v>10</v>
      </c>
      <c r="C357">
        <v>1.385627E-3</v>
      </c>
      <c r="D357">
        <v>33.205082865643007</v>
      </c>
      <c r="E357">
        <v>1.9782348983383997</v>
      </c>
      <c r="F357">
        <v>6.1199795688255962</v>
      </c>
      <c r="G357">
        <v>-4.5587194562076627</v>
      </c>
    </row>
    <row r="358" spans="1:7" x14ac:dyDescent="0.3">
      <c r="A358">
        <v>1</v>
      </c>
      <c r="B358">
        <v>10</v>
      </c>
      <c r="C358">
        <v>1.385627E-3</v>
      </c>
      <c r="D358">
        <v>39.846099438771603</v>
      </c>
      <c r="E358">
        <v>2.0718000624489998</v>
      </c>
      <c r="F358">
        <v>6.4094380619457256</v>
      </c>
      <c r="G358">
        <v>-5.8427799201905941</v>
      </c>
    </row>
    <row r="359" spans="1:7" x14ac:dyDescent="0.3">
      <c r="A359">
        <v>1</v>
      </c>
      <c r="B359">
        <v>10</v>
      </c>
      <c r="C359">
        <v>1.385627E-3</v>
      </c>
      <c r="D359">
        <v>47.81531932652593</v>
      </c>
      <c r="E359">
        <v>2.1120707832658332</v>
      </c>
      <c r="F359">
        <v>6.5340218456146459</v>
      </c>
      <c r="G359">
        <v>-6.573555014195767</v>
      </c>
    </row>
    <row r="360" spans="1:7" x14ac:dyDescent="0.3">
      <c r="A360">
        <v>1</v>
      </c>
      <c r="B360">
        <v>10</v>
      </c>
      <c r="C360">
        <v>9.2375200000000001E-4</v>
      </c>
      <c r="D360">
        <v>6.6410165731286011</v>
      </c>
      <c r="E360">
        <v>0.30845658497999995</v>
      </c>
      <c r="F360">
        <v>0.9542587685278997</v>
      </c>
      <c r="G360">
        <v>52.190332107286046</v>
      </c>
    </row>
    <row r="361" spans="1:7" x14ac:dyDescent="0.3">
      <c r="A361">
        <v>1</v>
      </c>
      <c r="B361">
        <v>10</v>
      </c>
      <c r="C361">
        <v>9.2375200000000001E-4</v>
      </c>
      <c r="D361">
        <v>13.282033146257202</v>
      </c>
      <c r="E361">
        <v>0.56293326758849993</v>
      </c>
      <c r="F361">
        <v>1.7415222525634171</v>
      </c>
      <c r="G361">
        <v>12.54930028098059</v>
      </c>
    </row>
    <row r="362" spans="1:7" x14ac:dyDescent="0.3">
      <c r="A362">
        <v>1</v>
      </c>
      <c r="B362">
        <v>10</v>
      </c>
      <c r="C362">
        <v>9.2375200000000001E-4</v>
      </c>
      <c r="D362">
        <v>19.923049719385801</v>
      </c>
      <c r="E362">
        <v>1.0453250935433334</v>
      </c>
      <c r="F362">
        <v>3.2338769377889931</v>
      </c>
      <c r="G362">
        <v>3.9592999738053063</v>
      </c>
    </row>
    <row r="363" spans="1:7" x14ac:dyDescent="0.3">
      <c r="A363">
        <v>1</v>
      </c>
      <c r="B363">
        <v>10</v>
      </c>
      <c r="C363">
        <v>9.2375200000000001E-4</v>
      </c>
      <c r="D363">
        <v>26.564066292514404</v>
      </c>
      <c r="E363">
        <v>1.8378871521725</v>
      </c>
      <c r="F363">
        <v>5.685791829145403</v>
      </c>
      <c r="G363">
        <v>-2.4703046506630213</v>
      </c>
    </row>
    <row r="364" spans="1:7" x14ac:dyDescent="0.3">
      <c r="A364">
        <v>1</v>
      </c>
      <c r="B364">
        <v>10</v>
      </c>
      <c r="C364">
        <v>9.2375200000000001E-4</v>
      </c>
      <c r="D364">
        <v>33.205082865643007</v>
      </c>
      <c r="E364">
        <v>2.0430107811842002</v>
      </c>
      <c r="F364">
        <v>6.320373910216456</v>
      </c>
      <c r="G364">
        <v>-5.0015350125602547</v>
      </c>
    </row>
    <row r="365" spans="1:7" x14ac:dyDescent="0.3">
      <c r="A365">
        <v>1</v>
      </c>
      <c r="B365">
        <v>10</v>
      </c>
      <c r="C365">
        <v>9.2375200000000001E-4</v>
      </c>
      <c r="D365">
        <v>39.846099438771603</v>
      </c>
      <c r="E365">
        <v>2.1060730163356665</v>
      </c>
      <c r="F365">
        <v>6.5154668140043812</v>
      </c>
      <c r="G365">
        <v>-6.0861996075256002</v>
      </c>
    </row>
    <row r="366" spans="1:7" x14ac:dyDescent="0.3">
      <c r="A366">
        <v>1</v>
      </c>
      <c r="B366">
        <v>10</v>
      </c>
      <c r="C366">
        <v>9.2375200000000001E-4</v>
      </c>
      <c r="D366">
        <v>46.487116011900206</v>
      </c>
      <c r="E366">
        <v>2.0997080391852858</v>
      </c>
      <c r="F366">
        <v>6.4957757600506314</v>
      </c>
      <c r="G366">
        <v>-6.4265057610708851</v>
      </c>
    </row>
    <row r="367" spans="1:7" x14ac:dyDescent="0.3">
      <c r="A367">
        <v>1</v>
      </c>
      <c r="B367">
        <v>15</v>
      </c>
      <c r="C367">
        <v>6.6530699999999996E-3</v>
      </c>
      <c r="D367">
        <v>5.3476290687550607</v>
      </c>
      <c r="E367">
        <v>0</v>
      </c>
      <c r="F367">
        <v>0</v>
      </c>
      <c r="G367">
        <v>60.082589341705983</v>
      </c>
    </row>
    <row r="368" spans="1:7" x14ac:dyDescent="0.3">
      <c r="A368">
        <v>1</v>
      </c>
      <c r="B368">
        <v>15</v>
      </c>
      <c r="C368">
        <v>6.6530699999999996E-3</v>
      </c>
      <c r="D368">
        <v>10.695258137510121</v>
      </c>
      <c r="E368">
        <v>0.43508813417785713</v>
      </c>
      <c r="F368">
        <v>0.8974576513536201</v>
      </c>
      <c r="G368">
        <v>14.698834471772468</v>
      </c>
    </row>
    <row r="369" spans="1:7" x14ac:dyDescent="0.3">
      <c r="A369">
        <v>1</v>
      </c>
      <c r="B369">
        <v>15</v>
      </c>
      <c r="C369">
        <v>6.6530699999999996E-3</v>
      </c>
      <c r="D369">
        <v>16.042887206265185</v>
      </c>
      <c r="E369">
        <v>1.0868024279885713</v>
      </c>
      <c r="F369">
        <v>2.2417507578115741</v>
      </c>
      <c r="G369">
        <v>4.6679060804704013</v>
      </c>
    </row>
    <row r="370" spans="1:7" x14ac:dyDescent="0.3">
      <c r="A370">
        <v>1</v>
      </c>
      <c r="B370">
        <v>15</v>
      </c>
      <c r="C370">
        <v>6.6530699999999996E-3</v>
      </c>
      <c r="D370">
        <v>21.390516275020243</v>
      </c>
      <c r="E370">
        <v>1.504909274229107</v>
      </c>
      <c r="F370">
        <v>3.1041810535743877</v>
      </c>
      <c r="G370">
        <v>-9.4916436366698623E-2</v>
      </c>
    </row>
    <row r="371" spans="1:7" x14ac:dyDescent="0.3">
      <c r="A371">
        <v>1</v>
      </c>
      <c r="B371">
        <v>15</v>
      </c>
      <c r="C371">
        <v>6.6530699999999996E-3</v>
      </c>
      <c r="D371">
        <v>26.738145343775308</v>
      </c>
      <c r="E371">
        <v>1.637914064613857</v>
      </c>
      <c r="F371">
        <v>3.378530449526159</v>
      </c>
      <c r="G371">
        <v>-2.1573926475335665</v>
      </c>
    </row>
    <row r="372" spans="1:7" x14ac:dyDescent="0.3">
      <c r="A372">
        <v>1</v>
      </c>
      <c r="B372">
        <v>15</v>
      </c>
      <c r="C372">
        <v>6.6530699999999996E-3</v>
      </c>
      <c r="D372">
        <v>32.08577441253037</v>
      </c>
      <c r="E372">
        <v>1.7375988143432139</v>
      </c>
      <c r="F372">
        <v>3.5841504936970514</v>
      </c>
      <c r="G372">
        <v>-3.463763572284416</v>
      </c>
    </row>
    <row r="373" spans="1:7" x14ac:dyDescent="0.3">
      <c r="A373">
        <v>1</v>
      </c>
      <c r="B373">
        <v>15</v>
      </c>
      <c r="C373">
        <v>6.6530699999999996E-3</v>
      </c>
      <c r="D373">
        <v>37.815376986196505</v>
      </c>
      <c r="E373">
        <v>1.7944256304872725</v>
      </c>
      <c r="F373">
        <v>3.7013673445930655</v>
      </c>
      <c r="G373">
        <v>-4.2724085018788314</v>
      </c>
    </row>
    <row r="374" spans="1:7" x14ac:dyDescent="0.3">
      <c r="A374">
        <v>1</v>
      </c>
      <c r="B374">
        <v>15</v>
      </c>
      <c r="C374">
        <v>3.3265349999999998E-3</v>
      </c>
      <c r="D374">
        <v>5.3476290687550607</v>
      </c>
      <c r="E374">
        <v>0.23682012366642857</v>
      </c>
      <c r="F374">
        <v>0.48848960769880578</v>
      </c>
      <c r="G374">
        <v>59.987246931051232</v>
      </c>
    </row>
    <row r="375" spans="1:7" x14ac:dyDescent="0.3">
      <c r="A375">
        <v>1</v>
      </c>
      <c r="B375">
        <v>15</v>
      </c>
      <c r="C375">
        <v>3.3265349999999998E-3</v>
      </c>
      <c r="D375">
        <v>10.695258137510121</v>
      </c>
      <c r="E375">
        <v>0.61958753284821422</v>
      </c>
      <c r="F375">
        <v>1.2780251364212942</v>
      </c>
      <c r="G375">
        <v>14.368036526962904</v>
      </c>
    </row>
    <row r="376" spans="1:7" x14ac:dyDescent="0.3">
      <c r="A376">
        <v>1</v>
      </c>
      <c r="B376">
        <v>15</v>
      </c>
      <c r="C376">
        <v>3.3265349999999998E-3</v>
      </c>
      <c r="D376">
        <v>16.042887206265185</v>
      </c>
      <c r="E376">
        <v>1.4833384490114283</v>
      </c>
      <c r="F376">
        <v>3.0596868451212016</v>
      </c>
      <c r="G376">
        <v>2.9353452378529816</v>
      </c>
    </row>
    <row r="377" spans="1:7" x14ac:dyDescent="0.3">
      <c r="A377">
        <v>1</v>
      </c>
      <c r="B377">
        <v>15</v>
      </c>
      <c r="C377">
        <v>3.3265349999999998E-3</v>
      </c>
      <c r="D377">
        <v>21.390516275020243</v>
      </c>
      <c r="E377">
        <v>2.1382654189183925</v>
      </c>
      <c r="F377">
        <v>4.4106067485828211</v>
      </c>
      <c r="G377">
        <v>-4.0175424691052006</v>
      </c>
    </row>
    <row r="378" spans="1:7" x14ac:dyDescent="0.3">
      <c r="A378">
        <v>1</v>
      </c>
      <c r="B378">
        <v>15</v>
      </c>
      <c r="C378">
        <v>3.3265349999999998E-3</v>
      </c>
      <c r="D378">
        <v>26.738145343775308</v>
      </c>
      <c r="E378">
        <v>2.4904665098129999</v>
      </c>
      <c r="F378">
        <v>5.1370930372418604</v>
      </c>
      <c r="G378">
        <v>-8.1408162683820056</v>
      </c>
    </row>
    <row r="379" spans="1:7" x14ac:dyDescent="0.3">
      <c r="A379">
        <v>1</v>
      </c>
      <c r="B379">
        <v>15</v>
      </c>
      <c r="C379">
        <v>3.3265349999999998E-3</v>
      </c>
      <c r="D379">
        <v>32.08577441253037</v>
      </c>
      <c r="E379">
        <v>2.4223577765725</v>
      </c>
      <c r="F379">
        <v>4.9966049407641417</v>
      </c>
      <c r="G379">
        <v>-8.3063284210787618</v>
      </c>
    </row>
    <row r="380" spans="1:7" x14ac:dyDescent="0.3">
      <c r="A380">
        <v>1</v>
      </c>
      <c r="B380">
        <v>15</v>
      </c>
      <c r="C380">
        <v>3.3265349999999998E-3</v>
      </c>
      <c r="D380">
        <v>37.815376986196505</v>
      </c>
      <c r="E380">
        <v>2.4673352419199999</v>
      </c>
      <c r="F380">
        <v>5.0893800988154654</v>
      </c>
      <c r="G380">
        <v>-9.1476342514191522</v>
      </c>
    </row>
    <row r="381" spans="1:7" x14ac:dyDescent="0.3">
      <c r="A381">
        <v>1</v>
      </c>
      <c r="B381">
        <v>15</v>
      </c>
      <c r="C381">
        <v>1.6632680000000001E-3</v>
      </c>
      <c r="D381">
        <v>5.3476290687550607</v>
      </c>
      <c r="E381">
        <v>0.36349135260428572</v>
      </c>
      <c r="F381">
        <v>0.74977474670049282</v>
      </c>
      <c r="G381">
        <v>59.857975203895222</v>
      </c>
    </row>
    <row r="382" spans="1:7" x14ac:dyDescent="0.3">
      <c r="A382">
        <v>1</v>
      </c>
      <c r="B382">
        <v>15</v>
      </c>
      <c r="C382">
        <v>1.6632680000000001E-3</v>
      </c>
      <c r="D382">
        <v>10.695258137510121</v>
      </c>
      <c r="E382">
        <v>0.71046037099928572</v>
      </c>
      <c r="F382">
        <v>1.4654688230964177</v>
      </c>
      <c r="G382">
        <v>14.162565639533742</v>
      </c>
    </row>
    <row r="383" spans="1:7" x14ac:dyDescent="0.3">
      <c r="A383">
        <v>1</v>
      </c>
      <c r="B383">
        <v>15</v>
      </c>
      <c r="C383">
        <v>1.6632680000000001E-3</v>
      </c>
      <c r="D383">
        <v>16.042887206265185</v>
      </c>
      <c r="E383">
        <v>1.477831004275</v>
      </c>
      <c r="F383">
        <v>3.0483266216863458</v>
      </c>
      <c r="G383">
        <v>2.9630696489555794</v>
      </c>
    </row>
    <row r="384" spans="1:7" x14ac:dyDescent="0.3">
      <c r="A384">
        <v>1</v>
      </c>
      <c r="B384">
        <v>15</v>
      </c>
      <c r="C384">
        <v>1.6632680000000001E-3</v>
      </c>
      <c r="D384">
        <v>21.390516275020243</v>
      </c>
      <c r="E384">
        <v>2.2415300077264289</v>
      </c>
      <c r="F384">
        <v>4.6236109379863715</v>
      </c>
      <c r="G384">
        <v>-4.7864146845580491</v>
      </c>
    </row>
    <row r="385" spans="1:7" x14ac:dyDescent="0.3">
      <c r="A385">
        <v>1</v>
      </c>
      <c r="B385">
        <v>15</v>
      </c>
      <c r="C385">
        <v>1.6632680000000001E-3</v>
      </c>
      <c r="D385">
        <v>26.738145343775308</v>
      </c>
      <c r="E385">
        <v>2.4034488829774285</v>
      </c>
      <c r="F385">
        <v>4.9576015069711366</v>
      </c>
      <c r="G385">
        <v>-7.416859532577023</v>
      </c>
    </row>
    <row r="386" spans="1:7" x14ac:dyDescent="0.3">
      <c r="A386">
        <v>1</v>
      </c>
      <c r="B386">
        <v>15</v>
      </c>
      <c r="C386">
        <v>1.6632680000000001E-3</v>
      </c>
      <c r="D386">
        <v>32.08577441253037</v>
      </c>
      <c r="E386">
        <v>2.5178201520039281</v>
      </c>
      <c r="F386">
        <v>5.1935154803016434</v>
      </c>
      <c r="G386">
        <v>-9.1080503252756557</v>
      </c>
    </row>
    <row r="387" spans="1:7" x14ac:dyDescent="0.3">
      <c r="A387">
        <v>1</v>
      </c>
      <c r="B387">
        <v>15</v>
      </c>
      <c r="C387">
        <v>1.6632680000000001E-3</v>
      </c>
      <c r="D387">
        <v>37.815376986196505</v>
      </c>
      <c r="E387">
        <v>2.7033209042627271</v>
      </c>
      <c r="F387">
        <v>5.5761484605392928</v>
      </c>
      <c r="G387">
        <v>-11.221975467604974</v>
      </c>
    </row>
    <row r="388" spans="1:7" x14ac:dyDescent="0.3">
      <c r="A388">
        <v>1</v>
      </c>
      <c r="B388">
        <v>15</v>
      </c>
      <c r="C388">
        <v>1.108845E-3</v>
      </c>
      <c r="D388">
        <v>5.3476290687550607</v>
      </c>
      <c r="E388">
        <v>0.27537223682142858</v>
      </c>
      <c r="F388">
        <v>0.56801117174279736</v>
      </c>
      <c r="G388">
        <v>59.953678564725521</v>
      </c>
    </row>
    <row r="389" spans="1:7" x14ac:dyDescent="0.3">
      <c r="A389">
        <v>1</v>
      </c>
      <c r="B389">
        <v>15</v>
      </c>
      <c r="C389">
        <v>1.108845E-3</v>
      </c>
      <c r="D389">
        <v>10.695258137510121</v>
      </c>
      <c r="E389">
        <v>0.74901248415428578</v>
      </c>
      <c r="F389">
        <v>1.5449903871404094</v>
      </c>
      <c r="G389">
        <v>14.066913843014239</v>
      </c>
    </row>
    <row r="390" spans="1:7" x14ac:dyDescent="0.3">
      <c r="A390">
        <v>1</v>
      </c>
      <c r="B390">
        <v>15</v>
      </c>
      <c r="C390">
        <v>1.108845E-3</v>
      </c>
      <c r="D390">
        <v>16.042887206265185</v>
      </c>
      <c r="E390">
        <v>1.6522334209285712</v>
      </c>
      <c r="F390">
        <v>3.4080670304567842</v>
      </c>
      <c r="G390">
        <v>2.035055288892893</v>
      </c>
    </row>
    <row r="391" spans="1:7" x14ac:dyDescent="0.3">
      <c r="A391">
        <v>1</v>
      </c>
      <c r="B391">
        <v>15</v>
      </c>
      <c r="C391">
        <v>1.108845E-3</v>
      </c>
      <c r="D391">
        <v>21.390516275020243</v>
      </c>
      <c r="E391">
        <v>2.1065976116839287</v>
      </c>
      <c r="F391">
        <v>4.3452854638324006</v>
      </c>
      <c r="G391">
        <v>-3.7890191119825096</v>
      </c>
    </row>
    <row r="392" spans="1:7" x14ac:dyDescent="0.3">
      <c r="A392">
        <v>1</v>
      </c>
      <c r="B392">
        <v>15</v>
      </c>
      <c r="C392">
        <v>1.108845E-3</v>
      </c>
      <c r="D392">
        <v>26.738145343775308</v>
      </c>
      <c r="E392">
        <v>2.1897600272039996</v>
      </c>
      <c r="F392">
        <v>4.5168248376987252</v>
      </c>
      <c r="G392">
        <v>-5.7482796867905464</v>
      </c>
    </row>
    <row r="393" spans="1:7" x14ac:dyDescent="0.3">
      <c r="A393">
        <v>1</v>
      </c>
      <c r="B393">
        <v>15</v>
      </c>
      <c r="C393">
        <v>1.108845E-3</v>
      </c>
      <c r="D393">
        <v>32.08577441253037</v>
      </c>
      <c r="E393">
        <v>2.1717690410649997</v>
      </c>
      <c r="F393">
        <v>4.4797147744781958</v>
      </c>
      <c r="G393">
        <v>-6.3492264900908735</v>
      </c>
    </row>
    <row r="394" spans="1:7" x14ac:dyDescent="0.3">
      <c r="A394">
        <v>1</v>
      </c>
      <c r="B394">
        <v>15</v>
      </c>
      <c r="C394">
        <v>1.108845E-3</v>
      </c>
      <c r="D394">
        <v>37.815376986196505</v>
      </c>
      <c r="E394">
        <v>2.017950003729394</v>
      </c>
      <c r="F394">
        <v>4.1624317664238859</v>
      </c>
      <c r="G394">
        <v>-5.7210785880219168</v>
      </c>
    </row>
    <row r="395" spans="1:7" x14ac:dyDescent="0.3">
      <c r="A395">
        <v>1</v>
      </c>
      <c r="B395">
        <v>20</v>
      </c>
      <c r="C395">
        <v>7.5770359999999997E-3</v>
      </c>
      <c r="D395">
        <v>7.1243087117233248</v>
      </c>
      <c r="E395">
        <v>0.21417840641666666</v>
      </c>
      <c r="F395">
        <v>0.19634954084936207</v>
      </c>
      <c r="G395">
        <v>36.268274687303098</v>
      </c>
    </row>
    <row r="396" spans="1:7" x14ac:dyDescent="0.3">
      <c r="A396">
        <v>1</v>
      </c>
      <c r="B396">
        <v>20</v>
      </c>
      <c r="C396">
        <v>7.5770359999999997E-3</v>
      </c>
      <c r="D396">
        <v>14.24861742344665</v>
      </c>
      <c r="E396">
        <v>0.39623005187083332</v>
      </c>
      <c r="F396">
        <v>0.81730496378546957</v>
      </c>
      <c r="G396">
        <v>8.8196674056707689</v>
      </c>
    </row>
    <row r="397" spans="1:7" x14ac:dyDescent="0.3">
      <c r="A397">
        <v>1</v>
      </c>
      <c r="B397">
        <v>20</v>
      </c>
      <c r="C397">
        <v>7.5770359999999997E-3</v>
      </c>
      <c r="D397">
        <v>21.372926135169976</v>
      </c>
      <c r="E397">
        <v>0.8352957850249999</v>
      </c>
      <c r="F397">
        <v>1.7229672209531519</v>
      </c>
      <c r="G397">
        <v>2.852350700907643</v>
      </c>
    </row>
    <row r="398" spans="1:7" x14ac:dyDescent="0.3">
      <c r="A398">
        <v>1</v>
      </c>
      <c r="B398">
        <v>20</v>
      </c>
      <c r="C398">
        <v>7.5770359999999997E-3</v>
      </c>
      <c r="D398">
        <v>28.497234846893299</v>
      </c>
      <c r="E398">
        <v>1.0526868675379166</v>
      </c>
      <c r="F398">
        <v>2.1713804848678828</v>
      </c>
      <c r="G398">
        <v>0.38778671952251154</v>
      </c>
    </row>
    <row r="399" spans="1:7" x14ac:dyDescent="0.3">
      <c r="A399">
        <v>1</v>
      </c>
      <c r="B399">
        <v>20</v>
      </c>
      <c r="C399">
        <v>7.5770359999999997E-3</v>
      </c>
      <c r="D399">
        <v>35.621543558616629</v>
      </c>
      <c r="E399">
        <v>1.1668439581579999</v>
      </c>
      <c r="F399">
        <v>2.40685267173148</v>
      </c>
      <c r="G399">
        <v>-0.86074188857587142</v>
      </c>
    </row>
    <row r="400" spans="1:7" x14ac:dyDescent="0.3">
      <c r="A400">
        <v>1</v>
      </c>
      <c r="B400">
        <v>20</v>
      </c>
      <c r="C400">
        <v>7.5770359999999997E-3</v>
      </c>
      <c r="D400">
        <v>42.745852270339952</v>
      </c>
      <c r="E400">
        <v>1.2079662121900001</v>
      </c>
      <c r="F400">
        <v>2.4916756733784049</v>
      </c>
      <c r="G400">
        <v>-1.4709917578163796</v>
      </c>
    </row>
    <row r="401" spans="1:7" x14ac:dyDescent="0.3">
      <c r="A401">
        <v>1</v>
      </c>
      <c r="B401">
        <v>20</v>
      </c>
      <c r="C401">
        <v>7.5770359999999997E-3</v>
      </c>
      <c r="D401">
        <v>50.661750838921428</v>
      </c>
      <c r="E401">
        <v>1.362576249322031</v>
      </c>
      <c r="F401">
        <v>2.8105902791798298</v>
      </c>
      <c r="G401">
        <v>-2.4374824151064209</v>
      </c>
    </row>
    <row r="402" spans="1:7" x14ac:dyDescent="0.3">
      <c r="A402">
        <v>1</v>
      </c>
      <c r="B402">
        <v>20</v>
      </c>
      <c r="C402">
        <v>3.7885179999999998E-3</v>
      </c>
      <c r="D402">
        <v>7.1243087117233248</v>
      </c>
      <c r="E402">
        <v>0.17990986138999998</v>
      </c>
      <c r="F402">
        <v>0.37110063220529427</v>
      </c>
      <c r="G402">
        <v>36.291232900937779</v>
      </c>
    </row>
    <row r="403" spans="1:7" x14ac:dyDescent="0.3">
      <c r="A403">
        <v>1</v>
      </c>
      <c r="B403">
        <v>20</v>
      </c>
      <c r="C403">
        <v>3.7885179999999998E-3</v>
      </c>
      <c r="D403">
        <v>14.24861742344665</v>
      </c>
      <c r="E403">
        <v>0.47333427818083335</v>
      </c>
      <c r="F403">
        <v>0.97634809187345273</v>
      </c>
      <c r="G403">
        <v>8.705687361348577</v>
      </c>
    </row>
    <row r="404" spans="1:7" x14ac:dyDescent="0.3">
      <c r="A404">
        <v>1</v>
      </c>
      <c r="B404">
        <v>20</v>
      </c>
      <c r="C404">
        <v>3.7885179999999998E-3</v>
      </c>
      <c r="D404">
        <v>21.372926135169976</v>
      </c>
      <c r="E404">
        <v>1.066608463955</v>
      </c>
      <c r="F404">
        <v>2.200096605217102</v>
      </c>
      <c r="G404">
        <v>2.1044619371777897</v>
      </c>
    </row>
    <row r="405" spans="1:7" x14ac:dyDescent="0.3">
      <c r="A405">
        <v>1</v>
      </c>
      <c r="B405">
        <v>20</v>
      </c>
      <c r="C405">
        <v>3.7885179999999998E-3</v>
      </c>
      <c r="D405">
        <v>28.497234846893299</v>
      </c>
      <c r="E405">
        <v>1.2893540066283333</v>
      </c>
      <c r="F405">
        <v>2.6595545308046087</v>
      </c>
      <c r="G405">
        <v>-0.55449627312445415</v>
      </c>
    </row>
    <row r="406" spans="1:7" x14ac:dyDescent="0.3">
      <c r="A406">
        <v>1</v>
      </c>
      <c r="B406">
        <v>20</v>
      </c>
      <c r="C406">
        <v>3.7885179999999998E-3</v>
      </c>
      <c r="D406">
        <v>35.621543558616629</v>
      </c>
      <c r="E406">
        <v>1.5086726947989999</v>
      </c>
      <c r="F406">
        <v>3.1119438729215396</v>
      </c>
      <c r="G406">
        <v>-2.4155083000576933</v>
      </c>
    </row>
    <row r="407" spans="1:7" x14ac:dyDescent="0.3">
      <c r="A407">
        <v>1</v>
      </c>
      <c r="B407">
        <v>20</v>
      </c>
      <c r="C407">
        <v>3.7885179999999998E-3</v>
      </c>
      <c r="D407">
        <v>42.745852270339952</v>
      </c>
      <c r="E407">
        <v>1.8497875034186111</v>
      </c>
      <c r="F407">
        <v>3.8155624525552283</v>
      </c>
      <c r="G407">
        <v>-4.8072952024350846</v>
      </c>
    </row>
    <row r="408" spans="1:7" x14ac:dyDescent="0.3">
      <c r="A408">
        <v>1</v>
      </c>
      <c r="B408">
        <v>20</v>
      </c>
      <c r="C408">
        <v>3.7885179999999998E-3</v>
      </c>
      <c r="D408">
        <v>51.05754576735049</v>
      </c>
      <c r="E408">
        <v>1.8768005473906977</v>
      </c>
      <c r="F408">
        <v>3.8712823426067242</v>
      </c>
      <c r="G408">
        <v>-5.2803854522928182</v>
      </c>
    </row>
    <row r="409" spans="1:7" x14ac:dyDescent="0.3">
      <c r="A409">
        <v>1</v>
      </c>
      <c r="B409">
        <v>20</v>
      </c>
      <c r="C409">
        <v>1.8942589999999999E-3</v>
      </c>
      <c r="D409">
        <v>7.1243087117233248</v>
      </c>
      <c r="E409">
        <v>0.28699906459833335</v>
      </c>
      <c r="F409">
        <v>0.59199386566082668</v>
      </c>
      <c r="G409">
        <v>36.206231362684363</v>
      </c>
    </row>
    <row r="410" spans="1:7" x14ac:dyDescent="0.3">
      <c r="A410">
        <v>1</v>
      </c>
      <c r="B410">
        <v>20</v>
      </c>
      <c r="C410">
        <v>1.8942589999999999E-3</v>
      </c>
      <c r="D410">
        <v>14.24861742344665</v>
      </c>
      <c r="E410">
        <v>0.62968451486499999</v>
      </c>
      <c r="F410">
        <v>1.2988522127185298</v>
      </c>
      <c r="G410">
        <v>8.4125100374369168</v>
      </c>
    </row>
    <row r="411" spans="1:7" x14ac:dyDescent="0.3">
      <c r="A411">
        <v>1</v>
      </c>
      <c r="B411">
        <v>20</v>
      </c>
      <c r="C411">
        <v>1.8942589999999999E-3</v>
      </c>
      <c r="D411">
        <v>21.372926135169976</v>
      </c>
      <c r="E411">
        <v>1.092309872725</v>
      </c>
      <c r="F411">
        <v>2.2531109812464298</v>
      </c>
      <c r="G411">
        <v>2.0101336246352854</v>
      </c>
    </row>
    <row r="412" spans="1:7" x14ac:dyDescent="0.3">
      <c r="A412">
        <v>1</v>
      </c>
      <c r="B412">
        <v>20</v>
      </c>
      <c r="C412">
        <v>1.8942589999999999E-3</v>
      </c>
      <c r="D412">
        <v>28.497234846893299</v>
      </c>
      <c r="E412">
        <v>1.3418277162004166</v>
      </c>
      <c r="F412">
        <v>2.76779221519782</v>
      </c>
      <c r="G412">
        <v>-0.78921164456810666</v>
      </c>
    </row>
    <row r="413" spans="1:7" x14ac:dyDescent="0.3">
      <c r="A413">
        <v>1</v>
      </c>
      <c r="B413">
        <v>20</v>
      </c>
      <c r="C413">
        <v>1.8942589999999999E-3</v>
      </c>
      <c r="D413">
        <v>35.621543558616629</v>
      </c>
      <c r="E413">
        <v>1.6294693160179998</v>
      </c>
      <c r="F413">
        <v>3.3611114402593798</v>
      </c>
      <c r="G413">
        <v>-3.0599391181382498</v>
      </c>
    </row>
    <row r="414" spans="1:7" x14ac:dyDescent="0.3">
      <c r="A414">
        <v>1</v>
      </c>
      <c r="B414">
        <v>20</v>
      </c>
      <c r="C414">
        <v>1.8942589999999999E-3</v>
      </c>
      <c r="D414">
        <v>42.745852270339952</v>
      </c>
      <c r="E414">
        <v>1.8733471281244443</v>
      </c>
      <c r="F414">
        <v>3.8641589639154446</v>
      </c>
      <c r="G414">
        <v>-4.9564118153374404</v>
      </c>
    </row>
    <row r="415" spans="1:7" x14ac:dyDescent="0.3">
      <c r="A415">
        <v>1</v>
      </c>
      <c r="B415">
        <v>20</v>
      </c>
      <c r="C415">
        <v>1.8942589999999999E-3</v>
      </c>
      <c r="D415">
        <v>50.661750838921428</v>
      </c>
      <c r="E415">
        <v>1.9498935981677339</v>
      </c>
      <c r="F415">
        <v>4.0220516064125142</v>
      </c>
      <c r="G415">
        <v>-5.7447831303367511</v>
      </c>
    </row>
    <row r="416" spans="1:7" x14ac:dyDescent="0.3">
      <c r="A416">
        <v>1</v>
      </c>
      <c r="B416">
        <v>20</v>
      </c>
      <c r="C416">
        <v>1.262839E-3</v>
      </c>
      <c r="D416">
        <v>7.1243087117233248</v>
      </c>
      <c r="E416">
        <v>0.31270047336833334</v>
      </c>
      <c r="F416">
        <v>0.64500824169015447</v>
      </c>
      <c r="G416">
        <v>36.18002905364478</v>
      </c>
    </row>
    <row r="417" spans="1:7" x14ac:dyDescent="0.3">
      <c r="A417">
        <v>1</v>
      </c>
      <c r="B417">
        <v>20</v>
      </c>
      <c r="C417">
        <v>1.262839E-3</v>
      </c>
      <c r="D417">
        <v>14.24861742344665</v>
      </c>
      <c r="E417">
        <v>0.67252019614833336</v>
      </c>
      <c r="F417">
        <v>1.3872095061007432</v>
      </c>
      <c r="G417">
        <v>8.3176826332936589</v>
      </c>
    </row>
    <row r="418" spans="1:7" x14ac:dyDescent="0.3">
      <c r="A418">
        <v>1</v>
      </c>
      <c r="B418">
        <v>20</v>
      </c>
      <c r="C418">
        <v>1.262839E-3</v>
      </c>
      <c r="D418">
        <v>21.372926135169976</v>
      </c>
      <c r="E418">
        <v>0.90526073112111105</v>
      </c>
      <c r="F418">
        <v>1.8672841334774331</v>
      </c>
      <c r="G418">
        <v>2.6453281980976668</v>
      </c>
    </row>
    <row r="419" spans="1:7" x14ac:dyDescent="0.3">
      <c r="A419">
        <v>1</v>
      </c>
      <c r="B419">
        <v>20</v>
      </c>
      <c r="C419">
        <v>1.262839E-3</v>
      </c>
      <c r="D419">
        <v>28.497234846893299</v>
      </c>
      <c r="E419">
        <v>1.2529436775375</v>
      </c>
      <c r="F419">
        <v>2.5844508314297276</v>
      </c>
      <c r="G419">
        <v>-0.39713425106797412</v>
      </c>
    </row>
    <row r="420" spans="1:7" x14ac:dyDescent="0.3">
      <c r="A420">
        <v>1</v>
      </c>
      <c r="B420">
        <v>20</v>
      </c>
      <c r="C420">
        <v>1.262839E-3</v>
      </c>
      <c r="D420">
        <v>35.621543558616629</v>
      </c>
      <c r="E420">
        <v>1.601197766371</v>
      </c>
      <c r="F420">
        <v>3.3027956266271197</v>
      </c>
      <c r="G420">
        <v>-2.9046679779566791</v>
      </c>
    </row>
    <row r="421" spans="1:7" x14ac:dyDescent="0.3">
      <c r="A421">
        <v>1</v>
      </c>
      <c r="B421">
        <v>20</v>
      </c>
      <c r="C421">
        <v>1.262839E-3</v>
      </c>
      <c r="D421">
        <v>42.745852270339952</v>
      </c>
      <c r="E421">
        <v>1.5970569838469446</v>
      </c>
      <c r="F421">
        <v>3.2942544216001721</v>
      </c>
      <c r="G421">
        <v>-3.3263864455811736</v>
      </c>
    </row>
    <row r="422" spans="1:7" x14ac:dyDescent="0.3">
      <c r="A422">
        <v>1</v>
      </c>
      <c r="B422">
        <v>20</v>
      </c>
      <c r="C422">
        <v>1.262839E-3</v>
      </c>
      <c r="D422">
        <v>50.661750838921428</v>
      </c>
      <c r="E422">
        <v>1.7294237010625779</v>
      </c>
      <c r="F422">
        <v>3.5672876620359371</v>
      </c>
      <c r="G422">
        <v>-4.3657793294932556</v>
      </c>
    </row>
    <row r="423" spans="1:7" x14ac:dyDescent="0.3">
      <c r="A423">
        <v>1</v>
      </c>
      <c r="B423">
        <v>30</v>
      </c>
      <c r="C423">
        <v>9.1083629999999995E-3</v>
      </c>
      <c r="D423">
        <v>3.6489426924427844</v>
      </c>
      <c r="E423">
        <v>0</v>
      </c>
      <c r="F423">
        <v>0</v>
      </c>
      <c r="G423">
        <v>75.379001381404876</v>
      </c>
    </row>
    <row r="424" spans="1:7" x14ac:dyDescent="0.3">
      <c r="A424">
        <v>1</v>
      </c>
      <c r="B424">
        <v>30</v>
      </c>
      <c r="C424">
        <v>9.1083629999999995E-3</v>
      </c>
      <c r="D424">
        <v>7.2978853848855687</v>
      </c>
      <c r="E424">
        <v>0.45957594627600001</v>
      </c>
      <c r="F424">
        <v>0.47394852170219021</v>
      </c>
      <c r="G424">
        <v>18.4856932596789</v>
      </c>
    </row>
    <row r="425" spans="1:7" x14ac:dyDescent="0.3">
      <c r="A425">
        <v>1</v>
      </c>
      <c r="B425">
        <v>30</v>
      </c>
      <c r="C425">
        <v>9.1083629999999995E-3</v>
      </c>
      <c r="D425">
        <v>10.946828077328352</v>
      </c>
      <c r="E425">
        <v>0.63949941517599995</v>
      </c>
      <c r="F425">
        <v>0.65949883780483731</v>
      </c>
      <c r="G425">
        <v>7.6802134445161183</v>
      </c>
    </row>
    <row r="426" spans="1:7" x14ac:dyDescent="0.3">
      <c r="A426">
        <v>1</v>
      </c>
      <c r="B426">
        <v>30</v>
      </c>
      <c r="C426">
        <v>9.1083629999999995E-3</v>
      </c>
      <c r="D426">
        <v>14.595770769771137</v>
      </c>
      <c r="E426">
        <v>1.070287606428</v>
      </c>
      <c r="F426">
        <v>1.1037593089306039</v>
      </c>
      <c r="G426">
        <v>2.7638111335330633</v>
      </c>
    </row>
    <row r="427" spans="1:7" x14ac:dyDescent="0.3">
      <c r="A427">
        <v>1</v>
      </c>
      <c r="B427">
        <v>30</v>
      </c>
      <c r="C427">
        <v>9.1083629999999995E-3</v>
      </c>
      <c r="D427">
        <v>18.24471346221392</v>
      </c>
      <c r="E427">
        <v>1.2868126495727998</v>
      </c>
      <c r="F427">
        <v>1.3270558607661322</v>
      </c>
      <c r="G427">
        <v>0.20015250358522627</v>
      </c>
    </row>
    <row r="428" spans="1:7" x14ac:dyDescent="0.3">
      <c r="A428">
        <v>1</v>
      </c>
      <c r="B428">
        <v>30</v>
      </c>
      <c r="C428">
        <v>9.1083629999999995E-3</v>
      </c>
      <c r="D428">
        <v>21.893656154656703</v>
      </c>
      <c r="E428">
        <v>1.359193290776</v>
      </c>
      <c r="F428">
        <v>1.4017001022154261</v>
      </c>
      <c r="G428">
        <v>-1.0467297333903682</v>
      </c>
    </row>
    <row r="429" spans="1:7" x14ac:dyDescent="0.3">
      <c r="A429">
        <v>1</v>
      </c>
      <c r="B429">
        <v>30</v>
      </c>
      <c r="C429">
        <v>9.1083629999999995E-3</v>
      </c>
      <c r="D429">
        <v>26.126429677890332</v>
      </c>
      <c r="E429">
        <v>1.6748821558256985</v>
      </c>
      <c r="F429">
        <v>1.7272616815812263</v>
      </c>
      <c r="G429">
        <v>-3.2985291818983833</v>
      </c>
    </row>
    <row r="430" spans="1:7" x14ac:dyDescent="0.3">
      <c r="A430">
        <v>1</v>
      </c>
      <c r="B430">
        <v>30</v>
      </c>
      <c r="C430">
        <v>4.5541820000000004E-3</v>
      </c>
      <c r="D430">
        <v>3.6489426924427844</v>
      </c>
      <c r="E430">
        <v>0.32077784169599999</v>
      </c>
      <c r="F430">
        <v>0.33080970642300522</v>
      </c>
      <c r="G430">
        <v>75.204074061075531</v>
      </c>
    </row>
    <row r="431" spans="1:7" x14ac:dyDescent="0.3">
      <c r="A431">
        <v>1</v>
      </c>
      <c r="B431">
        <v>30</v>
      </c>
      <c r="C431">
        <v>4.5541820000000004E-3</v>
      </c>
      <c r="D431">
        <v>7.2978853848855687</v>
      </c>
      <c r="E431">
        <v>0.69399052289999996</v>
      </c>
      <c r="F431">
        <v>0.71569407639592464</v>
      </c>
      <c r="G431">
        <v>18.025991507363695</v>
      </c>
    </row>
    <row r="432" spans="1:7" x14ac:dyDescent="0.3">
      <c r="A432">
        <v>1</v>
      </c>
      <c r="B432">
        <v>30</v>
      </c>
      <c r="C432">
        <v>4.5541820000000004E-3</v>
      </c>
      <c r="D432">
        <v>10.946828077328352</v>
      </c>
      <c r="E432">
        <v>1.0610343994560001</v>
      </c>
      <c r="F432">
        <v>1.0942167212453251</v>
      </c>
      <c r="G432">
        <v>6.461594803324652</v>
      </c>
    </row>
    <row r="433" spans="1:7" x14ac:dyDescent="0.3">
      <c r="A433">
        <v>1</v>
      </c>
      <c r="B433">
        <v>30</v>
      </c>
      <c r="C433">
        <v>4.5541820000000004E-3</v>
      </c>
      <c r="D433">
        <v>14.595770769771137</v>
      </c>
      <c r="E433">
        <v>1.5576231736199999</v>
      </c>
      <c r="F433">
        <v>1.606335593688631</v>
      </c>
      <c r="G433">
        <v>0.58666466964113628</v>
      </c>
    </row>
    <row r="434" spans="1:7" x14ac:dyDescent="0.3">
      <c r="A434">
        <v>1</v>
      </c>
      <c r="B434">
        <v>30</v>
      </c>
      <c r="C434">
        <v>4.5541820000000004E-3</v>
      </c>
      <c r="D434">
        <v>18.24471346221392</v>
      </c>
      <c r="E434">
        <v>1.8432388288224</v>
      </c>
      <c r="F434">
        <v>1.9008834669075763</v>
      </c>
      <c r="G434">
        <v>-2.7606398908773788</v>
      </c>
    </row>
    <row r="435" spans="1:7" x14ac:dyDescent="0.3">
      <c r="A435">
        <v>1</v>
      </c>
      <c r="B435">
        <v>30</v>
      </c>
      <c r="C435">
        <v>4.5541820000000004E-3</v>
      </c>
      <c r="D435">
        <v>21.893656154656703</v>
      </c>
      <c r="E435">
        <v>2.1991788570119999</v>
      </c>
      <c r="F435">
        <v>2.2679550065346414</v>
      </c>
      <c r="G435">
        <v>-6.1279978472351644</v>
      </c>
    </row>
    <row r="436" spans="1:7" x14ac:dyDescent="0.3">
      <c r="A436">
        <v>1</v>
      </c>
      <c r="B436">
        <v>30</v>
      </c>
      <c r="C436">
        <v>4.5541820000000004E-3</v>
      </c>
      <c r="D436">
        <v>25.980471970192625</v>
      </c>
      <c r="E436">
        <v>2.3496907591820224</v>
      </c>
      <c r="F436">
        <v>2.4231739515427564</v>
      </c>
      <c r="G436">
        <v>-7.8988497783979801</v>
      </c>
    </row>
    <row r="437" spans="1:7" x14ac:dyDescent="0.3">
      <c r="A437">
        <v>1</v>
      </c>
      <c r="B437">
        <v>30</v>
      </c>
      <c r="C437">
        <v>2.2770910000000002E-3</v>
      </c>
      <c r="D437">
        <v>3.6489426924427844</v>
      </c>
      <c r="E437">
        <v>0</v>
      </c>
      <c r="F437">
        <v>0</v>
      </c>
      <c r="G437">
        <v>75.379001381404876</v>
      </c>
    </row>
    <row r="438" spans="1:7" x14ac:dyDescent="0.3">
      <c r="A438">
        <v>1</v>
      </c>
      <c r="B438">
        <v>30</v>
      </c>
      <c r="C438">
        <v>2.2770910000000002E-3</v>
      </c>
      <c r="D438">
        <v>7.2978853848855687</v>
      </c>
      <c r="E438">
        <v>0.81428221353600005</v>
      </c>
      <c r="F438">
        <v>0.83974771630455192</v>
      </c>
      <c r="G438">
        <v>17.717555955773371</v>
      </c>
    </row>
    <row r="439" spans="1:7" x14ac:dyDescent="0.3">
      <c r="A439">
        <v>1</v>
      </c>
      <c r="B439">
        <v>30</v>
      </c>
      <c r="C439">
        <v>2.2770910000000002E-3</v>
      </c>
      <c r="D439">
        <v>10.946828077328352</v>
      </c>
      <c r="E439">
        <v>1.2707737574879998</v>
      </c>
      <c r="F439">
        <v>1.3105153754449821</v>
      </c>
      <c r="G439">
        <v>5.6301724953095862</v>
      </c>
    </row>
    <row r="440" spans="1:7" x14ac:dyDescent="0.3">
      <c r="A440">
        <v>1</v>
      </c>
      <c r="B440">
        <v>30</v>
      </c>
      <c r="C440">
        <v>2.2770910000000002E-3</v>
      </c>
      <c r="D440">
        <v>14.595770769771137</v>
      </c>
      <c r="E440">
        <v>1.5992626049939997</v>
      </c>
      <c r="F440">
        <v>1.6492772382723864</v>
      </c>
      <c r="G440">
        <v>0.36319809079307375</v>
      </c>
    </row>
    <row r="441" spans="1:7" x14ac:dyDescent="0.3">
      <c r="A441">
        <v>1</v>
      </c>
      <c r="B441">
        <v>30</v>
      </c>
      <c r="C441">
        <v>2.2770910000000002E-3</v>
      </c>
      <c r="D441">
        <v>18.24471346221392</v>
      </c>
      <c r="E441">
        <v>1.8876542222879999</v>
      </c>
      <c r="F441">
        <v>1.9466878877969154</v>
      </c>
      <c r="G441">
        <v>-3.042345331710719</v>
      </c>
    </row>
    <row r="442" spans="1:7" x14ac:dyDescent="0.3">
      <c r="A442">
        <v>1</v>
      </c>
      <c r="B442">
        <v>30</v>
      </c>
      <c r="C442">
        <v>2.2770910000000002E-3</v>
      </c>
      <c r="D442">
        <v>21.893656154656703</v>
      </c>
      <c r="E442">
        <v>2.310217340676</v>
      </c>
      <c r="F442">
        <v>2.3824660587579896</v>
      </c>
      <c r="G442">
        <v>-6.9792159244886829</v>
      </c>
    </row>
    <row r="443" spans="1:7" x14ac:dyDescent="0.3">
      <c r="A443">
        <v>1</v>
      </c>
      <c r="B443">
        <v>30</v>
      </c>
      <c r="C443">
        <v>2.2770910000000002E-3</v>
      </c>
      <c r="D443">
        <v>25.980471970192625</v>
      </c>
      <c r="E443">
        <v>2.3704844827146068</v>
      </c>
      <c r="F443">
        <v>2.4446179688130463</v>
      </c>
      <c r="G443">
        <v>-8.0657048107070697</v>
      </c>
    </row>
    <row r="444" spans="1:7" x14ac:dyDescent="0.3">
      <c r="A444">
        <v>1</v>
      </c>
      <c r="B444">
        <v>30</v>
      </c>
      <c r="C444">
        <v>1.518061E-3</v>
      </c>
      <c r="D444">
        <v>3.6489426924427844</v>
      </c>
      <c r="E444">
        <v>0</v>
      </c>
      <c r="F444">
        <v>0</v>
      </c>
      <c r="G444">
        <v>75.379001381404876</v>
      </c>
    </row>
    <row r="445" spans="1:7" x14ac:dyDescent="0.3">
      <c r="A445">
        <v>1</v>
      </c>
      <c r="B445">
        <v>30</v>
      </c>
      <c r="C445">
        <v>1.518061E-3</v>
      </c>
      <c r="D445">
        <v>7.2978853848855687</v>
      </c>
      <c r="E445">
        <v>0.71558133916799993</v>
      </c>
      <c r="F445">
        <v>0.73796011432824238</v>
      </c>
      <c r="G445">
        <v>17.974254035309922</v>
      </c>
    </row>
    <row r="446" spans="1:7" x14ac:dyDescent="0.3">
      <c r="A446">
        <v>1</v>
      </c>
      <c r="B446">
        <v>30</v>
      </c>
      <c r="C446">
        <v>1.518061E-3</v>
      </c>
      <c r="D446">
        <v>10.946828077328352</v>
      </c>
      <c r="E446">
        <v>1.2378734660319999</v>
      </c>
      <c r="F446">
        <v>1.2765861747862124</v>
      </c>
      <c r="G446">
        <v>5.7704823774935443</v>
      </c>
    </row>
    <row r="447" spans="1:7" x14ac:dyDescent="0.3">
      <c r="A447">
        <v>1</v>
      </c>
      <c r="B447">
        <v>30</v>
      </c>
      <c r="C447">
        <v>1.518061E-3</v>
      </c>
      <c r="D447">
        <v>14.595770769771137</v>
      </c>
      <c r="E447">
        <v>1.7411451118979999</v>
      </c>
      <c r="F447">
        <v>1.7955969161133312</v>
      </c>
      <c r="G447">
        <v>-0.44250912482890353</v>
      </c>
    </row>
    <row r="448" spans="1:7" x14ac:dyDescent="0.3">
      <c r="A448">
        <v>1</v>
      </c>
      <c r="B448">
        <v>30</v>
      </c>
      <c r="C448">
        <v>1.518061E-3</v>
      </c>
      <c r="D448">
        <v>18.24471346221392</v>
      </c>
      <c r="E448">
        <v>1.8284336976672</v>
      </c>
      <c r="F448">
        <v>1.8856153266111297</v>
      </c>
      <c r="G448">
        <v>-2.6682285822442195</v>
      </c>
    </row>
    <row r="449" spans="1:7" x14ac:dyDescent="0.3">
      <c r="A449">
        <v>1</v>
      </c>
      <c r="B449">
        <v>30</v>
      </c>
      <c r="C449">
        <v>1.518061E-3</v>
      </c>
      <c r="D449">
        <v>21.893656154656703</v>
      </c>
      <c r="E449">
        <v>1.661464718528</v>
      </c>
      <c r="F449">
        <v>1.7134246332678731</v>
      </c>
      <c r="G449">
        <v>-2.5989293690691864</v>
      </c>
    </row>
    <row r="450" spans="1:7" x14ac:dyDescent="0.3">
      <c r="A450">
        <v>1</v>
      </c>
      <c r="B450">
        <v>30</v>
      </c>
      <c r="C450">
        <v>1.518061E-3</v>
      </c>
      <c r="D450">
        <v>25.980471970192625</v>
      </c>
      <c r="E450">
        <v>1.8723015230797753</v>
      </c>
      <c r="F450">
        <v>1.9308550550456847</v>
      </c>
      <c r="G450">
        <v>-4.4724425386184574</v>
      </c>
    </row>
    <row r="451" spans="1:7" x14ac:dyDescent="0.3">
      <c r="A451">
        <v>1</v>
      </c>
      <c r="B451">
        <v>40</v>
      </c>
      <c r="C451">
        <v>1.0389860000000001E-2</v>
      </c>
      <c r="D451">
        <v>3.0972023463023919</v>
      </c>
      <c r="E451">
        <v>0</v>
      </c>
      <c r="F451">
        <v>0</v>
      </c>
      <c r="G451">
        <v>81.781806395124647</v>
      </c>
    </row>
    <row r="452" spans="1:7" x14ac:dyDescent="0.3">
      <c r="A452">
        <v>1</v>
      </c>
      <c r="B452">
        <v>40</v>
      </c>
      <c r="C452">
        <v>1.0389860000000001E-2</v>
      </c>
      <c r="D452">
        <v>6.1944046926047838</v>
      </c>
      <c r="E452">
        <v>0.56222768875000007</v>
      </c>
      <c r="F452">
        <v>0.43488355336557927</v>
      </c>
      <c r="G452">
        <v>19.908081642985977</v>
      </c>
    </row>
    <row r="453" spans="1:7" x14ac:dyDescent="0.3">
      <c r="A453">
        <v>1</v>
      </c>
      <c r="B453">
        <v>40</v>
      </c>
      <c r="C453">
        <v>1.0389860000000001E-2</v>
      </c>
      <c r="D453">
        <v>9.2916070389071734</v>
      </c>
      <c r="E453">
        <v>0.94240069733333376</v>
      </c>
      <c r="F453">
        <v>0.72894767040325692</v>
      </c>
      <c r="G453">
        <v>7.5770649508676753</v>
      </c>
    </row>
    <row r="454" spans="1:7" x14ac:dyDescent="0.3">
      <c r="A454">
        <v>1</v>
      </c>
      <c r="B454">
        <v>40</v>
      </c>
      <c r="C454">
        <v>1.0389860000000001E-2</v>
      </c>
      <c r="D454">
        <v>12.388809385209568</v>
      </c>
      <c r="E454">
        <v>1.1260617423250001</v>
      </c>
      <c r="F454">
        <v>0.87100963116934571</v>
      </c>
      <c r="G454">
        <v>2.9557373188976652</v>
      </c>
    </row>
    <row r="455" spans="1:7" x14ac:dyDescent="0.3">
      <c r="A455">
        <v>1</v>
      </c>
      <c r="B455">
        <v>40</v>
      </c>
      <c r="C455">
        <v>1.0389860000000001E-2</v>
      </c>
      <c r="D455">
        <v>15.48601173151196</v>
      </c>
      <c r="E455">
        <v>1.4251668727400002</v>
      </c>
      <c r="F455">
        <v>1.102367681559834</v>
      </c>
      <c r="G455">
        <v>-0.1815987899593845</v>
      </c>
    </row>
    <row r="456" spans="1:7" x14ac:dyDescent="0.3">
      <c r="A456">
        <v>1</v>
      </c>
      <c r="B456">
        <v>40</v>
      </c>
      <c r="C456">
        <v>1.0389860000000001E-2</v>
      </c>
      <c r="D456">
        <v>18.583214077814347</v>
      </c>
      <c r="E456">
        <v>1.6695485081166672</v>
      </c>
      <c r="F456">
        <v>1.2913970660894059</v>
      </c>
      <c r="G456">
        <v>-2.4668499313137833</v>
      </c>
    </row>
    <row r="457" spans="1:7" x14ac:dyDescent="0.3">
      <c r="A457">
        <v>1</v>
      </c>
      <c r="B457">
        <v>40</v>
      </c>
      <c r="C457">
        <v>1.0389860000000001E-2</v>
      </c>
      <c r="D457">
        <v>21.873991570760644</v>
      </c>
      <c r="E457">
        <v>1.7968541051327436</v>
      </c>
      <c r="F457">
        <v>1.3898680441317124</v>
      </c>
      <c r="G457">
        <v>-3.8491568964953773</v>
      </c>
    </row>
    <row r="458" spans="1:7" x14ac:dyDescent="0.3">
      <c r="A458">
        <v>1</v>
      </c>
      <c r="B458">
        <v>40</v>
      </c>
      <c r="C458">
        <v>5.1949300000000004E-3</v>
      </c>
      <c r="D458">
        <v>3.0972023463023919</v>
      </c>
      <c r="E458">
        <v>0</v>
      </c>
      <c r="F458">
        <v>0</v>
      </c>
      <c r="G458">
        <v>81.781806395124647</v>
      </c>
    </row>
    <row r="459" spans="1:7" x14ac:dyDescent="0.3">
      <c r="A459">
        <v>1</v>
      </c>
      <c r="B459">
        <v>40</v>
      </c>
      <c r="C459">
        <v>5.1949300000000004E-3</v>
      </c>
      <c r="D459">
        <v>6.1944046926047838</v>
      </c>
      <c r="E459">
        <v>0.71643871195000008</v>
      </c>
      <c r="F459">
        <v>0.5541658994315668</v>
      </c>
      <c r="G459">
        <v>19.572868071214184</v>
      </c>
    </row>
    <row r="460" spans="1:7" x14ac:dyDescent="0.3">
      <c r="A460">
        <v>1</v>
      </c>
      <c r="B460">
        <v>40</v>
      </c>
      <c r="C460">
        <v>5.1949300000000004E-3</v>
      </c>
      <c r="D460">
        <v>9.2916070389071734</v>
      </c>
      <c r="E460">
        <v>1.0859026217000005</v>
      </c>
      <c r="F460">
        <v>0.83994652021466165</v>
      </c>
      <c r="G460">
        <v>7.0822537207506873</v>
      </c>
    </row>
    <row r="461" spans="1:7" x14ac:dyDescent="0.3">
      <c r="A461">
        <v>1</v>
      </c>
      <c r="B461">
        <v>40</v>
      </c>
      <c r="C461">
        <v>5.1949300000000004E-3</v>
      </c>
      <c r="D461">
        <v>12.388809385209568</v>
      </c>
      <c r="E461">
        <v>1.4891001927750001</v>
      </c>
      <c r="F461">
        <v>1.1518201541996913</v>
      </c>
      <c r="G461">
        <v>1.3417499466869678</v>
      </c>
    </row>
    <row r="462" spans="1:7" x14ac:dyDescent="0.3">
      <c r="A462">
        <v>1</v>
      </c>
      <c r="B462">
        <v>40</v>
      </c>
      <c r="C462">
        <v>5.1949300000000004E-3</v>
      </c>
      <c r="D462">
        <v>15.48601173151196</v>
      </c>
      <c r="E462">
        <v>1.8890850342000003</v>
      </c>
      <c r="F462">
        <v>1.4612087393083464</v>
      </c>
      <c r="G462">
        <v>-2.7954195971403206</v>
      </c>
    </row>
    <row r="463" spans="1:7" x14ac:dyDescent="0.3">
      <c r="A463">
        <v>1</v>
      </c>
      <c r="B463">
        <v>40</v>
      </c>
      <c r="C463">
        <v>5.1949300000000004E-3</v>
      </c>
      <c r="D463">
        <v>18.583214077814347</v>
      </c>
      <c r="E463">
        <v>2.0475796969333344</v>
      </c>
      <c r="F463">
        <v>1.5838044838761667</v>
      </c>
      <c r="G463">
        <v>-4.8556736016901105</v>
      </c>
    </row>
    <row r="464" spans="1:7" x14ac:dyDescent="0.3">
      <c r="A464">
        <v>1</v>
      </c>
      <c r="B464">
        <v>40</v>
      </c>
      <c r="C464">
        <v>5.1949300000000004E-3</v>
      </c>
      <c r="D464">
        <v>22.26114186404844</v>
      </c>
      <c r="E464">
        <v>2.3055665439582613</v>
      </c>
      <c r="F464">
        <v>1.7833575101691692</v>
      </c>
      <c r="G464">
        <v>-7.453509898505799</v>
      </c>
    </row>
    <row r="465" spans="1:7" x14ac:dyDescent="0.3">
      <c r="A465">
        <v>1</v>
      </c>
      <c r="B465">
        <v>40</v>
      </c>
      <c r="C465">
        <v>2.5974650000000002E-3</v>
      </c>
      <c r="D465">
        <v>3.0972023463023919</v>
      </c>
      <c r="E465">
        <v>0</v>
      </c>
      <c r="F465">
        <v>0</v>
      </c>
      <c r="G465">
        <v>81.781806395124647</v>
      </c>
    </row>
    <row r="466" spans="1:7" x14ac:dyDescent="0.3">
      <c r="A466">
        <v>1</v>
      </c>
      <c r="B466">
        <v>40</v>
      </c>
      <c r="C466">
        <v>2.5974650000000002E-3</v>
      </c>
      <c r="D466">
        <v>6.1944046926047838</v>
      </c>
      <c r="E466">
        <v>0.90598976130000008</v>
      </c>
      <c r="F466">
        <v>0.70078378313767631</v>
      </c>
      <c r="G466">
        <v>19.050061937894426</v>
      </c>
    </row>
    <row r="467" spans="1:7" x14ac:dyDescent="0.3">
      <c r="A467">
        <v>1</v>
      </c>
      <c r="B467">
        <v>40</v>
      </c>
      <c r="C467">
        <v>2.5974650000000002E-3</v>
      </c>
      <c r="D467">
        <v>9.2916070389071734</v>
      </c>
      <c r="E467">
        <v>1.2551063832666671</v>
      </c>
      <c r="F467">
        <v>0.97082576103706464</v>
      </c>
      <c r="G467">
        <v>6.4088709205976286</v>
      </c>
    </row>
    <row r="468" spans="1:7" x14ac:dyDescent="0.3">
      <c r="A468">
        <v>1</v>
      </c>
      <c r="B468">
        <v>40</v>
      </c>
      <c r="C468">
        <v>2.5974650000000002E-3</v>
      </c>
      <c r="D468">
        <v>12.388809385209568</v>
      </c>
      <c r="E468">
        <v>1.6208221084250001</v>
      </c>
      <c r="F468">
        <v>1.2537071581310557</v>
      </c>
      <c r="G468">
        <v>0.64535357752454314</v>
      </c>
    </row>
    <row r="469" spans="1:7" x14ac:dyDescent="0.3">
      <c r="A469">
        <v>1</v>
      </c>
      <c r="B469">
        <v>40</v>
      </c>
      <c r="C469">
        <v>2.5974650000000002E-3</v>
      </c>
      <c r="D469">
        <v>15.48601173151196</v>
      </c>
      <c r="E469">
        <v>1.9996029341600003</v>
      </c>
      <c r="F469">
        <v>1.5466944206556374</v>
      </c>
      <c r="G469">
        <v>-3.5260279645071941</v>
      </c>
    </row>
    <row r="470" spans="1:7" x14ac:dyDescent="0.3">
      <c r="A470">
        <v>1</v>
      </c>
      <c r="B470">
        <v>40</v>
      </c>
      <c r="C470">
        <v>2.5974650000000002E-3</v>
      </c>
      <c r="D470">
        <v>18.583214077814347</v>
      </c>
      <c r="E470">
        <v>2.0807779033166676</v>
      </c>
      <c r="F470">
        <v>1.6094833222653726</v>
      </c>
      <c r="G470">
        <v>-5.0886655166735242</v>
      </c>
    </row>
    <row r="471" spans="1:7" x14ac:dyDescent="0.3">
      <c r="A471">
        <v>1</v>
      </c>
      <c r="B471">
        <v>40</v>
      </c>
      <c r="C471">
        <v>2.5974650000000002E-3</v>
      </c>
      <c r="D471">
        <v>22.164354290726493</v>
      </c>
      <c r="E471">
        <v>2.1270795572681225</v>
      </c>
      <c r="F471">
        <v>1.6452976875128054</v>
      </c>
      <c r="G471">
        <v>-6.094665346770074</v>
      </c>
    </row>
    <row r="472" spans="1:7" x14ac:dyDescent="0.3">
      <c r="A472">
        <v>1</v>
      </c>
      <c r="B472">
        <v>40</v>
      </c>
      <c r="C472">
        <v>1.7316429999999999E-3</v>
      </c>
      <c r="D472">
        <v>3.0972023463023919</v>
      </c>
      <c r="E472">
        <v>0</v>
      </c>
      <c r="F472">
        <v>0</v>
      </c>
      <c r="G472">
        <v>81.781806395124647</v>
      </c>
    </row>
    <row r="473" spans="1:7" x14ac:dyDescent="0.3">
      <c r="A473">
        <v>1</v>
      </c>
      <c r="B473">
        <v>40</v>
      </c>
      <c r="C473">
        <v>1.7316429999999999E-3</v>
      </c>
      <c r="D473">
        <v>6.1944046926047838</v>
      </c>
      <c r="E473">
        <v>0.84173516830000017</v>
      </c>
      <c r="F473">
        <v>0.6510828056101815</v>
      </c>
      <c r="G473">
        <v>19.24097083974101</v>
      </c>
    </row>
    <row r="474" spans="1:7" x14ac:dyDescent="0.3">
      <c r="A474">
        <v>1</v>
      </c>
      <c r="B474">
        <v>40</v>
      </c>
      <c r="C474">
        <v>1.7316429999999999E-3</v>
      </c>
      <c r="D474">
        <v>9.2916070389071734</v>
      </c>
      <c r="E474">
        <v>1.2315463658333339</v>
      </c>
      <c r="F474">
        <v>0.95260206927698321</v>
      </c>
      <c r="G474">
        <v>6.5084664102006808</v>
      </c>
    </row>
    <row r="475" spans="1:7" x14ac:dyDescent="0.3">
      <c r="A475">
        <v>1</v>
      </c>
      <c r="B475">
        <v>40</v>
      </c>
      <c r="C475">
        <v>1.7316429999999999E-3</v>
      </c>
      <c r="D475">
        <v>12.388809385209568</v>
      </c>
      <c r="E475">
        <v>1.556567515425</v>
      </c>
      <c r="F475">
        <v>1.2040061806035609</v>
      </c>
      <c r="G475">
        <v>0.99242876856548212</v>
      </c>
    </row>
    <row r="476" spans="1:7" x14ac:dyDescent="0.3">
      <c r="A476">
        <v>1</v>
      </c>
      <c r="B476">
        <v>40</v>
      </c>
      <c r="C476">
        <v>1.7316429999999999E-3</v>
      </c>
      <c r="D476">
        <v>15.48601173151196</v>
      </c>
      <c r="E476">
        <v>1.3943246681000001</v>
      </c>
      <c r="F476">
        <v>1.0785112123466365</v>
      </c>
      <c r="G476">
        <v>-3.3767920317712405E-2</v>
      </c>
    </row>
    <row r="477" spans="1:7" x14ac:dyDescent="0.3">
      <c r="A477">
        <v>1</v>
      </c>
      <c r="B477">
        <v>40</v>
      </c>
      <c r="C477">
        <v>1.7316429999999999E-3</v>
      </c>
      <c r="D477">
        <v>18.583214077814347</v>
      </c>
      <c r="E477">
        <v>1.3911119384500006</v>
      </c>
      <c r="F477">
        <v>1.0760261634702619</v>
      </c>
      <c r="G477">
        <v>-1.018110278697782</v>
      </c>
    </row>
    <row r="478" spans="1:7" x14ac:dyDescent="0.3">
      <c r="A478">
        <v>1</v>
      </c>
      <c r="B478">
        <v>40</v>
      </c>
      <c r="C478">
        <v>1.7316429999999999E-3</v>
      </c>
      <c r="D478">
        <v>21.873991570760644</v>
      </c>
      <c r="E478">
        <v>1.3983619035893806</v>
      </c>
      <c r="F478">
        <v>1.0816340171293375</v>
      </c>
      <c r="G478">
        <v>-1.6846001715675076</v>
      </c>
    </row>
    <row r="479" spans="1:7" x14ac:dyDescent="0.3">
      <c r="A479">
        <v>1</v>
      </c>
      <c r="B479">
        <v>60</v>
      </c>
      <c r="C479">
        <v>1.2535021E-2</v>
      </c>
      <c r="D479">
        <v>2.2124106366767977</v>
      </c>
      <c r="E479">
        <v>0</v>
      </c>
      <c r="F479">
        <v>0</v>
      </c>
      <c r="G479">
        <v>106.83878654006276</v>
      </c>
    </row>
    <row r="480" spans="1:7" x14ac:dyDescent="0.3">
      <c r="A480">
        <v>1</v>
      </c>
      <c r="B480">
        <v>60</v>
      </c>
      <c r="C480">
        <v>1.2535021E-2</v>
      </c>
      <c r="D480">
        <v>4.4248212733535954</v>
      </c>
      <c r="E480">
        <v>0.51408903499999992</v>
      </c>
      <c r="F480">
        <v>0.26507188014663879</v>
      </c>
      <c r="G480">
        <v>26.260407823973399</v>
      </c>
    </row>
    <row r="481" spans="1:7" x14ac:dyDescent="0.3">
      <c r="A481">
        <v>1</v>
      </c>
      <c r="B481">
        <v>60</v>
      </c>
      <c r="C481">
        <v>1.2535021E-2</v>
      </c>
      <c r="D481">
        <v>6.6372319100303914</v>
      </c>
      <c r="E481">
        <v>1.0942752316428572</v>
      </c>
      <c r="F481">
        <v>0.56422443059784544</v>
      </c>
      <c r="G481">
        <v>9.8353312018312522</v>
      </c>
    </row>
    <row r="482" spans="1:7" x14ac:dyDescent="0.3">
      <c r="A482">
        <v>1</v>
      </c>
      <c r="B482">
        <v>60</v>
      </c>
      <c r="C482">
        <v>1.2535021E-2</v>
      </c>
      <c r="D482">
        <v>8.8496425467071909</v>
      </c>
      <c r="E482">
        <v>1.7075100091071429</v>
      </c>
      <c r="F482">
        <v>0.88041731620133612</v>
      </c>
      <c r="G482">
        <v>1.7209204257120947</v>
      </c>
    </row>
    <row r="483" spans="1:7" x14ac:dyDescent="0.3">
      <c r="A483">
        <v>1</v>
      </c>
      <c r="B483">
        <v>60</v>
      </c>
      <c r="C483">
        <v>1.2535021E-2</v>
      </c>
      <c r="D483">
        <v>11.062053183383988</v>
      </c>
      <c r="E483">
        <v>1.7523091964428572</v>
      </c>
      <c r="F483">
        <v>0.90351643718554286</v>
      </c>
      <c r="G483">
        <v>-0.94644732229244855</v>
      </c>
    </row>
    <row r="484" spans="1:7" x14ac:dyDescent="0.3">
      <c r="A484">
        <v>1</v>
      </c>
      <c r="B484">
        <v>60</v>
      </c>
      <c r="C484">
        <v>1.2535021E-2</v>
      </c>
      <c r="D484">
        <v>13.274463820060783</v>
      </c>
      <c r="E484">
        <v>1.7760552137738099</v>
      </c>
      <c r="F484">
        <v>0.91576023355422109</v>
      </c>
      <c r="G484">
        <v>-2.3946885374770268</v>
      </c>
    </row>
    <row r="485" spans="1:7" x14ac:dyDescent="0.3">
      <c r="A485">
        <v>1</v>
      </c>
      <c r="B485">
        <v>60</v>
      </c>
      <c r="C485">
        <v>1.2535021E-2</v>
      </c>
      <c r="D485">
        <v>15.48687445673758</v>
      </c>
      <c r="E485">
        <v>1.972423236326531</v>
      </c>
      <c r="F485">
        <v>1.017010478929961</v>
      </c>
      <c r="G485">
        <v>-4.433387420664614</v>
      </c>
    </row>
    <row r="486" spans="1:7" x14ac:dyDescent="0.3">
      <c r="A486">
        <v>1</v>
      </c>
      <c r="B486">
        <v>60</v>
      </c>
      <c r="C486">
        <v>6.2675109999999999E-3</v>
      </c>
      <c r="D486">
        <v>2.2124106366767977</v>
      </c>
      <c r="E486">
        <v>0.41127122799999999</v>
      </c>
      <c r="F486">
        <v>0.21205750411731109</v>
      </c>
      <c r="G486">
        <v>106.55124170099569</v>
      </c>
    </row>
    <row r="487" spans="1:7" x14ac:dyDescent="0.3">
      <c r="A487">
        <v>1</v>
      </c>
      <c r="B487">
        <v>60</v>
      </c>
      <c r="C487">
        <v>6.2675109999999999E-3</v>
      </c>
      <c r="D487">
        <v>4.4248212733535954</v>
      </c>
      <c r="E487">
        <v>0.66831574549999995</v>
      </c>
      <c r="F487">
        <v>0.34459344419063048</v>
      </c>
      <c r="G487">
        <v>25.950398544354215</v>
      </c>
    </row>
    <row r="488" spans="1:7" x14ac:dyDescent="0.3">
      <c r="A488">
        <v>1</v>
      </c>
      <c r="B488">
        <v>60</v>
      </c>
      <c r="C488">
        <v>6.2675109999999999E-3</v>
      </c>
      <c r="D488">
        <v>6.6372319100303914</v>
      </c>
      <c r="E488">
        <v>1.0183858979047622</v>
      </c>
      <c r="F488">
        <v>0.52509477210000832</v>
      </c>
      <c r="G488">
        <v>10.107889559242011</v>
      </c>
    </row>
    <row r="489" spans="1:7" x14ac:dyDescent="0.3">
      <c r="A489">
        <v>1</v>
      </c>
      <c r="B489">
        <v>60</v>
      </c>
      <c r="C489">
        <v>6.2675109999999999E-3</v>
      </c>
      <c r="D489">
        <v>8.8496425467071909</v>
      </c>
      <c r="E489">
        <v>1.3641719750178569</v>
      </c>
      <c r="F489">
        <v>0.70338716767483067</v>
      </c>
      <c r="G489">
        <v>3.5137833571329171</v>
      </c>
    </row>
    <row r="490" spans="1:7" x14ac:dyDescent="0.3">
      <c r="A490">
        <v>1</v>
      </c>
      <c r="B490">
        <v>60</v>
      </c>
      <c r="C490">
        <v>6.2675109999999999E-3</v>
      </c>
      <c r="D490">
        <v>11.062053183383988</v>
      </c>
      <c r="E490">
        <v>1.5598930147714285</v>
      </c>
      <c r="F490">
        <v>0.80430381918780114</v>
      </c>
      <c r="G490">
        <v>0.13699889179692815</v>
      </c>
    </row>
    <row r="491" spans="1:7" x14ac:dyDescent="0.3">
      <c r="A491">
        <v>1</v>
      </c>
      <c r="B491">
        <v>60</v>
      </c>
      <c r="C491">
        <v>6.2675109999999999E-3</v>
      </c>
      <c r="D491">
        <v>13.274463820060783</v>
      </c>
      <c r="E491">
        <v>1.6303966538571433</v>
      </c>
      <c r="F491">
        <v>0.84065653417934016</v>
      </c>
      <c r="G491">
        <v>-1.5511844525872678</v>
      </c>
    </row>
    <row r="492" spans="1:7" x14ac:dyDescent="0.3">
      <c r="A492">
        <v>1</v>
      </c>
      <c r="B492">
        <v>60</v>
      </c>
      <c r="C492">
        <v>6.2675109999999999E-3</v>
      </c>
      <c r="D492">
        <v>15.276168681815982</v>
      </c>
      <c r="E492">
        <v>1.6496939861068967</v>
      </c>
      <c r="F492">
        <v>0.85060652298090367</v>
      </c>
      <c r="G492">
        <v>-2.3855866976326254</v>
      </c>
    </row>
    <row r="493" spans="1:7" x14ac:dyDescent="0.3">
      <c r="A493">
        <v>1</v>
      </c>
      <c r="B493">
        <v>60</v>
      </c>
      <c r="C493">
        <v>3.1337549999999998E-3</v>
      </c>
      <c r="D493">
        <v>2.2124106366767977</v>
      </c>
      <c r="E493">
        <v>0.39658296985714286</v>
      </c>
      <c r="F493">
        <v>0.20448402182740705</v>
      </c>
      <c r="G493">
        <v>106.57141385169554</v>
      </c>
    </row>
    <row r="494" spans="1:7" x14ac:dyDescent="0.3">
      <c r="A494">
        <v>1</v>
      </c>
      <c r="B494">
        <v>60</v>
      </c>
      <c r="C494">
        <v>3.1337549999999998E-3</v>
      </c>
      <c r="D494">
        <v>4.4248212733535954</v>
      </c>
      <c r="E494">
        <v>0.76378942342857137</v>
      </c>
      <c r="F494">
        <v>0.39382107907500619</v>
      </c>
      <c r="G494">
        <v>25.717960353335396</v>
      </c>
    </row>
    <row r="495" spans="1:7" x14ac:dyDescent="0.3">
      <c r="A495">
        <v>1</v>
      </c>
      <c r="B495">
        <v>60</v>
      </c>
      <c r="C495">
        <v>3.1337549999999998E-3</v>
      </c>
      <c r="D495">
        <v>6.6372319100303914</v>
      </c>
      <c r="E495">
        <v>1.204437167714286</v>
      </c>
      <c r="F495">
        <v>0.62102554777212515</v>
      </c>
      <c r="G495">
        <v>9.4048391675774621</v>
      </c>
    </row>
    <row r="496" spans="1:7" x14ac:dyDescent="0.3">
      <c r="A496">
        <v>1</v>
      </c>
      <c r="B496">
        <v>60</v>
      </c>
      <c r="C496">
        <v>3.1337549999999998E-3</v>
      </c>
      <c r="D496">
        <v>8.8496425467071909</v>
      </c>
      <c r="E496">
        <v>1.2686982970892857</v>
      </c>
      <c r="F496">
        <v>0.65415953279045502</v>
      </c>
      <c r="G496">
        <v>3.9411120313905923</v>
      </c>
    </row>
    <row r="497" spans="1:7" x14ac:dyDescent="0.3">
      <c r="A497">
        <v>1</v>
      </c>
      <c r="B497">
        <v>60</v>
      </c>
      <c r="C497">
        <v>3.1337549999999998E-3</v>
      </c>
      <c r="D497">
        <v>11.062053183383988</v>
      </c>
      <c r="E497">
        <v>1.1236517479285715</v>
      </c>
      <c r="F497">
        <v>0.57937139517765335</v>
      </c>
      <c r="G497">
        <v>2.1271429355435236</v>
      </c>
    </row>
    <row r="498" spans="1:7" x14ac:dyDescent="0.3">
      <c r="A498">
        <v>1</v>
      </c>
      <c r="B498">
        <v>60</v>
      </c>
      <c r="C498">
        <v>3.1337549999999998E-3</v>
      </c>
      <c r="D498">
        <v>13.274463820060783</v>
      </c>
      <c r="E498">
        <v>1.1432360921190479</v>
      </c>
      <c r="F498">
        <v>0.58946937156419199</v>
      </c>
      <c r="G498">
        <v>0.74586317460712626</v>
      </c>
    </row>
    <row r="499" spans="1:7" x14ac:dyDescent="0.3">
      <c r="A499">
        <v>1</v>
      </c>
      <c r="B499">
        <v>60</v>
      </c>
      <c r="C499">
        <v>3.1337549999999998E-3</v>
      </c>
      <c r="D499">
        <v>15.434198013007181</v>
      </c>
      <c r="E499">
        <v>1.1390668993924917</v>
      </c>
      <c r="F499">
        <v>0.58731967437268917</v>
      </c>
      <c r="G499">
        <v>-1.0412822398084611E-2</v>
      </c>
    </row>
    <row r="500" spans="1:7" x14ac:dyDescent="0.3">
      <c r="A500">
        <v>1</v>
      </c>
      <c r="B500">
        <v>60</v>
      </c>
      <c r="C500">
        <v>2.08917E-3</v>
      </c>
      <c r="D500">
        <v>2.2124106366767977</v>
      </c>
      <c r="E500">
        <v>0</v>
      </c>
      <c r="F500">
        <v>0</v>
      </c>
      <c r="G500">
        <v>106.83878654006276</v>
      </c>
    </row>
    <row r="501" spans="1:7" x14ac:dyDescent="0.3">
      <c r="A501">
        <v>1</v>
      </c>
      <c r="B501">
        <v>60</v>
      </c>
      <c r="C501">
        <v>2.08917E-3</v>
      </c>
      <c r="D501">
        <v>4.4248212733535954</v>
      </c>
      <c r="E501">
        <v>0.38556677624999997</v>
      </c>
      <c r="F501">
        <v>0.19880391010997908</v>
      </c>
      <c r="G501">
        <v>26.456971678804397</v>
      </c>
    </row>
    <row r="502" spans="1:7" x14ac:dyDescent="0.3">
      <c r="A502">
        <v>1</v>
      </c>
      <c r="B502">
        <v>60</v>
      </c>
      <c r="C502">
        <v>2.08917E-3</v>
      </c>
      <c r="D502">
        <v>6.6372319100303914</v>
      </c>
      <c r="E502">
        <v>0.40392709892857148</v>
      </c>
      <c r="F502">
        <v>0.20827076297235905</v>
      </c>
      <c r="G502">
        <v>11.593609210106154</v>
      </c>
    </row>
    <row r="503" spans="1:7" x14ac:dyDescent="0.3">
      <c r="A503">
        <v>1</v>
      </c>
      <c r="B503">
        <v>60</v>
      </c>
      <c r="C503">
        <v>2.08917E-3</v>
      </c>
      <c r="D503">
        <v>8.8496425467071909</v>
      </c>
      <c r="E503">
        <v>0.5471376158214285</v>
      </c>
      <c r="F503">
        <v>0.28211221529892272</v>
      </c>
      <c r="G503">
        <v>6.1685128886544351</v>
      </c>
    </row>
    <row r="504" spans="1:7" x14ac:dyDescent="0.3">
      <c r="A504">
        <v>1</v>
      </c>
      <c r="B504">
        <v>60</v>
      </c>
      <c r="C504">
        <v>2.08917E-3</v>
      </c>
      <c r="D504">
        <v>11.062053183383988</v>
      </c>
      <c r="E504">
        <v>0.58899915152857141</v>
      </c>
      <c r="F504">
        <v>0.30369663982514905</v>
      </c>
      <c r="G504">
        <v>3.683787460750171</v>
      </c>
    </row>
    <row r="505" spans="1:7" x14ac:dyDescent="0.3">
      <c r="A505">
        <v>1</v>
      </c>
      <c r="B505">
        <v>60</v>
      </c>
      <c r="C505">
        <v>2.08917E-3</v>
      </c>
      <c r="D505">
        <v>13.274463820060783</v>
      </c>
      <c r="E505">
        <v>0.684228025154762</v>
      </c>
      <c r="F505">
        <v>0.35279805000469311</v>
      </c>
      <c r="G505">
        <v>2.171858486865085</v>
      </c>
    </row>
    <row r="506" spans="1:7" x14ac:dyDescent="0.3">
      <c r="A506">
        <v>1</v>
      </c>
      <c r="B506">
        <v>60</v>
      </c>
      <c r="C506">
        <v>2.08917E-3</v>
      </c>
      <c r="D506">
        <v>15.592227344198381</v>
      </c>
      <c r="E506">
        <v>0.73570309197972972</v>
      </c>
      <c r="F506">
        <v>0.37933935280444658</v>
      </c>
      <c r="G506">
        <v>1.2308779337247449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</vt:lpstr>
      <vt:lpstr>extended</vt:lpstr>
      <vt:lpstr>dim</vt:lpstr>
      <vt:lpstr>non dim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Mittal</dc:creator>
  <cp:lastModifiedBy>Sujal Mittal</cp:lastModifiedBy>
  <dcterms:created xsi:type="dcterms:W3CDTF">2025-06-05T06:57:20Z</dcterms:created>
  <dcterms:modified xsi:type="dcterms:W3CDTF">2025-06-05T14:19:13Z</dcterms:modified>
</cp:coreProperties>
</file>