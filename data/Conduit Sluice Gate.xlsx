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121FE60D-18BB-4346-9C10-EEE7AA1EA04D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60-100 Sluice" sheetId="9" r:id="rId1"/>
    <sheet name="100-60 Sluice" sheetId="10" r:id="rId2"/>
    <sheet name="Circular Sluice" sheetId="5" r:id="rId3"/>
    <sheet name="Figures Sluic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58" i="5" l="1"/>
  <c r="M259" i="5"/>
  <c r="M260" i="5"/>
  <c r="M261" i="5"/>
  <c r="M262" i="5"/>
  <c r="M263" i="5"/>
  <c r="M257" i="5"/>
  <c r="M247" i="5"/>
  <c r="M248" i="5"/>
  <c r="M249" i="5"/>
  <c r="M250" i="5"/>
  <c r="M251" i="5"/>
  <c r="M252" i="5"/>
  <c r="M246" i="5"/>
  <c r="M236" i="5"/>
  <c r="M237" i="5"/>
  <c r="M238" i="5"/>
  <c r="M239" i="5"/>
  <c r="M240" i="5"/>
  <c r="M241" i="5"/>
  <c r="M235" i="5"/>
  <c r="M225" i="5"/>
  <c r="M226" i="5"/>
  <c r="M227" i="5"/>
  <c r="M228" i="5"/>
  <c r="M229" i="5"/>
  <c r="M230" i="5"/>
  <c r="M224" i="5"/>
  <c r="M214" i="5"/>
  <c r="M215" i="5"/>
  <c r="M216" i="5"/>
  <c r="M217" i="5"/>
  <c r="M218" i="5"/>
  <c r="M219" i="5"/>
  <c r="M213" i="5"/>
  <c r="M203" i="5"/>
  <c r="M204" i="5"/>
  <c r="M205" i="5"/>
  <c r="M206" i="5"/>
  <c r="M207" i="5"/>
  <c r="M208" i="5"/>
  <c r="M202" i="5"/>
  <c r="M192" i="5"/>
  <c r="M193" i="5"/>
  <c r="M194" i="5"/>
  <c r="M195" i="5"/>
  <c r="M196" i="5"/>
  <c r="M197" i="5"/>
  <c r="M191" i="5"/>
  <c r="M181" i="5"/>
  <c r="M182" i="5"/>
  <c r="M183" i="5"/>
  <c r="M184" i="5"/>
  <c r="M185" i="5"/>
  <c r="M186" i="5"/>
  <c r="M180" i="5"/>
  <c r="M170" i="5"/>
  <c r="M171" i="5"/>
  <c r="M172" i="5"/>
  <c r="M173" i="5"/>
  <c r="M174" i="5"/>
  <c r="M175" i="5"/>
  <c r="M169" i="5"/>
  <c r="M159" i="5"/>
  <c r="M160" i="5"/>
  <c r="M161" i="5"/>
  <c r="M162" i="5"/>
  <c r="M163" i="5"/>
  <c r="M164" i="5"/>
  <c r="M158" i="5"/>
  <c r="M148" i="5"/>
  <c r="M149" i="5"/>
  <c r="M150" i="5"/>
  <c r="M151" i="5"/>
  <c r="M152" i="5"/>
  <c r="M153" i="5"/>
  <c r="M147" i="5"/>
  <c r="M137" i="5"/>
  <c r="M138" i="5"/>
  <c r="M139" i="5"/>
  <c r="M140" i="5"/>
  <c r="M141" i="5"/>
  <c r="M142" i="5"/>
  <c r="M136" i="5"/>
  <c r="M126" i="5"/>
  <c r="M127" i="5"/>
  <c r="M128" i="5"/>
  <c r="M129" i="5"/>
  <c r="M130" i="5"/>
  <c r="M131" i="5"/>
  <c r="M125" i="5"/>
  <c r="M115" i="5"/>
  <c r="M116" i="5"/>
  <c r="M117" i="5"/>
  <c r="M118" i="5"/>
  <c r="M119" i="5"/>
  <c r="M120" i="5"/>
  <c r="M114" i="5"/>
  <c r="M104" i="5"/>
  <c r="M105" i="5"/>
  <c r="M106" i="5"/>
  <c r="M107" i="5"/>
  <c r="M108" i="5"/>
  <c r="M109" i="5"/>
  <c r="M103" i="5"/>
  <c r="M93" i="5"/>
  <c r="M94" i="5"/>
  <c r="M95" i="5"/>
  <c r="M96" i="5"/>
  <c r="M97" i="5"/>
  <c r="M98" i="5"/>
  <c r="M92" i="5"/>
  <c r="M82" i="5"/>
  <c r="M83" i="5"/>
  <c r="M84" i="5"/>
  <c r="M85" i="5"/>
  <c r="M86" i="5"/>
  <c r="M87" i="5"/>
  <c r="M81" i="5"/>
  <c r="M71" i="5"/>
  <c r="M72" i="5"/>
  <c r="M73" i="5"/>
  <c r="M74" i="5"/>
  <c r="M75" i="5"/>
  <c r="M76" i="5"/>
  <c r="M70" i="5"/>
  <c r="M60" i="5"/>
  <c r="M61" i="5"/>
  <c r="M62" i="5"/>
  <c r="M63" i="5"/>
  <c r="M64" i="5"/>
  <c r="M65" i="5"/>
  <c r="M59" i="5"/>
  <c r="M49" i="5"/>
  <c r="M50" i="5"/>
  <c r="M51" i="5"/>
  <c r="M52" i="5"/>
  <c r="M53" i="5"/>
  <c r="M54" i="5"/>
  <c r="M48" i="5"/>
  <c r="M38" i="5"/>
  <c r="M39" i="5"/>
  <c r="M40" i="5"/>
  <c r="M41" i="5"/>
  <c r="M42" i="5"/>
  <c r="M43" i="5"/>
  <c r="M37" i="5"/>
  <c r="M27" i="5"/>
  <c r="M28" i="5"/>
  <c r="M29" i="5"/>
  <c r="M30" i="5"/>
  <c r="M31" i="5"/>
  <c r="M32" i="5"/>
  <c r="M26" i="5"/>
  <c r="M16" i="5"/>
  <c r="M17" i="5"/>
  <c r="M18" i="5"/>
  <c r="M19" i="5"/>
  <c r="M20" i="5"/>
  <c r="M21" i="5"/>
  <c r="M15" i="5"/>
  <c r="M5" i="5"/>
  <c r="M6" i="5"/>
  <c r="M7" i="5"/>
  <c r="M8" i="5"/>
  <c r="M9" i="5"/>
  <c r="M10" i="5"/>
  <c r="M4" i="5"/>
  <c r="M258" i="10"/>
  <c r="M259" i="10"/>
  <c r="M260" i="10"/>
  <c r="M261" i="10"/>
  <c r="M262" i="10"/>
  <c r="M263" i="10"/>
  <c r="M257" i="10"/>
  <c r="M247" i="10"/>
  <c r="M248" i="10"/>
  <c r="M249" i="10"/>
  <c r="M250" i="10"/>
  <c r="M251" i="10"/>
  <c r="M252" i="10"/>
  <c r="M246" i="10"/>
  <c r="M236" i="10"/>
  <c r="M237" i="10"/>
  <c r="M238" i="10"/>
  <c r="M239" i="10"/>
  <c r="M240" i="10"/>
  <c r="M241" i="10"/>
  <c r="M235" i="10"/>
  <c r="M225" i="10"/>
  <c r="M226" i="10"/>
  <c r="M227" i="10"/>
  <c r="M228" i="10"/>
  <c r="M229" i="10"/>
  <c r="M230" i="10"/>
  <c r="M224" i="10"/>
  <c r="M214" i="10"/>
  <c r="M215" i="10"/>
  <c r="M216" i="10"/>
  <c r="M217" i="10"/>
  <c r="M218" i="10"/>
  <c r="M219" i="10"/>
  <c r="M213" i="10"/>
  <c r="M203" i="10"/>
  <c r="M204" i="10"/>
  <c r="M205" i="10"/>
  <c r="M206" i="10"/>
  <c r="M207" i="10"/>
  <c r="M208" i="10"/>
  <c r="M202" i="10"/>
  <c r="M192" i="10"/>
  <c r="M193" i="10"/>
  <c r="M194" i="10"/>
  <c r="M195" i="10"/>
  <c r="M196" i="10"/>
  <c r="M197" i="10"/>
  <c r="M191" i="10"/>
  <c r="M181" i="10"/>
  <c r="M182" i="10"/>
  <c r="M183" i="10"/>
  <c r="M184" i="10"/>
  <c r="M185" i="10"/>
  <c r="M186" i="10"/>
  <c r="M180" i="10"/>
  <c r="M170" i="10"/>
  <c r="M171" i="10"/>
  <c r="M172" i="10"/>
  <c r="M173" i="10"/>
  <c r="M174" i="10"/>
  <c r="M175" i="10"/>
  <c r="M169" i="10"/>
  <c r="M159" i="10"/>
  <c r="M160" i="10"/>
  <c r="M161" i="10"/>
  <c r="M162" i="10"/>
  <c r="M163" i="10"/>
  <c r="M164" i="10"/>
  <c r="M158" i="10"/>
  <c r="M148" i="10"/>
  <c r="M149" i="10"/>
  <c r="M150" i="10"/>
  <c r="M151" i="10"/>
  <c r="M152" i="10"/>
  <c r="M153" i="10"/>
  <c r="M147" i="10"/>
  <c r="M137" i="10"/>
  <c r="M138" i="10"/>
  <c r="M139" i="10"/>
  <c r="M140" i="10"/>
  <c r="M141" i="10"/>
  <c r="M142" i="10"/>
  <c r="M136" i="10"/>
  <c r="M126" i="10"/>
  <c r="M127" i="10"/>
  <c r="M128" i="10"/>
  <c r="M129" i="10"/>
  <c r="M130" i="10"/>
  <c r="M131" i="10"/>
  <c r="M125" i="10"/>
  <c r="M115" i="10"/>
  <c r="M116" i="10"/>
  <c r="M117" i="10"/>
  <c r="M118" i="10"/>
  <c r="M119" i="10"/>
  <c r="M120" i="10"/>
  <c r="M114" i="10"/>
  <c r="M104" i="10"/>
  <c r="M105" i="10"/>
  <c r="M106" i="10"/>
  <c r="M107" i="10"/>
  <c r="M108" i="10"/>
  <c r="M109" i="10"/>
  <c r="M103" i="10"/>
  <c r="M93" i="10"/>
  <c r="M94" i="10"/>
  <c r="M95" i="10"/>
  <c r="M96" i="10"/>
  <c r="M97" i="10"/>
  <c r="M98" i="10"/>
  <c r="M92" i="10"/>
  <c r="M82" i="10"/>
  <c r="M83" i="10"/>
  <c r="M84" i="10"/>
  <c r="M85" i="10"/>
  <c r="M86" i="10"/>
  <c r="M87" i="10"/>
  <c r="M81" i="10"/>
  <c r="M71" i="10"/>
  <c r="M72" i="10"/>
  <c r="M73" i="10"/>
  <c r="M74" i="10"/>
  <c r="M75" i="10"/>
  <c r="M76" i="10"/>
  <c r="M70" i="10"/>
  <c r="M60" i="10"/>
  <c r="M61" i="10"/>
  <c r="M62" i="10"/>
  <c r="M63" i="10"/>
  <c r="M64" i="10"/>
  <c r="M65" i="10"/>
  <c r="M59" i="10"/>
  <c r="M49" i="10"/>
  <c r="M50" i="10"/>
  <c r="M51" i="10"/>
  <c r="M52" i="10"/>
  <c r="M53" i="10"/>
  <c r="M54" i="10"/>
  <c r="M48" i="10"/>
  <c r="M38" i="10"/>
  <c r="M39" i="10"/>
  <c r="M40" i="10"/>
  <c r="M41" i="10"/>
  <c r="M42" i="10"/>
  <c r="M43" i="10"/>
  <c r="M37" i="10"/>
  <c r="M27" i="10"/>
  <c r="M28" i="10"/>
  <c r="M29" i="10"/>
  <c r="M30" i="10"/>
  <c r="M31" i="10"/>
  <c r="M32" i="10"/>
  <c r="M26" i="10"/>
  <c r="M16" i="10"/>
  <c r="M17" i="10"/>
  <c r="M18" i="10"/>
  <c r="M19" i="10"/>
  <c r="M20" i="10"/>
  <c r="M21" i="10"/>
  <c r="M15" i="10"/>
  <c r="M5" i="10"/>
  <c r="M6" i="10"/>
  <c r="M7" i="10"/>
  <c r="M8" i="10"/>
  <c r="M9" i="10"/>
  <c r="M10" i="10"/>
  <c r="M4" i="10"/>
  <c r="M258" i="9"/>
  <c r="M259" i="9"/>
  <c r="M260" i="9"/>
  <c r="M261" i="9"/>
  <c r="M262" i="9"/>
  <c r="M263" i="9"/>
  <c r="M257" i="9"/>
  <c r="M247" i="9"/>
  <c r="M248" i="9"/>
  <c r="M249" i="9"/>
  <c r="M250" i="9"/>
  <c r="M251" i="9"/>
  <c r="M252" i="9"/>
  <c r="M246" i="9"/>
  <c r="M236" i="9"/>
  <c r="M237" i="9"/>
  <c r="M238" i="9"/>
  <c r="M239" i="9"/>
  <c r="M240" i="9"/>
  <c r="M241" i="9"/>
  <c r="M235" i="9"/>
  <c r="M225" i="9"/>
  <c r="M226" i="9"/>
  <c r="M227" i="9"/>
  <c r="M228" i="9"/>
  <c r="M229" i="9"/>
  <c r="M230" i="9"/>
  <c r="M224" i="9"/>
  <c r="M214" i="9"/>
  <c r="M215" i="9"/>
  <c r="M216" i="9"/>
  <c r="M217" i="9"/>
  <c r="M218" i="9"/>
  <c r="M219" i="9"/>
  <c r="M213" i="9"/>
  <c r="M203" i="9"/>
  <c r="M204" i="9"/>
  <c r="M205" i="9"/>
  <c r="M206" i="9"/>
  <c r="M207" i="9"/>
  <c r="M208" i="9"/>
  <c r="M202" i="9"/>
  <c r="M192" i="9"/>
  <c r="M193" i="9"/>
  <c r="M194" i="9"/>
  <c r="M195" i="9"/>
  <c r="M196" i="9"/>
  <c r="M197" i="9"/>
  <c r="M191" i="9"/>
  <c r="M181" i="9"/>
  <c r="M182" i="9"/>
  <c r="M183" i="9"/>
  <c r="M184" i="9"/>
  <c r="M185" i="9"/>
  <c r="M186" i="9"/>
  <c r="M180" i="9"/>
  <c r="M170" i="9"/>
  <c r="M171" i="9"/>
  <c r="M172" i="9"/>
  <c r="M173" i="9"/>
  <c r="M174" i="9"/>
  <c r="M175" i="9"/>
  <c r="M169" i="9"/>
  <c r="M159" i="9"/>
  <c r="M160" i="9"/>
  <c r="M161" i="9"/>
  <c r="M162" i="9"/>
  <c r="M163" i="9"/>
  <c r="M164" i="9"/>
  <c r="M158" i="9"/>
  <c r="M148" i="9"/>
  <c r="M149" i="9"/>
  <c r="M150" i="9"/>
  <c r="M151" i="9"/>
  <c r="M152" i="9"/>
  <c r="M153" i="9"/>
  <c r="M147" i="9"/>
  <c r="M137" i="9"/>
  <c r="M138" i="9"/>
  <c r="M139" i="9"/>
  <c r="M140" i="9"/>
  <c r="M141" i="9"/>
  <c r="M142" i="9"/>
  <c r="M136" i="9"/>
  <c r="M126" i="9"/>
  <c r="M127" i="9"/>
  <c r="M128" i="9"/>
  <c r="M129" i="9"/>
  <c r="M130" i="9"/>
  <c r="M131" i="9"/>
  <c r="M125" i="9"/>
  <c r="M115" i="9"/>
  <c r="M116" i="9"/>
  <c r="M117" i="9"/>
  <c r="M118" i="9"/>
  <c r="M119" i="9"/>
  <c r="M120" i="9"/>
  <c r="M114" i="9"/>
  <c r="M104" i="9"/>
  <c r="M105" i="9"/>
  <c r="M106" i="9"/>
  <c r="M107" i="9"/>
  <c r="M108" i="9"/>
  <c r="M109" i="9"/>
  <c r="M103" i="9"/>
  <c r="M93" i="9"/>
  <c r="M94" i="9"/>
  <c r="M95" i="9"/>
  <c r="M96" i="9"/>
  <c r="M97" i="9"/>
  <c r="M98" i="9"/>
  <c r="M92" i="9"/>
  <c r="M82" i="9"/>
  <c r="M83" i="9"/>
  <c r="M84" i="9"/>
  <c r="M85" i="9"/>
  <c r="M86" i="9"/>
  <c r="M87" i="9"/>
  <c r="M81" i="9"/>
  <c r="M71" i="9"/>
  <c r="M72" i="9"/>
  <c r="M73" i="9"/>
  <c r="M74" i="9"/>
  <c r="M75" i="9"/>
  <c r="M76" i="9"/>
  <c r="M70" i="9"/>
  <c r="M60" i="9"/>
  <c r="M61" i="9"/>
  <c r="M62" i="9"/>
  <c r="M63" i="9"/>
  <c r="M64" i="9"/>
  <c r="M65" i="9"/>
  <c r="M59" i="9"/>
  <c r="M49" i="9"/>
  <c r="M50" i="9"/>
  <c r="M51" i="9"/>
  <c r="M52" i="9"/>
  <c r="M53" i="9"/>
  <c r="M54" i="9"/>
  <c r="M48" i="9"/>
  <c r="M38" i="9"/>
  <c r="M39" i="9"/>
  <c r="M40" i="9"/>
  <c r="M41" i="9"/>
  <c r="M42" i="9"/>
  <c r="M43" i="9"/>
  <c r="M37" i="9"/>
  <c r="M27" i="9"/>
  <c r="M28" i="9"/>
  <c r="M29" i="9"/>
  <c r="M30" i="9"/>
  <c r="M31" i="9"/>
  <c r="M32" i="9"/>
  <c r="M26" i="9"/>
  <c r="M16" i="9"/>
  <c r="M17" i="9"/>
  <c r="M18" i="9"/>
  <c r="M19" i="9"/>
  <c r="M20" i="9"/>
  <c r="M21" i="9"/>
  <c r="M15" i="9"/>
  <c r="M5" i="9"/>
  <c r="M6" i="9"/>
  <c r="M7" i="9"/>
  <c r="M8" i="9"/>
  <c r="M9" i="9"/>
  <c r="M10" i="9"/>
  <c r="M4" i="9"/>
  <c r="E263" i="10" l="1"/>
  <c r="E262" i="10"/>
  <c r="E261" i="10"/>
  <c r="E260" i="10"/>
  <c r="E259" i="10"/>
  <c r="E258" i="10"/>
  <c r="E257" i="10"/>
  <c r="E252" i="10"/>
  <c r="E251" i="10"/>
  <c r="E250" i="10"/>
  <c r="E249" i="10"/>
  <c r="E248" i="10"/>
  <c r="E247" i="10"/>
  <c r="E246" i="10"/>
  <c r="E241" i="10"/>
  <c r="E240" i="10"/>
  <c r="E239" i="10"/>
  <c r="E238" i="10"/>
  <c r="E237" i="10"/>
  <c r="E236" i="10"/>
  <c r="E235" i="10"/>
  <c r="E230" i="10"/>
  <c r="E229" i="10"/>
  <c r="E228" i="10"/>
  <c r="E227" i="10"/>
  <c r="E226" i="10"/>
  <c r="E225" i="10"/>
  <c r="E224" i="10"/>
  <c r="E219" i="10"/>
  <c r="E218" i="10"/>
  <c r="E217" i="10"/>
  <c r="E216" i="10"/>
  <c r="E215" i="10"/>
  <c r="E214" i="10"/>
  <c r="E213" i="10"/>
  <c r="E208" i="10"/>
  <c r="E207" i="10"/>
  <c r="E206" i="10"/>
  <c r="E205" i="10"/>
  <c r="E204" i="10"/>
  <c r="E203" i="10"/>
  <c r="E202" i="10"/>
  <c r="E197" i="10"/>
  <c r="E196" i="10"/>
  <c r="E195" i="10"/>
  <c r="E194" i="10"/>
  <c r="E193" i="10"/>
  <c r="E192" i="10"/>
  <c r="E191" i="10"/>
  <c r="E186" i="10"/>
  <c r="E185" i="10"/>
  <c r="E184" i="10"/>
  <c r="E183" i="10"/>
  <c r="E182" i="10"/>
  <c r="E181" i="10"/>
  <c r="E180" i="10"/>
  <c r="E175" i="10"/>
  <c r="E174" i="10"/>
  <c r="E173" i="10"/>
  <c r="E172" i="10"/>
  <c r="E171" i="10"/>
  <c r="E170" i="10"/>
  <c r="E169" i="10"/>
  <c r="E164" i="10"/>
  <c r="E163" i="10"/>
  <c r="E162" i="10"/>
  <c r="E161" i="10"/>
  <c r="E160" i="10"/>
  <c r="E159" i="10"/>
  <c r="E158" i="10"/>
  <c r="E153" i="10"/>
  <c r="E152" i="10"/>
  <c r="E151" i="10"/>
  <c r="E150" i="10"/>
  <c r="E149" i="10"/>
  <c r="E148" i="10"/>
  <c r="E147" i="10"/>
  <c r="E142" i="10"/>
  <c r="E141" i="10"/>
  <c r="E140" i="10"/>
  <c r="E139" i="10"/>
  <c r="E138" i="10"/>
  <c r="E137" i="10"/>
  <c r="E136" i="10"/>
  <c r="E131" i="10"/>
  <c r="E130" i="10"/>
  <c r="E129" i="10"/>
  <c r="E128" i="10"/>
  <c r="E127" i="10"/>
  <c r="E126" i="10"/>
  <c r="E125" i="10"/>
  <c r="E120" i="10"/>
  <c r="E119" i="10"/>
  <c r="E118" i="10"/>
  <c r="E117" i="10"/>
  <c r="E116" i="10"/>
  <c r="E115" i="10"/>
  <c r="E114" i="10"/>
  <c r="E109" i="10"/>
  <c r="E108" i="10"/>
  <c r="E107" i="10"/>
  <c r="E106" i="10"/>
  <c r="E105" i="10"/>
  <c r="E104" i="10"/>
  <c r="E103" i="10"/>
  <c r="E98" i="10"/>
  <c r="E97" i="10"/>
  <c r="E96" i="10"/>
  <c r="E95" i="10"/>
  <c r="E94" i="10"/>
  <c r="E93" i="10"/>
  <c r="E92" i="10"/>
  <c r="E87" i="10"/>
  <c r="E86" i="10"/>
  <c r="E85" i="10"/>
  <c r="E84" i="10"/>
  <c r="E83" i="10"/>
  <c r="E82" i="10"/>
  <c r="E81" i="10"/>
  <c r="E76" i="10"/>
  <c r="E75" i="10"/>
  <c r="E74" i="10"/>
  <c r="E73" i="10"/>
  <c r="E72" i="10"/>
  <c r="E71" i="10"/>
  <c r="E70" i="10"/>
  <c r="E65" i="10"/>
  <c r="E64" i="10"/>
  <c r="E63" i="10"/>
  <c r="E62" i="10"/>
  <c r="E61" i="10"/>
  <c r="E60" i="10"/>
  <c r="E59" i="10"/>
  <c r="E54" i="10"/>
  <c r="E53" i="10"/>
  <c r="E52" i="10"/>
  <c r="E51" i="10"/>
  <c r="E50" i="10"/>
  <c r="E49" i="10"/>
  <c r="E48" i="10"/>
  <c r="E43" i="10"/>
  <c r="E42" i="10"/>
  <c r="E41" i="10"/>
  <c r="E40" i="10"/>
  <c r="E39" i="10"/>
  <c r="E38" i="10"/>
  <c r="E37" i="10"/>
  <c r="E32" i="10"/>
  <c r="E31" i="10"/>
  <c r="E30" i="10"/>
  <c r="E29" i="10"/>
  <c r="E28" i="10"/>
  <c r="E27" i="10"/>
  <c r="E26" i="10"/>
  <c r="E21" i="10"/>
  <c r="E20" i="10"/>
  <c r="E19" i="10"/>
  <c r="E18" i="10"/>
  <c r="E17" i="10"/>
  <c r="E16" i="10"/>
  <c r="E15" i="10"/>
  <c r="E10" i="10"/>
  <c r="E9" i="10"/>
  <c r="E8" i="10"/>
  <c r="E7" i="10"/>
  <c r="E6" i="10"/>
  <c r="E5" i="10"/>
  <c r="E4" i="10"/>
  <c r="E263" i="9"/>
  <c r="E262" i="9"/>
  <c r="E261" i="9"/>
  <c r="E260" i="9"/>
  <c r="E259" i="9"/>
  <c r="E258" i="9"/>
  <c r="E257" i="9"/>
  <c r="E252" i="9"/>
  <c r="E251" i="9"/>
  <c r="E250" i="9"/>
  <c r="E249" i="9"/>
  <c r="E248" i="9"/>
  <c r="E247" i="9"/>
  <c r="E246" i="9"/>
  <c r="E241" i="9"/>
  <c r="E240" i="9"/>
  <c r="E239" i="9"/>
  <c r="E238" i="9"/>
  <c r="E237" i="9"/>
  <c r="E236" i="9"/>
  <c r="E235" i="9"/>
  <c r="E230" i="9"/>
  <c r="E229" i="9"/>
  <c r="E228" i="9"/>
  <c r="E227" i="9"/>
  <c r="E226" i="9"/>
  <c r="E225" i="9"/>
  <c r="E224" i="9"/>
  <c r="E219" i="9"/>
  <c r="E218" i="9"/>
  <c r="E217" i="9"/>
  <c r="E216" i="9"/>
  <c r="E215" i="9"/>
  <c r="E214" i="9"/>
  <c r="E213" i="9"/>
  <c r="E208" i="9"/>
  <c r="E207" i="9"/>
  <c r="E206" i="9"/>
  <c r="E205" i="9"/>
  <c r="E204" i="9"/>
  <c r="E203" i="9"/>
  <c r="E202" i="9"/>
  <c r="E197" i="9"/>
  <c r="E196" i="9"/>
  <c r="E195" i="9"/>
  <c r="E194" i="9"/>
  <c r="E193" i="9"/>
  <c r="E192" i="9"/>
  <c r="E191" i="9"/>
  <c r="E186" i="9"/>
  <c r="E185" i="9"/>
  <c r="E184" i="9"/>
  <c r="E183" i="9"/>
  <c r="E182" i="9"/>
  <c r="E181" i="9"/>
  <c r="E180" i="9"/>
  <c r="E175" i="9"/>
  <c r="E174" i="9"/>
  <c r="E173" i="9"/>
  <c r="E172" i="9"/>
  <c r="E171" i="9"/>
  <c r="E170" i="9"/>
  <c r="E169" i="9"/>
  <c r="E164" i="9"/>
  <c r="E163" i="9"/>
  <c r="E162" i="9"/>
  <c r="E161" i="9"/>
  <c r="E160" i="9"/>
  <c r="E159" i="9"/>
  <c r="E158" i="9"/>
  <c r="E153" i="9"/>
  <c r="E152" i="9"/>
  <c r="E151" i="9"/>
  <c r="E150" i="9"/>
  <c r="E149" i="9"/>
  <c r="E148" i="9"/>
  <c r="E147" i="9"/>
  <c r="E142" i="9"/>
  <c r="E141" i="9"/>
  <c r="E140" i="9"/>
  <c r="E139" i="9"/>
  <c r="E138" i="9"/>
  <c r="E137" i="9"/>
  <c r="E136" i="9"/>
  <c r="E131" i="9"/>
  <c r="E130" i="9"/>
  <c r="E129" i="9"/>
  <c r="E128" i="9"/>
  <c r="E127" i="9"/>
  <c r="E126" i="9"/>
  <c r="E125" i="9"/>
  <c r="E120" i="9"/>
  <c r="E119" i="9"/>
  <c r="E118" i="9"/>
  <c r="E117" i="9"/>
  <c r="E116" i="9"/>
  <c r="E115" i="9"/>
  <c r="E114" i="9"/>
  <c r="E109" i="9"/>
  <c r="E108" i="9"/>
  <c r="E107" i="9"/>
  <c r="E106" i="9"/>
  <c r="E105" i="9"/>
  <c r="E104" i="9"/>
  <c r="E103" i="9"/>
  <c r="E98" i="9"/>
  <c r="E97" i="9"/>
  <c r="E96" i="9"/>
  <c r="E95" i="9"/>
  <c r="E94" i="9"/>
  <c r="E93" i="9"/>
  <c r="E92" i="9"/>
  <c r="E87" i="9"/>
  <c r="E86" i="9"/>
  <c r="E85" i="9"/>
  <c r="E84" i="9"/>
  <c r="E83" i="9"/>
  <c r="E82" i="9"/>
  <c r="E81" i="9"/>
  <c r="E76" i="9"/>
  <c r="E75" i="9"/>
  <c r="E74" i="9"/>
  <c r="E73" i="9"/>
  <c r="E72" i="9"/>
  <c r="E71" i="9"/>
  <c r="E70" i="9"/>
  <c r="E65" i="9"/>
  <c r="E64" i="9"/>
  <c r="E63" i="9"/>
  <c r="E62" i="9"/>
  <c r="E61" i="9"/>
  <c r="E60" i="9"/>
  <c r="E59" i="9"/>
  <c r="E54" i="9"/>
  <c r="E53" i="9"/>
  <c r="E52" i="9"/>
  <c r="E51" i="9"/>
  <c r="E50" i="9"/>
  <c r="E49" i="9"/>
  <c r="E48" i="9"/>
  <c r="E43" i="9"/>
  <c r="E42" i="9"/>
  <c r="E41" i="9"/>
  <c r="E40" i="9"/>
  <c r="E39" i="9"/>
  <c r="E38" i="9"/>
  <c r="E37" i="9"/>
  <c r="E32" i="9"/>
  <c r="E31" i="9"/>
  <c r="E30" i="9"/>
  <c r="E29" i="9"/>
  <c r="E28" i="9"/>
  <c r="E27" i="9"/>
  <c r="E26" i="9"/>
  <c r="E21" i="9"/>
  <c r="E20" i="9"/>
  <c r="E19" i="9"/>
  <c r="E18" i="9"/>
  <c r="E17" i="9"/>
  <c r="E16" i="9"/>
  <c r="E15" i="9"/>
  <c r="E10" i="9"/>
  <c r="E9" i="9"/>
  <c r="E8" i="9"/>
  <c r="E7" i="9"/>
  <c r="E6" i="9"/>
  <c r="E5" i="9"/>
  <c r="E4" i="9"/>
  <c r="K4" i="9" s="1"/>
  <c r="H26" i="10" l="1"/>
  <c r="K26" i="10"/>
  <c r="H126" i="10"/>
  <c r="K126" i="10"/>
  <c r="H98" i="10"/>
  <c r="K98" i="10"/>
  <c r="H114" i="10"/>
  <c r="K114" i="10"/>
  <c r="H139" i="10"/>
  <c r="K139" i="10"/>
  <c r="H164" i="10"/>
  <c r="K164" i="10"/>
  <c r="H181" i="10"/>
  <c r="K181" i="10"/>
  <c r="H194" i="10"/>
  <c r="K194" i="10"/>
  <c r="H6" i="10"/>
  <c r="K6" i="10"/>
  <c r="H237" i="10"/>
  <c r="K237" i="10"/>
  <c r="H19" i="10"/>
  <c r="K19" i="10"/>
  <c r="H48" i="10"/>
  <c r="K48" i="10"/>
  <c r="H61" i="10"/>
  <c r="K61" i="10"/>
  <c r="H86" i="10"/>
  <c r="K86" i="10"/>
  <c r="H127" i="10"/>
  <c r="K127" i="10"/>
  <c r="H152" i="10"/>
  <c r="K152" i="10"/>
  <c r="H182" i="10"/>
  <c r="K182" i="10"/>
  <c r="H207" i="10"/>
  <c r="K207" i="10"/>
  <c r="H224" i="10"/>
  <c r="K224" i="10"/>
  <c r="H238" i="10"/>
  <c r="K238" i="10"/>
  <c r="H251" i="10"/>
  <c r="K251" i="10"/>
  <c r="H219" i="10"/>
  <c r="K219" i="10"/>
  <c r="H74" i="10"/>
  <c r="K74" i="10"/>
  <c r="H103" i="10"/>
  <c r="K103" i="10"/>
  <c r="H115" i="10"/>
  <c r="K115" i="10"/>
  <c r="H140" i="10"/>
  <c r="K140" i="10"/>
  <c r="H169" i="10"/>
  <c r="K169" i="10"/>
  <c r="H195" i="10"/>
  <c r="K195" i="10"/>
  <c r="H225" i="10"/>
  <c r="K225" i="10"/>
  <c r="H206" i="10"/>
  <c r="K206" i="10"/>
  <c r="H62" i="10"/>
  <c r="K62" i="10"/>
  <c r="H87" i="10"/>
  <c r="K87" i="10"/>
  <c r="H128" i="10"/>
  <c r="K128" i="10"/>
  <c r="H153" i="10"/>
  <c r="K153" i="10"/>
  <c r="H170" i="10"/>
  <c r="K170" i="10"/>
  <c r="H183" i="10"/>
  <c r="K183" i="10"/>
  <c r="H208" i="10"/>
  <c r="K208" i="10"/>
  <c r="H226" i="10"/>
  <c r="K226" i="10"/>
  <c r="H239" i="10"/>
  <c r="K239" i="10"/>
  <c r="H252" i="10"/>
  <c r="K252" i="10"/>
  <c r="H73" i="10"/>
  <c r="K73" i="10"/>
  <c r="H104" i="10"/>
  <c r="K104" i="10"/>
  <c r="H116" i="10"/>
  <c r="K116" i="10"/>
  <c r="H141" i="10"/>
  <c r="K141" i="10"/>
  <c r="H196" i="10"/>
  <c r="K196" i="10"/>
  <c r="H85" i="10"/>
  <c r="K85" i="10"/>
  <c r="H92" i="10"/>
  <c r="K92" i="10"/>
  <c r="H129" i="10"/>
  <c r="K129" i="10"/>
  <c r="H158" i="10"/>
  <c r="K158" i="10"/>
  <c r="H171" i="10"/>
  <c r="K171" i="10"/>
  <c r="H184" i="10"/>
  <c r="K184" i="10"/>
  <c r="H213" i="10"/>
  <c r="K213" i="10"/>
  <c r="H227" i="10"/>
  <c r="K227" i="10"/>
  <c r="H240" i="10"/>
  <c r="K240" i="10"/>
  <c r="H257" i="10"/>
  <c r="K257" i="10"/>
  <c r="H180" i="10"/>
  <c r="K180" i="10"/>
  <c r="H49" i="10"/>
  <c r="K49" i="10"/>
  <c r="H51" i="10"/>
  <c r="K51" i="10"/>
  <c r="H76" i="10"/>
  <c r="K76" i="10"/>
  <c r="H93" i="10"/>
  <c r="K93" i="10"/>
  <c r="H105" i="10"/>
  <c r="K105" i="10"/>
  <c r="H117" i="10"/>
  <c r="K117" i="10"/>
  <c r="H142" i="10"/>
  <c r="K142" i="10"/>
  <c r="H159" i="10"/>
  <c r="K159" i="10"/>
  <c r="H197" i="10"/>
  <c r="K197" i="10"/>
  <c r="H214" i="10"/>
  <c r="K214" i="10"/>
  <c r="H258" i="10"/>
  <c r="K258" i="10"/>
  <c r="H151" i="10"/>
  <c r="K151" i="10"/>
  <c r="H32" i="10"/>
  <c r="K32" i="10"/>
  <c r="H37" i="10"/>
  <c r="K37" i="10"/>
  <c r="H38" i="10"/>
  <c r="K38" i="10"/>
  <c r="H10" i="10"/>
  <c r="K10" i="10"/>
  <c r="H39" i="10"/>
  <c r="K39" i="10"/>
  <c r="H64" i="10"/>
  <c r="K64" i="10"/>
  <c r="H130" i="10"/>
  <c r="K130" i="10"/>
  <c r="H172" i="10"/>
  <c r="K172" i="10"/>
  <c r="H185" i="10"/>
  <c r="K185" i="10"/>
  <c r="H215" i="10"/>
  <c r="K215" i="10"/>
  <c r="H228" i="10"/>
  <c r="K228" i="10"/>
  <c r="H241" i="10"/>
  <c r="K241" i="10"/>
  <c r="H259" i="10"/>
  <c r="K259" i="10"/>
  <c r="H20" i="10"/>
  <c r="K20" i="10"/>
  <c r="H21" i="10"/>
  <c r="K21" i="10"/>
  <c r="H63" i="10"/>
  <c r="K63" i="10"/>
  <c r="H27" i="10"/>
  <c r="K27" i="10"/>
  <c r="H52" i="10"/>
  <c r="K52" i="10"/>
  <c r="H81" i="10"/>
  <c r="K81" i="10"/>
  <c r="H94" i="10"/>
  <c r="K94" i="10"/>
  <c r="H106" i="10"/>
  <c r="K106" i="10"/>
  <c r="H118" i="10"/>
  <c r="K118" i="10"/>
  <c r="H147" i="10"/>
  <c r="K147" i="10"/>
  <c r="H160" i="10"/>
  <c r="K160" i="10"/>
  <c r="H202" i="10"/>
  <c r="K202" i="10"/>
  <c r="H260" i="10"/>
  <c r="K260" i="10"/>
  <c r="H60" i="10"/>
  <c r="K60" i="10"/>
  <c r="H31" i="10"/>
  <c r="K31" i="10"/>
  <c r="H82" i="10"/>
  <c r="K82" i="10"/>
  <c r="H131" i="10"/>
  <c r="K131" i="10"/>
  <c r="H148" i="10"/>
  <c r="K148" i="10"/>
  <c r="H173" i="10"/>
  <c r="K173" i="10"/>
  <c r="H186" i="10"/>
  <c r="K186" i="10"/>
  <c r="H203" i="10"/>
  <c r="K203" i="10"/>
  <c r="H216" i="10"/>
  <c r="K216" i="10"/>
  <c r="H229" i="10"/>
  <c r="K229" i="10"/>
  <c r="H246" i="10"/>
  <c r="K246" i="10"/>
  <c r="H261" i="10"/>
  <c r="K261" i="10"/>
  <c r="H50" i="10"/>
  <c r="K50" i="10"/>
  <c r="H15" i="10"/>
  <c r="K15" i="10"/>
  <c r="H28" i="10"/>
  <c r="K28" i="10"/>
  <c r="H53" i="10"/>
  <c r="K53" i="10"/>
  <c r="H95" i="10"/>
  <c r="K95" i="10"/>
  <c r="H107" i="10"/>
  <c r="K107" i="10"/>
  <c r="H119" i="10"/>
  <c r="K119" i="10"/>
  <c r="H161" i="10"/>
  <c r="K161" i="10"/>
  <c r="H247" i="10"/>
  <c r="K247" i="10"/>
  <c r="H75" i="10"/>
  <c r="K75" i="10"/>
  <c r="H40" i="10"/>
  <c r="K40" i="10"/>
  <c r="H41" i="10"/>
  <c r="K41" i="10"/>
  <c r="H70" i="10"/>
  <c r="K70" i="10"/>
  <c r="H83" i="10"/>
  <c r="K83" i="10"/>
  <c r="H136" i="10"/>
  <c r="K136" i="10"/>
  <c r="H149" i="10"/>
  <c r="K149" i="10"/>
  <c r="H174" i="10"/>
  <c r="K174" i="10"/>
  <c r="H191" i="10"/>
  <c r="K191" i="10"/>
  <c r="H204" i="10"/>
  <c r="K204" i="10"/>
  <c r="H217" i="10"/>
  <c r="K217" i="10"/>
  <c r="H230" i="10"/>
  <c r="K230" i="10"/>
  <c r="H248" i="10"/>
  <c r="K248" i="10"/>
  <c r="H262" i="10"/>
  <c r="K262" i="10"/>
  <c r="H8" i="10"/>
  <c r="K8" i="10"/>
  <c r="H16" i="10"/>
  <c r="K16" i="10"/>
  <c r="H4" i="10"/>
  <c r="K4" i="10"/>
  <c r="H29" i="10"/>
  <c r="K29" i="10"/>
  <c r="H54" i="10"/>
  <c r="K54" i="10"/>
  <c r="H71" i="10"/>
  <c r="K71" i="10"/>
  <c r="H96" i="10"/>
  <c r="K96" i="10"/>
  <c r="H108" i="10"/>
  <c r="K108" i="10"/>
  <c r="H120" i="10"/>
  <c r="K120" i="10"/>
  <c r="H137" i="10"/>
  <c r="K137" i="10"/>
  <c r="H162" i="10"/>
  <c r="K162" i="10"/>
  <c r="H192" i="10"/>
  <c r="K192" i="10"/>
  <c r="H43" i="10"/>
  <c r="K43" i="10"/>
  <c r="H65" i="10"/>
  <c r="K65" i="10"/>
  <c r="H17" i="10"/>
  <c r="K17" i="10"/>
  <c r="H84" i="10"/>
  <c r="K84" i="10"/>
  <c r="H150" i="10"/>
  <c r="K150" i="10"/>
  <c r="H175" i="10"/>
  <c r="K175" i="10"/>
  <c r="H205" i="10"/>
  <c r="K205" i="10"/>
  <c r="H218" i="10"/>
  <c r="K218" i="10"/>
  <c r="H235" i="10"/>
  <c r="K235" i="10"/>
  <c r="H249" i="10"/>
  <c r="K249" i="10"/>
  <c r="H263" i="10"/>
  <c r="K263" i="10"/>
  <c r="H18" i="10"/>
  <c r="K18" i="10"/>
  <c r="H250" i="10"/>
  <c r="K250" i="10"/>
  <c r="H7" i="10"/>
  <c r="K7" i="10"/>
  <c r="H9" i="10"/>
  <c r="K9" i="10"/>
  <c r="H5" i="10"/>
  <c r="K5" i="10"/>
  <c r="H42" i="10"/>
  <c r="K42" i="10"/>
  <c r="H30" i="10"/>
  <c r="K30" i="10"/>
  <c r="H59" i="10"/>
  <c r="K59" i="10"/>
  <c r="H72" i="10"/>
  <c r="K72" i="10"/>
  <c r="H97" i="10"/>
  <c r="K97" i="10"/>
  <c r="H109" i="10"/>
  <c r="K109" i="10"/>
  <c r="H125" i="10"/>
  <c r="K125" i="10"/>
  <c r="H138" i="10"/>
  <c r="K138" i="10"/>
  <c r="H163" i="10"/>
  <c r="K163" i="10"/>
  <c r="H193" i="10"/>
  <c r="K193" i="10"/>
  <c r="H236" i="10"/>
  <c r="K236" i="10"/>
  <c r="H53" i="9"/>
  <c r="K53" i="9"/>
  <c r="H16" i="9"/>
  <c r="K16" i="9"/>
  <c r="H70" i="9"/>
  <c r="K70" i="9"/>
  <c r="H83" i="9"/>
  <c r="K83" i="9"/>
  <c r="H96" i="9"/>
  <c r="K96" i="9"/>
  <c r="H109" i="9"/>
  <c r="K109" i="9"/>
  <c r="H127" i="9"/>
  <c r="K127" i="9"/>
  <c r="H140" i="9"/>
  <c r="K140" i="9"/>
  <c r="H170" i="9"/>
  <c r="K170" i="9"/>
  <c r="H183" i="9"/>
  <c r="K183" i="9"/>
  <c r="H226" i="9"/>
  <c r="K226" i="9"/>
  <c r="H239" i="9"/>
  <c r="K239" i="9"/>
  <c r="H252" i="9"/>
  <c r="K252" i="9"/>
  <c r="H15" i="9"/>
  <c r="K15" i="9"/>
  <c r="H208" i="9"/>
  <c r="K208" i="9"/>
  <c r="H41" i="9"/>
  <c r="K41" i="9"/>
  <c r="H29" i="9"/>
  <c r="K29" i="9"/>
  <c r="H54" i="9"/>
  <c r="K54" i="9"/>
  <c r="H71" i="9"/>
  <c r="K71" i="9"/>
  <c r="H153" i="9"/>
  <c r="K153" i="9"/>
  <c r="H196" i="9"/>
  <c r="K196" i="9"/>
  <c r="H213" i="9"/>
  <c r="K213" i="9"/>
  <c r="H114" i="9"/>
  <c r="K114" i="9"/>
  <c r="H141" i="9"/>
  <c r="K141" i="9"/>
  <c r="H171" i="9"/>
  <c r="K171" i="9"/>
  <c r="H184" i="9"/>
  <c r="K184" i="9"/>
  <c r="H214" i="9"/>
  <c r="K214" i="9"/>
  <c r="H227" i="9"/>
  <c r="K227" i="9"/>
  <c r="H240" i="9"/>
  <c r="K240" i="9"/>
  <c r="H257" i="9"/>
  <c r="K257" i="9"/>
  <c r="H5" i="9"/>
  <c r="K5" i="9"/>
  <c r="H158" i="9"/>
  <c r="K158" i="9"/>
  <c r="H197" i="9"/>
  <c r="K197" i="9"/>
  <c r="H258" i="9"/>
  <c r="K258" i="9"/>
  <c r="H128" i="9"/>
  <c r="K128" i="9"/>
  <c r="H43" i="9"/>
  <c r="K43" i="9"/>
  <c r="H185" i="9"/>
  <c r="K185" i="9"/>
  <c r="H215" i="9"/>
  <c r="K215" i="9"/>
  <c r="H228" i="9"/>
  <c r="K228" i="9"/>
  <c r="H241" i="9"/>
  <c r="K241" i="9"/>
  <c r="H259" i="9"/>
  <c r="K259" i="9"/>
  <c r="H17" i="9"/>
  <c r="K17" i="9"/>
  <c r="H6" i="9"/>
  <c r="K6" i="9"/>
  <c r="H73" i="9"/>
  <c r="K73" i="9"/>
  <c r="H160" i="9"/>
  <c r="K160" i="9"/>
  <c r="H202" i="9"/>
  <c r="K202" i="9"/>
  <c r="H260" i="9"/>
  <c r="K260" i="9"/>
  <c r="H84" i="9"/>
  <c r="K84" i="9"/>
  <c r="H116" i="9"/>
  <c r="K116" i="9"/>
  <c r="H117" i="9"/>
  <c r="K117" i="9"/>
  <c r="H130" i="9"/>
  <c r="K130" i="9"/>
  <c r="H147" i="9"/>
  <c r="K147" i="9"/>
  <c r="H173" i="9"/>
  <c r="K173" i="9"/>
  <c r="H186" i="9"/>
  <c r="K186" i="9"/>
  <c r="H203" i="9"/>
  <c r="K203" i="9"/>
  <c r="H216" i="9"/>
  <c r="K216" i="9"/>
  <c r="H229" i="9"/>
  <c r="K229" i="9"/>
  <c r="H246" i="9"/>
  <c r="K246" i="9"/>
  <c r="H261" i="9"/>
  <c r="K261" i="9"/>
  <c r="H152" i="9"/>
  <c r="K152" i="9"/>
  <c r="H97" i="9"/>
  <c r="K97" i="9"/>
  <c r="H129" i="9"/>
  <c r="K129" i="9"/>
  <c r="H19" i="9"/>
  <c r="K19" i="9"/>
  <c r="H49" i="9"/>
  <c r="K49" i="9"/>
  <c r="H74" i="9"/>
  <c r="K74" i="9"/>
  <c r="H104" i="9"/>
  <c r="K104" i="9"/>
  <c r="H148" i="9"/>
  <c r="K148" i="9"/>
  <c r="H161" i="9"/>
  <c r="K161" i="9"/>
  <c r="H204" i="9"/>
  <c r="K204" i="9"/>
  <c r="H247" i="9"/>
  <c r="K247" i="9"/>
  <c r="H159" i="9"/>
  <c r="K159" i="9"/>
  <c r="H61" i="9"/>
  <c r="K61" i="9"/>
  <c r="H32" i="9"/>
  <c r="K32" i="9"/>
  <c r="H20" i="9"/>
  <c r="K20" i="9"/>
  <c r="H62" i="9"/>
  <c r="K62" i="9"/>
  <c r="H87" i="9"/>
  <c r="K87" i="9"/>
  <c r="H105" i="9"/>
  <c r="K105" i="9"/>
  <c r="H118" i="9"/>
  <c r="K118" i="9"/>
  <c r="H131" i="9"/>
  <c r="K131" i="9"/>
  <c r="H174" i="9"/>
  <c r="K174" i="9"/>
  <c r="H191" i="9"/>
  <c r="K191" i="9"/>
  <c r="H217" i="9"/>
  <c r="K217" i="9"/>
  <c r="H230" i="9"/>
  <c r="K230" i="9"/>
  <c r="H248" i="9"/>
  <c r="K248" i="9"/>
  <c r="H262" i="9"/>
  <c r="K262" i="9"/>
  <c r="H28" i="9"/>
  <c r="K28" i="9"/>
  <c r="H169" i="9"/>
  <c r="K169" i="9"/>
  <c r="H72" i="9"/>
  <c r="K72" i="9"/>
  <c r="H60" i="9"/>
  <c r="K60" i="9"/>
  <c r="H103" i="9"/>
  <c r="K103" i="9"/>
  <c r="H8" i="9"/>
  <c r="K8" i="9"/>
  <c r="H37" i="9"/>
  <c r="K37" i="9"/>
  <c r="H50" i="9"/>
  <c r="K50" i="9"/>
  <c r="H75" i="9"/>
  <c r="K75" i="9"/>
  <c r="H149" i="9"/>
  <c r="K149" i="9"/>
  <c r="H162" i="9"/>
  <c r="K162" i="9"/>
  <c r="H192" i="9"/>
  <c r="K192" i="9"/>
  <c r="H205" i="9"/>
  <c r="K205" i="9"/>
  <c r="H195" i="9"/>
  <c r="K195" i="9"/>
  <c r="H85" i="9"/>
  <c r="K85" i="9"/>
  <c r="H86" i="9"/>
  <c r="K86" i="9"/>
  <c r="H38" i="9"/>
  <c r="K38" i="9"/>
  <c r="H63" i="9"/>
  <c r="K63" i="9"/>
  <c r="H92" i="9"/>
  <c r="K92" i="9"/>
  <c r="H106" i="9"/>
  <c r="K106" i="9"/>
  <c r="H119" i="9"/>
  <c r="K119" i="9"/>
  <c r="H136" i="9"/>
  <c r="K136" i="9"/>
  <c r="H175" i="9"/>
  <c r="K175" i="9"/>
  <c r="H218" i="9"/>
  <c r="K218" i="9"/>
  <c r="H235" i="9"/>
  <c r="K235" i="9"/>
  <c r="H249" i="9"/>
  <c r="K249" i="9"/>
  <c r="H263" i="9"/>
  <c r="K263" i="9"/>
  <c r="H4" i="9"/>
  <c r="H115" i="9"/>
  <c r="K115" i="9"/>
  <c r="H98" i="9"/>
  <c r="K98" i="9"/>
  <c r="H21" i="9"/>
  <c r="K21" i="9"/>
  <c r="H93" i="9"/>
  <c r="K93" i="9"/>
  <c r="H137" i="9"/>
  <c r="K137" i="9"/>
  <c r="H150" i="9"/>
  <c r="K150" i="9"/>
  <c r="H163" i="9"/>
  <c r="K163" i="9"/>
  <c r="H193" i="9"/>
  <c r="K193" i="9"/>
  <c r="H206" i="9"/>
  <c r="K206" i="9"/>
  <c r="H236" i="9"/>
  <c r="K236" i="9"/>
  <c r="H42" i="9"/>
  <c r="K42" i="9"/>
  <c r="H142" i="9"/>
  <c r="K142" i="9"/>
  <c r="H48" i="9"/>
  <c r="K48" i="9"/>
  <c r="H9" i="9"/>
  <c r="K9" i="9"/>
  <c r="H26" i="9"/>
  <c r="K26" i="9"/>
  <c r="H64" i="9"/>
  <c r="K64" i="9"/>
  <c r="H94" i="9"/>
  <c r="K94" i="9"/>
  <c r="H107" i="9"/>
  <c r="K107" i="9"/>
  <c r="H120" i="9"/>
  <c r="K120" i="9"/>
  <c r="H138" i="9"/>
  <c r="K138" i="9"/>
  <c r="H180" i="9"/>
  <c r="K180" i="9"/>
  <c r="H219" i="9"/>
  <c r="K219" i="9"/>
  <c r="H237" i="9"/>
  <c r="K237" i="9"/>
  <c r="H250" i="9"/>
  <c r="K250" i="9"/>
  <c r="H126" i="9"/>
  <c r="K126" i="9"/>
  <c r="H59" i="9"/>
  <c r="K59" i="9"/>
  <c r="H172" i="9"/>
  <c r="K172" i="9"/>
  <c r="H7" i="9"/>
  <c r="K7" i="9"/>
  <c r="H51" i="9"/>
  <c r="K51" i="9"/>
  <c r="H10" i="9"/>
  <c r="K10" i="9"/>
  <c r="H52" i="9"/>
  <c r="K52" i="9"/>
  <c r="H81" i="9"/>
  <c r="K81" i="9"/>
  <c r="H151" i="9"/>
  <c r="K151" i="9"/>
  <c r="H164" i="9"/>
  <c r="K164" i="9"/>
  <c r="H181" i="9"/>
  <c r="K181" i="9"/>
  <c r="H194" i="9"/>
  <c r="K194" i="9"/>
  <c r="H207" i="9"/>
  <c r="K207" i="9"/>
  <c r="H225" i="9"/>
  <c r="K225" i="9"/>
  <c r="H30" i="9"/>
  <c r="K30" i="9"/>
  <c r="H18" i="9"/>
  <c r="K18" i="9"/>
  <c r="H31" i="9"/>
  <c r="K31" i="9"/>
  <c r="H76" i="9"/>
  <c r="K76" i="9"/>
  <c r="H39" i="9"/>
  <c r="K39" i="9"/>
  <c r="H27" i="9"/>
  <c r="K27" i="9"/>
  <c r="H40" i="9"/>
  <c r="K40" i="9"/>
  <c r="H65" i="9"/>
  <c r="K65" i="9"/>
  <c r="H82" i="9"/>
  <c r="K82" i="9"/>
  <c r="H95" i="9"/>
  <c r="K95" i="9"/>
  <c r="H108" i="9"/>
  <c r="K108" i="9"/>
  <c r="H125" i="9"/>
  <c r="K125" i="9"/>
  <c r="H139" i="9"/>
  <c r="K139" i="9"/>
  <c r="H182" i="9"/>
  <c r="K182" i="9"/>
  <c r="H224" i="9"/>
  <c r="K224" i="9"/>
  <c r="H238" i="9"/>
  <c r="K238" i="9"/>
  <c r="H251" i="9"/>
  <c r="K251" i="9"/>
  <c r="E263" i="5"/>
  <c r="E262" i="5"/>
  <c r="E261" i="5"/>
  <c r="E260" i="5"/>
  <c r="E259" i="5"/>
  <c r="E258" i="5"/>
  <c r="E257" i="5"/>
  <c r="E252" i="5"/>
  <c r="E251" i="5"/>
  <c r="E250" i="5"/>
  <c r="E249" i="5"/>
  <c r="E248" i="5"/>
  <c r="E247" i="5"/>
  <c r="E246" i="5"/>
  <c r="E241" i="5"/>
  <c r="E240" i="5"/>
  <c r="E239" i="5"/>
  <c r="E238" i="5"/>
  <c r="E237" i="5"/>
  <c r="E236" i="5"/>
  <c r="E235" i="5"/>
  <c r="E230" i="5"/>
  <c r="E229" i="5"/>
  <c r="E228" i="5"/>
  <c r="E227" i="5"/>
  <c r="E226" i="5"/>
  <c r="E225" i="5"/>
  <c r="E224" i="5"/>
  <c r="E219" i="5"/>
  <c r="E218" i="5"/>
  <c r="E217" i="5"/>
  <c r="E216" i="5"/>
  <c r="E215" i="5"/>
  <c r="E214" i="5"/>
  <c r="E213" i="5"/>
  <c r="E208" i="5"/>
  <c r="E207" i="5"/>
  <c r="E206" i="5"/>
  <c r="E205" i="5"/>
  <c r="E204" i="5"/>
  <c r="E203" i="5"/>
  <c r="E202" i="5"/>
  <c r="E197" i="5"/>
  <c r="E196" i="5"/>
  <c r="E195" i="5"/>
  <c r="E194" i="5"/>
  <c r="E193" i="5"/>
  <c r="E192" i="5"/>
  <c r="E191" i="5"/>
  <c r="E186" i="5"/>
  <c r="E185" i="5"/>
  <c r="E184" i="5"/>
  <c r="E183" i="5"/>
  <c r="E182" i="5"/>
  <c r="E181" i="5"/>
  <c r="E180" i="5"/>
  <c r="E175" i="5"/>
  <c r="E174" i="5"/>
  <c r="E173" i="5"/>
  <c r="E172" i="5"/>
  <c r="E171" i="5"/>
  <c r="E170" i="5"/>
  <c r="E169" i="5"/>
  <c r="E164" i="5"/>
  <c r="E163" i="5"/>
  <c r="E162" i="5"/>
  <c r="E161" i="5"/>
  <c r="E160" i="5"/>
  <c r="E159" i="5"/>
  <c r="E158" i="5"/>
  <c r="E153" i="5"/>
  <c r="E152" i="5"/>
  <c r="E151" i="5"/>
  <c r="E150" i="5"/>
  <c r="E149" i="5"/>
  <c r="E148" i="5"/>
  <c r="E147" i="5"/>
  <c r="E142" i="5"/>
  <c r="E141" i="5"/>
  <c r="E140" i="5"/>
  <c r="E139" i="5"/>
  <c r="E138" i="5"/>
  <c r="E137" i="5"/>
  <c r="E136" i="5"/>
  <c r="E131" i="5"/>
  <c r="E130" i="5"/>
  <c r="E129" i="5"/>
  <c r="E128" i="5"/>
  <c r="E127" i="5"/>
  <c r="E126" i="5"/>
  <c r="E125" i="5"/>
  <c r="E120" i="5"/>
  <c r="E119" i="5"/>
  <c r="E118" i="5"/>
  <c r="E117" i="5"/>
  <c r="E116" i="5"/>
  <c r="E115" i="5"/>
  <c r="E114" i="5"/>
  <c r="E109" i="5"/>
  <c r="E108" i="5"/>
  <c r="E107" i="5"/>
  <c r="E106" i="5"/>
  <c r="E105" i="5"/>
  <c r="E104" i="5"/>
  <c r="E103" i="5"/>
  <c r="E98" i="5"/>
  <c r="K98" i="5" s="1"/>
  <c r="E97" i="5"/>
  <c r="E96" i="5"/>
  <c r="E95" i="5"/>
  <c r="E94" i="5"/>
  <c r="E93" i="5"/>
  <c r="E92" i="5"/>
  <c r="E87" i="5"/>
  <c r="E86" i="5"/>
  <c r="E85" i="5"/>
  <c r="E84" i="5"/>
  <c r="E83" i="5"/>
  <c r="E82" i="5"/>
  <c r="E81" i="5"/>
  <c r="E76" i="5"/>
  <c r="E75" i="5"/>
  <c r="E74" i="5"/>
  <c r="E73" i="5"/>
  <c r="E72" i="5"/>
  <c r="E71" i="5"/>
  <c r="E70" i="5"/>
  <c r="E65" i="5"/>
  <c r="E64" i="5"/>
  <c r="E63" i="5"/>
  <c r="E62" i="5"/>
  <c r="E61" i="5"/>
  <c r="E60" i="5"/>
  <c r="E59" i="5"/>
  <c r="E54" i="5"/>
  <c r="E53" i="5"/>
  <c r="E52" i="5"/>
  <c r="E51" i="5"/>
  <c r="E50" i="5"/>
  <c r="E49" i="5"/>
  <c r="E48" i="5"/>
  <c r="E43" i="5"/>
  <c r="E42" i="5"/>
  <c r="E41" i="5"/>
  <c r="E40" i="5"/>
  <c r="E39" i="5"/>
  <c r="E38" i="5"/>
  <c r="E37" i="5"/>
  <c r="E32" i="5"/>
  <c r="E31" i="5"/>
  <c r="E30" i="5"/>
  <c r="E29" i="5"/>
  <c r="E28" i="5"/>
  <c r="E27" i="5"/>
  <c r="E26" i="5"/>
  <c r="E21" i="5"/>
  <c r="E20" i="5"/>
  <c r="E19" i="5"/>
  <c r="E18" i="5"/>
  <c r="E17" i="5"/>
  <c r="E16" i="5"/>
  <c r="E15" i="5"/>
  <c r="E10" i="5"/>
  <c r="E9" i="5"/>
  <c r="E8" i="5"/>
  <c r="K8" i="5" s="1"/>
  <c r="E7" i="5"/>
  <c r="E6" i="5"/>
  <c r="E5" i="5"/>
  <c r="E4" i="5"/>
  <c r="H26" i="5" l="1"/>
  <c r="K26" i="5"/>
  <c r="H98" i="5"/>
  <c r="H250" i="5"/>
  <c r="K250" i="5"/>
  <c r="H39" i="5"/>
  <c r="K39" i="5"/>
  <c r="H64" i="5"/>
  <c r="K64" i="5"/>
  <c r="H118" i="5"/>
  <c r="K118" i="5"/>
  <c r="H147" i="5"/>
  <c r="K147" i="5"/>
  <c r="H172" i="5"/>
  <c r="K172" i="5"/>
  <c r="H197" i="5"/>
  <c r="K197" i="5"/>
  <c r="H214" i="5"/>
  <c r="K214" i="5"/>
  <c r="H263" i="5"/>
  <c r="K263" i="5"/>
  <c r="H213" i="5"/>
  <c r="K213" i="5"/>
  <c r="H10" i="5"/>
  <c r="K10" i="5"/>
  <c r="H27" i="5"/>
  <c r="K27" i="5"/>
  <c r="H52" i="5"/>
  <c r="K52" i="5"/>
  <c r="H81" i="5"/>
  <c r="K81" i="5"/>
  <c r="H94" i="5"/>
  <c r="K94" i="5"/>
  <c r="H106" i="5"/>
  <c r="K106" i="5"/>
  <c r="H131" i="5"/>
  <c r="K131" i="5"/>
  <c r="H160" i="5"/>
  <c r="K160" i="5"/>
  <c r="H185" i="5"/>
  <c r="K185" i="5"/>
  <c r="H227" i="5"/>
  <c r="K227" i="5"/>
  <c r="H239" i="5"/>
  <c r="K239" i="5"/>
  <c r="H251" i="5"/>
  <c r="K251" i="5"/>
  <c r="H76" i="5"/>
  <c r="K76" i="5"/>
  <c r="H40" i="5"/>
  <c r="K40" i="5"/>
  <c r="H65" i="5"/>
  <c r="K65" i="5"/>
  <c r="H82" i="5"/>
  <c r="K82" i="5"/>
  <c r="H119" i="5"/>
  <c r="K119" i="5"/>
  <c r="H148" i="5"/>
  <c r="K148" i="5"/>
  <c r="H173" i="5"/>
  <c r="K173" i="5"/>
  <c r="H202" i="5"/>
  <c r="K202" i="5"/>
  <c r="H215" i="5"/>
  <c r="K215" i="5"/>
  <c r="H15" i="5"/>
  <c r="K15" i="5"/>
  <c r="H28" i="5"/>
  <c r="K28" i="5"/>
  <c r="H53" i="5"/>
  <c r="K53" i="5"/>
  <c r="H95" i="5"/>
  <c r="K95" i="5"/>
  <c r="H107" i="5"/>
  <c r="K107" i="5"/>
  <c r="H136" i="5"/>
  <c r="K136" i="5"/>
  <c r="H161" i="5"/>
  <c r="K161" i="5"/>
  <c r="H186" i="5"/>
  <c r="K186" i="5"/>
  <c r="H203" i="5"/>
  <c r="K203" i="5"/>
  <c r="H228" i="5"/>
  <c r="K228" i="5"/>
  <c r="H240" i="5"/>
  <c r="K240" i="5"/>
  <c r="H252" i="5"/>
  <c r="K252" i="5"/>
  <c r="H16" i="5"/>
  <c r="K16" i="5"/>
  <c r="H41" i="5"/>
  <c r="K41" i="5"/>
  <c r="H70" i="5"/>
  <c r="K70" i="5"/>
  <c r="H83" i="5"/>
  <c r="K83" i="5"/>
  <c r="H120" i="5"/>
  <c r="K120" i="5"/>
  <c r="H137" i="5"/>
  <c r="K137" i="5"/>
  <c r="H149" i="5"/>
  <c r="K149" i="5"/>
  <c r="H174" i="5"/>
  <c r="K174" i="5"/>
  <c r="H216" i="5"/>
  <c r="K216" i="5"/>
  <c r="H93" i="5"/>
  <c r="K93" i="5"/>
  <c r="H4" i="5"/>
  <c r="K4" i="5"/>
  <c r="H29" i="5"/>
  <c r="K29" i="5"/>
  <c r="H54" i="5"/>
  <c r="K54" i="5"/>
  <c r="H71" i="5"/>
  <c r="K71" i="5"/>
  <c r="H96" i="5"/>
  <c r="K96" i="5"/>
  <c r="H108" i="5"/>
  <c r="K108" i="5"/>
  <c r="H162" i="5"/>
  <c r="K162" i="5"/>
  <c r="H191" i="5"/>
  <c r="K191" i="5"/>
  <c r="H204" i="5"/>
  <c r="K204" i="5"/>
  <c r="H229" i="5"/>
  <c r="K229" i="5"/>
  <c r="H241" i="5"/>
  <c r="K241" i="5"/>
  <c r="H257" i="5"/>
  <c r="K257" i="5"/>
  <c r="H159" i="5"/>
  <c r="K159" i="5"/>
  <c r="H5" i="5"/>
  <c r="K5" i="5"/>
  <c r="H17" i="5"/>
  <c r="K17" i="5"/>
  <c r="H42" i="5"/>
  <c r="K42" i="5"/>
  <c r="H84" i="5"/>
  <c r="K84" i="5"/>
  <c r="H125" i="5"/>
  <c r="K125" i="5"/>
  <c r="H138" i="5"/>
  <c r="K138" i="5"/>
  <c r="H150" i="5"/>
  <c r="K150" i="5"/>
  <c r="H175" i="5"/>
  <c r="K175" i="5"/>
  <c r="H192" i="5"/>
  <c r="K192" i="5"/>
  <c r="H217" i="5"/>
  <c r="K217" i="5"/>
  <c r="H258" i="5"/>
  <c r="K258" i="5"/>
  <c r="H9" i="5"/>
  <c r="K9" i="5"/>
  <c r="H238" i="5"/>
  <c r="K238" i="5"/>
  <c r="H30" i="5"/>
  <c r="K30" i="5"/>
  <c r="H59" i="5"/>
  <c r="K59" i="5"/>
  <c r="H72" i="5"/>
  <c r="K72" i="5"/>
  <c r="H97" i="5"/>
  <c r="K97" i="5"/>
  <c r="H109" i="5"/>
  <c r="K109" i="5"/>
  <c r="H126" i="5"/>
  <c r="K126" i="5"/>
  <c r="H163" i="5"/>
  <c r="K163" i="5"/>
  <c r="H205" i="5"/>
  <c r="K205" i="5"/>
  <c r="H230" i="5"/>
  <c r="K230" i="5"/>
  <c r="H246" i="5"/>
  <c r="K246" i="5"/>
  <c r="H6" i="5"/>
  <c r="K6" i="5"/>
  <c r="H18" i="5"/>
  <c r="K18" i="5"/>
  <c r="H43" i="5"/>
  <c r="K43" i="5"/>
  <c r="H60" i="5"/>
  <c r="K60" i="5"/>
  <c r="H85" i="5"/>
  <c r="K85" i="5"/>
  <c r="H139" i="5"/>
  <c r="K139" i="5"/>
  <c r="H151" i="5"/>
  <c r="K151" i="5"/>
  <c r="H180" i="5"/>
  <c r="K180" i="5"/>
  <c r="H193" i="5"/>
  <c r="K193" i="5"/>
  <c r="H218" i="5"/>
  <c r="K218" i="5"/>
  <c r="H259" i="5"/>
  <c r="K259" i="5"/>
  <c r="H130" i="5"/>
  <c r="K130" i="5"/>
  <c r="H31" i="5"/>
  <c r="K31" i="5"/>
  <c r="H73" i="5"/>
  <c r="K73" i="5"/>
  <c r="H114" i="5"/>
  <c r="K114" i="5"/>
  <c r="H127" i="5"/>
  <c r="K127" i="5"/>
  <c r="H164" i="5"/>
  <c r="K164" i="5"/>
  <c r="H181" i="5"/>
  <c r="K181" i="5"/>
  <c r="H206" i="5"/>
  <c r="K206" i="5"/>
  <c r="H235" i="5"/>
  <c r="K235" i="5"/>
  <c r="H247" i="5"/>
  <c r="K247" i="5"/>
  <c r="H184" i="5"/>
  <c r="K184" i="5"/>
  <c r="H7" i="5"/>
  <c r="K7" i="5"/>
  <c r="H19" i="5"/>
  <c r="K19" i="5"/>
  <c r="H48" i="5"/>
  <c r="K48" i="5"/>
  <c r="H61" i="5"/>
  <c r="K61" i="5"/>
  <c r="H86" i="5"/>
  <c r="K86" i="5"/>
  <c r="H115" i="5"/>
  <c r="K115" i="5"/>
  <c r="H140" i="5"/>
  <c r="K140" i="5"/>
  <c r="H152" i="5"/>
  <c r="K152" i="5"/>
  <c r="H194" i="5"/>
  <c r="K194" i="5"/>
  <c r="H219" i="5"/>
  <c r="K219" i="5"/>
  <c r="H260" i="5"/>
  <c r="K260" i="5"/>
  <c r="H51" i="5"/>
  <c r="K51" i="5"/>
  <c r="H226" i="5"/>
  <c r="K226" i="5"/>
  <c r="H32" i="5"/>
  <c r="K32" i="5"/>
  <c r="H49" i="5"/>
  <c r="K49" i="5"/>
  <c r="H74" i="5"/>
  <c r="K74" i="5"/>
  <c r="H128" i="5"/>
  <c r="K128" i="5"/>
  <c r="H169" i="5"/>
  <c r="K169" i="5"/>
  <c r="H182" i="5"/>
  <c r="K182" i="5"/>
  <c r="H207" i="5"/>
  <c r="K207" i="5"/>
  <c r="H236" i="5"/>
  <c r="K236" i="5"/>
  <c r="H248" i="5"/>
  <c r="K248" i="5"/>
  <c r="H20" i="5"/>
  <c r="K20" i="5"/>
  <c r="H62" i="5"/>
  <c r="K62" i="5"/>
  <c r="H87" i="5"/>
  <c r="K87" i="5"/>
  <c r="H103" i="5"/>
  <c r="K103" i="5"/>
  <c r="H116" i="5"/>
  <c r="K116" i="5"/>
  <c r="H141" i="5"/>
  <c r="K141" i="5"/>
  <c r="H153" i="5"/>
  <c r="K153" i="5"/>
  <c r="H170" i="5"/>
  <c r="K170" i="5"/>
  <c r="H195" i="5"/>
  <c r="K195" i="5"/>
  <c r="H224" i="5"/>
  <c r="K224" i="5"/>
  <c r="H261" i="5"/>
  <c r="K261" i="5"/>
  <c r="H8" i="5"/>
  <c r="H37" i="5"/>
  <c r="K37" i="5"/>
  <c r="H50" i="5"/>
  <c r="K50" i="5"/>
  <c r="H75" i="5"/>
  <c r="K75" i="5"/>
  <c r="H104" i="5"/>
  <c r="K104" i="5"/>
  <c r="H129" i="5"/>
  <c r="K129" i="5"/>
  <c r="H183" i="5"/>
  <c r="K183" i="5"/>
  <c r="H208" i="5"/>
  <c r="K208" i="5"/>
  <c r="H225" i="5"/>
  <c r="K225" i="5"/>
  <c r="H237" i="5"/>
  <c r="K237" i="5"/>
  <c r="H249" i="5"/>
  <c r="K249" i="5"/>
  <c r="H105" i="5"/>
  <c r="K105" i="5"/>
  <c r="H21" i="5"/>
  <c r="K21" i="5"/>
  <c r="H38" i="5"/>
  <c r="K38" i="5"/>
  <c r="H63" i="5"/>
  <c r="K63" i="5"/>
  <c r="H92" i="5"/>
  <c r="K92" i="5"/>
  <c r="H117" i="5"/>
  <c r="K117" i="5"/>
  <c r="H142" i="5"/>
  <c r="K142" i="5"/>
  <c r="H158" i="5"/>
  <c r="K158" i="5"/>
  <c r="H171" i="5"/>
  <c r="K171" i="5"/>
  <c r="H196" i="5"/>
  <c r="K196" i="5"/>
  <c r="H262" i="5"/>
  <c r="K262" i="5"/>
</calcChain>
</file>

<file path=xl/sharedStrings.xml><?xml version="1.0" encoding="utf-8"?>
<sst xmlns="http://schemas.openxmlformats.org/spreadsheetml/2006/main" count="2017" uniqueCount="53">
  <si>
    <t>Fr</t>
  </si>
  <si>
    <t>No</t>
  </si>
  <si>
    <t>(m/sn)</t>
  </si>
  <si>
    <t>m</t>
  </si>
  <si>
    <t>(-)</t>
  </si>
  <si>
    <t>(m)</t>
  </si>
  <si>
    <t>1.         </t>
  </si>
  <si>
    <t>2.         </t>
  </si>
  <si>
    <t>3.         </t>
  </si>
  <si>
    <t>4.         </t>
  </si>
  <si>
    <t>5.         </t>
  </si>
  <si>
    <t>6.         </t>
  </si>
  <si>
    <t>7.         </t>
  </si>
  <si>
    <t xml:space="preserve"> </t>
  </si>
  <si>
    <t>σ</t>
  </si>
  <si>
    <t>(mwc)</t>
  </si>
  <si>
    <t>R/L</t>
  </si>
  <si>
    <t>Table 1. φ=% 10, L=1 m</t>
  </si>
  <si>
    <r>
      <t>Q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-3</t>
    </r>
    <r>
      <rPr>
        <sz val="11"/>
        <color rgb="FF000000"/>
        <rFont val="Times New Roman"/>
        <family val="1"/>
      </rPr>
      <t xml:space="preserve"> (m</t>
    </r>
    <r>
      <rPr>
        <vertAlign val="super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/sn)</t>
    </r>
  </si>
  <si>
    <r>
      <t>A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>x10</t>
    </r>
    <r>
      <rPr>
        <vertAlign val="superscript"/>
        <sz val="11"/>
        <color rgb="FF000000"/>
        <rFont val="Times New Roman"/>
        <family val="1"/>
      </rPr>
      <t>-4</t>
    </r>
  </si>
  <si>
    <r>
      <t>V</t>
    </r>
    <r>
      <rPr>
        <vertAlign val="subscript"/>
        <sz val="11"/>
        <color rgb="FF000000"/>
        <rFont val="Times New Roman"/>
        <family val="1"/>
      </rPr>
      <t>w</t>
    </r>
  </si>
  <si>
    <r>
      <t>hx10</t>
    </r>
    <r>
      <rPr>
        <vertAlign val="superscript"/>
        <sz val="11"/>
        <color rgb="FF000000"/>
        <rFont val="Times New Roman"/>
        <family val="1"/>
      </rPr>
      <t>-2</t>
    </r>
  </si>
  <si>
    <r>
      <t>d</t>
    </r>
    <r>
      <rPr>
        <vertAlign val="subscript"/>
        <sz val="11"/>
        <color rgb="FF000000"/>
        <rFont val="Times New Roman"/>
        <family val="1"/>
      </rPr>
      <t>A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-2</t>
    </r>
  </si>
  <si>
    <r>
      <t>V</t>
    </r>
    <r>
      <rPr>
        <vertAlign val="subscript"/>
        <sz val="11"/>
        <color rgb="FF000000"/>
        <rFont val="Times New Roman"/>
        <family val="1"/>
      </rPr>
      <t>A</t>
    </r>
  </si>
  <si>
    <r>
      <t>P</t>
    </r>
    <r>
      <rPr>
        <vertAlign val="subscript"/>
        <sz val="11"/>
        <color theme="1"/>
        <rFont val="Times New Roman"/>
        <family val="1"/>
      </rPr>
      <t>a</t>
    </r>
  </si>
  <si>
    <r>
      <t>m</t>
    </r>
    <r>
      <rPr>
        <vertAlign val="superscript"/>
        <sz val="11"/>
        <color rgb="FF000000"/>
        <rFont val="Times New Roman"/>
        <family val="1"/>
      </rPr>
      <t>2</t>
    </r>
  </si>
  <si>
    <r>
      <t>B x 10</t>
    </r>
    <r>
      <rPr>
        <vertAlign val="superscript"/>
        <sz val="11"/>
        <color rgb="FF000000"/>
        <rFont val="Times New Roman"/>
        <family val="1"/>
      </rPr>
      <t>-2</t>
    </r>
  </si>
  <si>
    <t>Table 2. φ=% 10, L=2 m</t>
  </si>
  <si>
    <t>Table 3. φ=% 10, L=4 m</t>
  </si>
  <si>
    <t>Table 4. φ=% 10, L=6 m</t>
  </si>
  <si>
    <t>Table 5. φ=% 15, L=1 m</t>
  </si>
  <si>
    <t>Table 6. φ=% 15, L=2 m</t>
  </si>
  <si>
    <t>Table 7. φ=% 15, L=4 m</t>
  </si>
  <si>
    <t>Table 8. φ=% 15, L=6 m</t>
  </si>
  <si>
    <t>Table 9. φ=% 20, L=1 m</t>
  </si>
  <si>
    <t>Table 10. φ=% 20, L=2 m</t>
  </si>
  <si>
    <t>Table 11. φ=% 20, L=4 m</t>
  </si>
  <si>
    <t>Table 12. φ=% 20, L=6 m</t>
  </si>
  <si>
    <t>Table 13.φ=% 30, L=1 m</t>
  </si>
  <si>
    <t>Table 14. φ=% 30, L=2 m</t>
  </si>
  <si>
    <t>Table 15. φ=% 30, L=4 m</t>
  </si>
  <si>
    <t>Table 16. φ=% 30, L=6 m</t>
  </si>
  <si>
    <t>Table 17. φ=% 40, L=1 m</t>
  </si>
  <si>
    <t>Table 18. φ=% 40, L=2 m</t>
  </si>
  <si>
    <t>Table 19. φ=% 40, L=4 m</t>
  </si>
  <si>
    <t>Table 20. φ=% 40, L=6 m</t>
  </si>
  <si>
    <t>Table 21. φ=% 60, L=1 m</t>
  </si>
  <si>
    <t>Table 22.φ=% 60, L=2 m</t>
  </si>
  <si>
    <t>Table 23. φ=% 60, L=4 m</t>
  </si>
  <si>
    <t>Table 24. φ=% 60, L=6 m</t>
  </si>
  <si>
    <t>Table 13. φ=% 30, L=1 m</t>
  </si>
  <si>
    <t>Table 21.φ=% 60, L=1 m</t>
  </si>
  <si>
    <t>Table 22. φ=% 60, L=2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</si>
</sst>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183129500589402"/>
          <c:y val="3.578788697995657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72076407115778"/>
          <c:y val="2.8283902012248469E-2"/>
          <c:w val="0.80398293963254597"/>
          <c:h val="0.82664260717410309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0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Sluice'!$H$4:$H$10</c:f>
              <c:numCache>
                <c:formatCode>0.000</c:formatCode>
                <c:ptCount val="7"/>
                <c:pt idx="0">
                  <c:v>6.1631616874318302</c:v>
                </c:pt>
                <c:pt idx="1">
                  <c:v>12.32632337486366</c:v>
                </c:pt>
                <c:pt idx="2">
                  <c:v>18.48948506229549</c:v>
                </c:pt>
                <c:pt idx="3">
                  <c:v>24.652646749727321</c:v>
                </c:pt>
                <c:pt idx="4">
                  <c:v>30.815808437159149</c:v>
                </c:pt>
                <c:pt idx="5">
                  <c:v>36.654593193673513</c:v>
                </c:pt>
                <c:pt idx="6">
                  <c:v>42.817754881105344</c:v>
                </c:pt>
              </c:numCache>
            </c:numRef>
          </c:xVal>
          <c:yVal>
            <c:numRef>
              <c:f>'60-100 Sluice'!$K$4:$K$10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13.2402000732472</c:v>
                </c:pt>
                <c:pt idx="2">
                  <c:v>4.1702523059767316</c:v>
                </c:pt>
                <c:pt idx="3">
                  <c:v>-0.60372139474969488</c:v>
                </c:pt>
                <c:pt idx="4">
                  <c:v>-2.6644160281416327</c:v>
                </c:pt>
                <c:pt idx="5">
                  <c:v>-3.6616205349629114</c:v>
                </c:pt>
                <c:pt idx="6">
                  <c:v>-3.9144143539785112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FD-4FA9-A9B2-D6F88232517F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Sluice'!$H$4:$H$10</c:f>
              <c:numCache>
                <c:formatCode>0.000</c:formatCode>
                <c:ptCount val="7"/>
                <c:pt idx="0">
                  <c:v>8.131498912699044</c:v>
                </c:pt>
                <c:pt idx="1">
                  <c:v>16.262997825398088</c:v>
                </c:pt>
                <c:pt idx="2">
                  <c:v>24.394496738097136</c:v>
                </c:pt>
                <c:pt idx="3">
                  <c:v>32.525995650796176</c:v>
                </c:pt>
                <c:pt idx="4">
                  <c:v>40.65749456349522</c:v>
                </c:pt>
                <c:pt idx="5">
                  <c:v>48.788993476194271</c:v>
                </c:pt>
                <c:pt idx="6">
                  <c:v>57.348466015877477</c:v>
                </c:pt>
              </c:numCache>
            </c:numRef>
          </c:xVal>
          <c:yVal>
            <c:numRef>
              <c:f>'100-60 Sluice'!$K$4:$K$10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14.094202079500052</c:v>
                </c:pt>
                <c:pt idx="2">
                  <c:v>6.0434170838426597</c:v>
                </c:pt>
                <c:pt idx="3">
                  <c:v>2.7392916872403319</c:v>
                </c:pt>
                <c:pt idx="4">
                  <c:v>0.61889845031513391</c:v>
                </c:pt>
                <c:pt idx="5">
                  <c:v>-1.4665369776332404</c:v>
                </c:pt>
                <c:pt idx="6">
                  <c:v>-2.0703378435707185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FD-4FA9-A9B2-D6F88232517F}"/>
            </c:ext>
          </c:extLst>
        </c:ser>
        <c:ser>
          <c:idx val="2"/>
          <c:order val="2"/>
          <c:tx>
            <c:v>Circular</c:v>
          </c:tx>
          <c:spPr>
            <a:ln w="0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Sluice'!$H$4:$H$10</c:f>
              <c:numCache>
                <c:formatCode>0.00000</c:formatCode>
                <c:ptCount val="7"/>
                <c:pt idx="0">
                  <c:v>6.6410165731286011</c:v>
                </c:pt>
                <c:pt idx="1">
                  <c:v>13.282033146257202</c:v>
                </c:pt>
                <c:pt idx="2">
                  <c:v>19.923049719385801</c:v>
                </c:pt>
                <c:pt idx="3">
                  <c:v>26.564066292514404</c:v>
                </c:pt>
                <c:pt idx="4">
                  <c:v>33.205082865643007</c:v>
                </c:pt>
                <c:pt idx="5">
                  <c:v>39.846099438771603</c:v>
                </c:pt>
                <c:pt idx="6">
                  <c:v>47.81531932652593</c:v>
                </c:pt>
              </c:numCache>
            </c:numRef>
          </c:xVal>
          <c:yVal>
            <c:numRef>
              <c:f>'Circular Sluice'!$K$4:$K$10</c:f>
              <c:numCache>
                <c:formatCode>0.000000</c:formatCode>
                <c:ptCount val="7"/>
                <c:pt idx="0">
                  <c:v>52.35207939747584</c:v>
                </c:pt>
                <c:pt idx="1">
                  <c:v>12.509222896855785</c:v>
                </c:pt>
                <c:pt idx="2">
                  <c:v>3.8417785862016682</c:v>
                </c:pt>
                <c:pt idx="3">
                  <c:v>0.59706422102574574</c:v>
                </c:pt>
                <c:pt idx="4">
                  <c:v>-0.22110463415366771</c:v>
                </c:pt>
                <c:pt idx="5">
                  <c:v>-1.0943450028976647</c:v>
                </c:pt>
                <c:pt idx="6">
                  <c:v>-1.6443950958897089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FD-4FA9-A9B2-D6F88232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95840"/>
        <c:axId val="80997760"/>
      </c:scatterChart>
      <c:valAx>
        <c:axId val="8099584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0997760"/>
        <c:crosses val="autoZero"/>
        <c:crossBetween val="midCat"/>
        <c:majorUnit val="10"/>
      </c:valAx>
      <c:valAx>
        <c:axId val="80997760"/>
        <c:scaling>
          <c:orientation val="minMax"/>
          <c:max val="1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0995840"/>
        <c:crosses val="autoZero"/>
        <c:crossBetween val="midCat"/>
      </c:valAx>
      <c:spPr>
        <a:noFill/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755577427821521"/>
          <c:y val="4.056124234470692E-2"/>
          <c:w val="0.15099810440361619"/>
          <c:h val="0.15388857642794651"/>
        </c:manualLayout>
      </c:layout>
      <c:overlay val="0"/>
      <c:spPr>
        <a:ln>
          <a:noFill/>
        </a:ln>
      </c:spPr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937500136561182"/>
          <c:y val="2.484240239982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4611111111111111E-2"/>
          <c:w val="0.80413604549431317"/>
          <c:h val="0.8336688538932634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Sluice'!$H$15:$H$21</c:f>
              <c:numCache>
                <c:formatCode>0.000</c:formatCode>
                <c:ptCount val="7"/>
                <c:pt idx="0">
                  <c:v>6.1631616874318302</c:v>
                </c:pt>
                <c:pt idx="1">
                  <c:v>12.32632337486366</c:v>
                </c:pt>
                <c:pt idx="2">
                  <c:v>18.48948506229549</c:v>
                </c:pt>
                <c:pt idx="3">
                  <c:v>24.652646749727321</c:v>
                </c:pt>
                <c:pt idx="4">
                  <c:v>30.815808437159149</c:v>
                </c:pt>
                <c:pt idx="5">
                  <c:v>36.654593193673513</c:v>
                </c:pt>
                <c:pt idx="6">
                  <c:v>42.817754881105344</c:v>
                </c:pt>
              </c:numCache>
            </c:numRef>
          </c:xVal>
          <c:yVal>
            <c:numRef>
              <c:f>'60-100 Sluice'!$K$15:$K$21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13.200159629103156</c:v>
                </c:pt>
                <c:pt idx="2">
                  <c:v>4.4819044740538496</c:v>
                </c:pt>
                <c:pt idx="3">
                  <c:v>-1.1522299790183927</c:v>
                </c:pt>
                <c:pt idx="4">
                  <c:v>-4.7314833301824537</c:v>
                </c:pt>
                <c:pt idx="5">
                  <c:v>-5.8631481983236133</c:v>
                </c:pt>
                <c:pt idx="6">
                  <c:v>-7.2733612837566932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4D-4A28-9FA9-B1D3D300950E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Sluice'!$H$15:$H$21</c:f>
              <c:numCache>
                <c:formatCode>0.000</c:formatCode>
                <c:ptCount val="7"/>
                <c:pt idx="0">
                  <c:v>8.131498912699044</c:v>
                </c:pt>
                <c:pt idx="1">
                  <c:v>16.262997825398088</c:v>
                </c:pt>
                <c:pt idx="2">
                  <c:v>24.394496738097136</c:v>
                </c:pt>
                <c:pt idx="3">
                  <c:v>32.525995650796176</c:v>
                </c:pt>
                <c:pt idx="4">
                  <c:v>40.65749456349522</c:v>
                </c:pt>
                <c:pt idx="5">
                  <c:v>48.788993476194271</c:v>
                </c:pt>
                <c:pt idx="6">
                  <c:v>56.492518761909153</c:v>
                </c:pt>
              </c:numCache>
            </c:numRef>
          </c:xVal>
          <c:yVal>
            <c:numRef>
              <c:f>'100-60 Sluice'!$K$15:$K$21</c:f>
              <c:numCache>
                <c:formatCode>0.000000</c:formatCode>
                <c:ptCount val="7"/>
                <c:pt idx="0">
                  <c:v>56.376808318000208</c:v>
                </c:pt>
                <c:pt idx="1">
                  <c:v>13.561251634474901</c:v>
                </c:pt>
                <c:pt idx="2">
                  <c:v>4.3935728275785042</c:v>
                </c:pt>
                <c:pt idx="3">
                  <c:v>0.22195806400520815</c:v>
                </c:pt>
                <c:pt idx="4">
                  <c:v>-3.6901347551425601</c:v>
                </c:pt>
                <c:pt idx="5">
                  <c:v>-6.5810363762991688</c:v>
                </c:pt>
                <c:pt idx="6">
                  <c:v>-7.0533426141461151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4D-4A28-9FA9-B1D3D300950E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Sluice'!$H$15:$H$21</c:f>
              <c:numCache>
                <c:formatCode>0.00000</c:formatCode>
                <c:ptCount val="7"/>
                <c:pt idx="0">
                  <c:v>6.6410165731286011</c:v>
                </c:pt>
                <c:pt idx="1">
                  <c:v>13.282033146257202</c:v>
                </c:pt>
                <c:pt idx="2">
                  <c:v>19.923049719385801</c:v>
                </c:pt>
                <c:pt idx="3">
                  <c:v>26.564066292514404</c:v>
                </c:pt>
                <c:pt idx="4">
                  <c:v>33.205082865643007</c:v>
                </c:pt>
                <c:pt idx="5">
                  <c:v>39.846099438771603</c:v>
                </c:pt>
                <c:pt idx="6">
                  <c:v>47.151217669213061</c:v>
                </c:pt>
              </c:numCache>
            </c:numRef>
          </c:xVal>
          <c:yVal>
            <c:numRef>
              <c:f>'Circular Sluice'!$K$15:$K$21</c:f>
              <c:numCache>
                <c:formatCode>0.000000</c:formatCode>
                <c:ptCount val="7"/>
                <c:pt idx="0">
                  <c:v>52.190332107286046</c:v>
                </c:pt>
                <c:pt idx="1">
                  <c:v>12.656514022984865</c:v>
                </c:pt>
                <c:pt idx="2">
                  <c:v>3.3286053548726704</c:v>
                </c:pt>
                <c:pt idx="3">
                  <c:v>-1.6877987802290459</c:v>
                </c:pt>
                <c:pt idx="4">
                  <c:v>-3.8458596101147653</c:v>
                </c:pt>
                <c:pt idx="5">
                  <c:v>-4.3848639805944902</c:v>
                </c:pt>
                <c:pt idx="6">
                  <c:v>-4.8391802551833054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4D-4A28-9FA9-B1D3D300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8704"/>
        <c:axId val="81050624"/>
      </c:scatterChart>
      <c:valAx>
        <c:axId val="81048704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050624"/>
        <c:crosses val="autoZero"/>
        <c:crossBetween val="midCat"/>
        <c:majorUnit val="10"/>
      </c:valAx>
      <c:valAx>
        <c:axId val="81050624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048704"/>
        <c:crosses val="autoZero"/>
        <c:crossBetween val="midCat"/>
      </c:valAx>
      <c:spPr>
        <a:noFill/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379086581699164"/>
          <c:y val="3.5658176477545329E-2"/>
          <c:w val="0.15692038495188101"/>
          <c:h val="0.14834677144370945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3048533478610131"/>
          <c:y val="2.9059185431460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8358705161854767E-2"/>
          <c:w val="0.8033887430737825"/>
          <c:h val="0.8265678040244969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Sluice'!$H$26:$H$32</c:f>
              <c:numCache>
                <c:formatCode>0.000</c:formatCode>
                <c:ptCount val="7"/>
                <c:pt idx="0">
                  <c:v>6.1631616874318302</c:v>
                </c:pt>
                <c:pt idx="1">
                  <c:v>12.32632337486366</c:v>
                </c:pt>
                <c:pt idx="2">
                  <c:v>18.48948506229549</c:v>
                </c:pt>
                <c:pt idx="3">
                  <c:v>24.652646749727321</c:v>
                </c:pt>
                <c:pt idx="4">
                  <c:v>30.815808437159149</c:v>
                </c:pt>
                <c:pt idx="5">
                  <c:v>36.654593193673513</c:v>
                </c:pt>
                <c:pt idx="6">
                  <c:v>43.142131812022811</c:v>
                </c:pt>
              </c:numCache>
            </c:numRef>
          </c:xVal>
          <c:yVal>
            <c:numRef>
              <c:f>'60-100 Sluice'!$K$26:$K$32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13.166125251580718</c:v>
                </c:pt>
                <c:pt idx="2">
                  <c:v>3.3623251219146817</c:v>
                </c:pt>
                <c:pt idx="3">
                  <c:v>-1.7029286542470909</c:v>
                </c:pt>
                <c:pt idx="4">
                  <c:v>-5.8170812067193269</c:v>
                </c:pt>
                <c:pt idx="5">
                  <c:v>-6.0434131462199003</c:v>
                </c:pt>
                <c:pt idx="6">
                  <c:v>-8.0176488362527092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0A-4478-8C08-2B273414D1E8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Sluice'!$H$26:$H$32</c:f>
              <c:numCache>
                <c:formatCode>0.000</c:formatCode>
                <c:ptCount val="7"/>
                <c:pt idx="0">
                  <c:v>8.131498912699044</c:v>
                </c:pt>
                <c:pt idx="1">
                  <c:v>16.262997825398088</c:v>
                </c:pt>
                <c:pt idx="2">
                  <c:v>24.394496738097136</c:v>
                </c:pt>
                <c:pt idx="3">
                  <c:v>32.525995650796176</c:v>
                </c:pt>
                <c:pt idx="4">
                  <c:v>40.65749456349522</c:v>
                </c:pt>
                <c:pt idx="5">
                  <c:v>48.788993476194271</c:v>
                </c:pt>
                <c:pt idx="6">
                  <c:v>56.492518761909153</c:v>
                </c:pt>
              </c:numCache>
            </c:numRef>
          </c:xVal>
          <c:yVal>
            <c:numRef>
              <c:f>'100-60 Sluice'!$K$26:$K$32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13.889765278474901</c:v>
                </c:pt>
                <c:pt idx="2">
                  <c:v>3.9130605345879226</c:v>
                </c:pt>
                <c:pt idx="3">
                  <c:v>0.27248182443423874</c:v>
                </c:pt>
                <c:pt idx="4">
                  <c:v>-2.4866791659491634</c:v>
                </c:pt>
                <c:pt idx="5">
                  <c:v>-3.4145355929923555</c:v>
                </c:pt>
                <c:pt idx="6">
                  <c:v>-3.996153616584794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0A-4478-8C08-2B273414D1E8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Sluice'!$H$26:$H$32</c:f>
              <c:numCache>
                <c:formatCode>0.00000</c:formatCode>
                <c:ptCount val="7"/>
                <c:pt idx="0">
                  <c:v>6.6410165731286011</c:v>
                </c:pt>
                <c:pt idx="1">
                  <c:v>13.282033146257202</c:v>
                </c:pt>
                <c:pt idx="2">
                  <c:v>19.923049719385801</c:v>
                </c:pt>
                <c:pt idx="3">
                  <c:v>26.564066292514404</c:v>
                </c:pt>
                <c:pt idx="4">
                  <c:v>33.205082865643007</c:v>
                </c:pt>
                <c:pt idx="5">
                  <c:v>39.846099438771603</c:v>
                </c:pt>
                <c:pt idx="6">
                  <c:v>47.81531932652593</c:v>
                </c:pt>
              </c:numCache>
            </c:numRef>
          </c:xVal>
          <c:yVal>
            <c:numRef>
              <c:f>'Circular Sluice'!$K$26:$K$32</c:f>
              <c:numCache>
                <c:formatCode>0.000000</c:formatCode>
                <c:ptCount val="7"/>
                <c:pt idx="0">
                  <c:v>52.221064092422111</c:v>
                </c:pt>
                <c:pt idx="1">
                  <c:v>12.483444422481787</c:v>
                </c:pt>
                <c:pt idx="2">
                  <c:v>3.1783750708084306</c:v>
                </c:pt>
                <c:pt idx="3">
                  <c:v>-1.4956340135230084</c:v>
                </c:pt>
                <c:pt idx="4">
                  <c:v>-4.5587194562076627</c:v>
                </c:pt>
                <c:pt idx="5">
                  <c:v>-5.8427799201905941</c:v>
                </c:pt>
                <c:pt idx="6">
                  <c:v>-6.573555014195767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0A-4478-8C08-2B273414D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05664"/>
        <c:axId val="81107584"/>
      </c:scatterChart>
      <c:valAx>
        <c:axId val="81105664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107584"/>
        <c:crosses val="autoZero"/>
        <c:crossBetween val="midCat"/>
        <c:majorUnit val="10"/>
      </c:valAx>
      <c:valAx>
        <c:axId val="81107584"/>
        <c:scaling>
          <c:orientation val="minMax"/>
          <c:max val="1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105664"/>
        <c:crosses val="autoZero"/>
        <c:crossBetween val="midCat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520390996942232"/>
          <c:y val="3.8106695926136296E-2"/>
          <c:w val="0.15164187809857099"/>
          <c:h val="0.14075982679262297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3098314580145394"/>
          <c:y val="2.45002808357464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4611111111111111E-2"/>
          <c:w val="0.80413604549431317"/>
          <c:h val="0.83391994750656173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Sluice'!$H$37:$H$43</c:f>
              <c:numCache>
                <c:formatCode>0.000</c:formatCode>
                <c:ptCount val="7"/>
                <c:pt idx="0">
                  <c:v>6.1631616874318302</c:v>
                </c:pt>
                <c:pt idx="1">
                  <c:v>12.32632337486366</c:v>
                </c:pt>
                <c:pt idx="2">
                  <c:v>18.48948506229549</c:v>
                </c:pt>
                <c:pt idx="3">
                  <c:v>24.652646749727321</c:v>
                </c:pt>
                <c:pt idx="4">
                  <c:v>30.815808437159149</c:v>
                </c:pt>
                <c:pt idx="5">
                  <c:v>36.654593193673513</c:v>
                </c:pt>
                <c:pt idx="6">
                  <c:v>43.142131812022811</c:v>
                </c:pt>
              </c:numCache>
            </c:numRef>
          </c:xVal>
          <c:yVal>
            <c:numRef>
              <c:f>'60-100 Sluice'!$K$37:$K$43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13.550622716574846</c:v>
                </c:pt>
                <c:pt idx="2">
                  <c:v>3.4568043921373963</c:v>
                </c:pt>
                <c:pt idx="3">
                  <c:v>-1.5761581813934618</c:v>
                </c:pt>
                <c:pt idx="4">
                  <c:v>-4.3678675634828412</c:v>
                </c:pt>
                <c:pt idx="5">
                  <c:v>-6.4303002867462125</c:v>
                </c:pt>
                <c:pt idx="6">
                  <c:v>-5.9812141330481072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5-4CF4-AE7F-E26D2816ADA7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Sluice'!$H$37:$H$43</c:f>
              <c:numCache>
                <c:formatCode>0.000</c:formatCode>
                <c:ptCount val="7"/>
                <c:pt idx="0">
                  <c:v>8.131498912699044</c:v>
                </c:pt>
                <c:pt idx="1">
                  <c:v>16.262997825398088</c:v>
                </c:pt>
                <c:pt idx="2">
                  <c:v>24.394496738097136</c:v>
                </c:pt>
                <c:pt idx="3">
                  <c:v>32.525995650796176</c:v>
                </c:pt>
                <c:pt idx="4">
                  <c:v>40.65749456349522</c:v>
                </c:pt>
                <c:pt idx="5">
                  <c:v>48.788993476194271</c:v>
                </c:pt>
                <c:pt idx="6">
                  <c:v>57.348466015877477</c:v>
                </c:pt>
              </c:numCache>
            </c:numRef>
          </c:xVal>
          <c:yVal>
            <c:numRef>
              <c:f>'100-60 Sluice'!$K$37:$K$43</c:f>
              <c:numCache>
                <c:formatCode>0.000000</c:formatCode>
                <c:ptCount val="7"/>
                <c:pt idx="0">
                  <c:v>56.551530256083318</c:v>
                </c:pt>
                <c:pt idx="1">
                  <c:v>13.744758203333848</c:v>
                </c:pt>
                <c:pt idx="2">
                  <c:v>4.2768974000363436</c:v>
                </c:pt>
                <c:pt idx="3">
                  <c:v>1.5980312553905942E-2</c:v>
                </c:pt>
                <c:pt idx="4">
                  <c:v>-2.3540225051370016</c:v>
                </c:pt>
                <c:pt idx="5">
                  <c:v>-3.1032649550732407</c:v>
                </c:pt>
                <c:pt idx="6">
                  <c:v>-3.4959919220332347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5-4CF4-AE7F-E26D2816ADA7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Sluice'!$H$37:$H$43</c:f>
              <c:numCache>
                <c:formatCode>0.00000</c:formatCode>
                <c:ptCount val="7"/>
                <c:pt idx="0">
                  <c:v>6.6410165731286011</c:v>
                </c:pt>
                <c:pt idx="1">
                  <c:v>13.282033146257202</c:v>
                </c:pt>
                <c:pt idx="2">
                  <c:v>19.923049719385801</c:v>
                </c:pt>
                <c:pt idx="3">
                  <c:v>26.564066292514404</c:v>
                </c:pt>
                <c:pt idx="4">
                  <c:v>33.205082865643007</c:v>
                </c:pt>
                <c:pt idx="5">
                  <c:v>39.846099438771603</c:v>
                </c:pt>
                <c:pt idx="6">
                  <c:v>46.487116011900206</c:v>
                </c:pt>
              </c:numCache>
            </c:numRef>
          </c:xVal>
          <c:yVal>
            <c:numRef>
              <c:f>'Circular Sluice'!$K$37:$K$43</c:f>
              <c:numCache>
                <c:formatCode>0.000000</c:formatCode>
                <c:ptCount val="7"/>
                <c:pt idx="0">
                  <c:v>52.190332107286046</c:v>
                </c:pt>
                <c:pt idx="1">
                  <c:v>12.54930028098059</c:v>
                </c:pt>
                <c:pt idx="2">
                  <c:v>3.9592999738053063</c:v>
                </c:pt>
                <c:pt idx="3">
                  <c:v>-2.4703046506630213</c:v>
                </c:pt>
                <c:pt idx="4">
                  <c:v>-5.0015350125602547</c:v>
                </c:pt>
                <c:pt idx="5">
                  <c:v>-6.0861996075256002</c:v>
                </c:pt>
                <c:pt idx="6">
                  <c:v>-6.4265057610708851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5-4CF4-AE7F-E26D2816A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62624"/>
        <c:axId val="81164544"/>
      </c:scatterChart>
      <c:valAx>
        <c:axId val="81162624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164544"/>
        <c:crosses val="autoZero"/>
        <c:crossBetween val="midCat"/>
        <c:majorUnit val="10"/>
      </c:valAx>
      <c:valAx>
        <c:axId val="81164544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162624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583071344318322"/>
          <c:y val="3.6767626306935426E-2"/>
          <c:w val="0.15536344415281422"/>
          <c:h val="0.14133779580017522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=15%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735936137531985"/>
          <c:y val="3.21484491533053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8176727909011375E-2"/>
          <c:w val="0.80413604549431317"/>
          <c:h val="0.81980096237970257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Sluice'!$H$48:$H$54</c:f>
              <c:numCache>
                <c:formatCode>0.000</c:formatCode>
                <c:ptCount val="7"/>
                <c:pt idx="0">
                  <c:v>4.9439162271508623</c:v>
                </c:pt>
                <c:pt idx="1">
                  <c:v>9.8878324543017246</c:v>
                </c:pt>
                <c:pt idx="2">
                  <c:v>14.83174868145259</c:v>
                </c:pt>
                <c:pt idx="3">
                  <c:v>19.775664908603449</c:v>
                </c:pt>
                <c:pt idx="4">
                  <c:v>24.719581135754311</c:v>
                </c:pt>
                <c:pt idx="5">
                  <c:v>29.663497362905179</c:v>
                </c:pt>
                <c:pt idx="6">
                  <c:v>34.607413590056048</c:v>
                </c:pt>
              </c:numCache>
            </c:numRef>
          </c:xVal>
          <c:yVal>
            <c:numRef>
              <c:f>'60-100 Sluice'!$K$48:$K$54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13.211190982489596</c:v>
                </c:pt>
                <c:pt idx="2">
                  <c:v>2.2714158337255097</c:v>
                </c:pt>
                <c:pt idx="3">
                  <c:v>-2.4013880905758289</c:v>
                </c:pt>
                <c:pt idx="4">
                  <c:v>-5.0169500647259522</c:v>
                </c:pt>
                <c:pt idx="5">
                  <c:v>-5.5824787571804091</c:v>
                </c:pt>
                <c:pt idx="6">
                  <c:v>-6.5930141619540894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59-42C6-8F48-13D226619B49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Sluice'!$H$48:$H$54</c:f>
              <c:numCache>
                <c:formatCode>0.000</c:formatCode>
                <c:ptCount val="7"/>
                <c:pt idx="0">
                  <c:v>6.5228613923163552</c:v>
                </c:pt>
                <c:pt idx="1">
                  <c:v>13.04572278463271</c:v>
                </c:pt>
                <c:pt idx="2">
                  <c:v>19.568584176949066</c:v>
                </c:pt>
                <c:pt idx="3">
                  <c:v>26.091445569265421</c:v>
                </c:pt>
                <c:pt idx="4">
                  <c:v>32.614306961581775</c:v>
                </c:pt>
                <c:pt idx="5">
                  <c:v>39.137168353898133</c:v>
                </c:pt>
                <c:pt idx="6">
                  <c:v>45.660029746214491</c:v>
                </c:pt>
              </c:numCache>
            </c:numRef>
          </c:xVal>
          <c:yVal>
            <c:numRef>
              <c:f>'100-60 Sluice'!$K$48:$K$54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14.6020607641249</c:v>
                </c:pt>
                <c:pt idx="2">
                  <c:v>4.6044493376326541</c:v>
                </c:pt>
                <c:pt idx="3">
                  <c:v>5.032410989510213E-2</c:v>
                </c:pt>
                <c:pt idx="4">
                  <c:v>-2.6077892225278783</c:v>
                </c:pt>
                <c:pt idx="5">
                  <c:v>-3.1270641436914794</c:v>
                </c:pt>
                <c:pt idx="6">
                  <c:v>-4.115411052602985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59-42C6-8F48-13D226619B49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Sluice'!$H$48:$H$54</c:f>
              <c:numCache>
                <c:formatCode>0.00000</c:formatCode>
                <c:ptCount val="7"/>
                <c:pt idx="0">
                  <c:v>5.3476290687550607</c:v>
                </c:pt>
                <c:pt idx="1">
                  <c:v>10.695258137510121</c:v>
                </c:pt>
                <c:pt idx="2">
                  <c:v>16.042887206265185</c:v>
                </c:pt>
                <c:pt idx="3">
                  <c:v>21.390516275020243</c:v>
                </c:pt>
                <c:pt idx="4">
                  <c:v>26.738145343775308</c:v>
                </c:pt>
                <c:pt idx="5">
                  <c:v>32.08577441253037</c:v>
                </c:pt>
                <c:pt idx="6">
                  <c:v>37.815376986196505</c:v>
                </c:pt>
              </c:numCache>
            </c:numRef>
          </c:xVal>
          <c:yVal>
            <c:numRef>
              <c:f>'Circular Sluice'!$K$48:$K$54</c:f>
              <c:numCache>
                <c:formatCode>0.000000</c:formatCode>
                <c:ptCount val="7"/>
                <c:pt idx="0">
                  <c:v>60.082589341705983</c:v>
                </c:pt>
                <c:pt idx="1">
                  <c:v>14.698834471772468</c:v>
                </c:pt>
                <c:pt idx="2">
                  <c:v>4.6679060804704013</c:v>
                </c:pt>
                <c:pt idx="3">
                  <c:v>-9.4916436366698623E-2</c:v>
                </c:pt>
                <c:pt idx="4">
                  <c:v>-2.1573926475335665</c:v>
                </c:pt>
                <c:pt idx="5">
                  <c:v>-3.463763572284416</c:v>
                </c:pt>
                <c:pt idx="6">
                  <c:v>-4.2724085018788314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59-42C6-8F48-13D22661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85120"/>
        <c:axId val="81287040"/>
      </c:scatterChart>
      <c:valAx>
        <c:axId val="8128512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287040"/>
        <c:crosses val="autoZero"/>
        <c:crossBetween val="midCat"/>
        <c:majorUnit val="10"/>
      </c:valAx>
      <c:valAx>
        <c:axId val="8128704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28512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393430601009164"/>
          <c:y val="3.8737627913298739E-2"/>
          <c:w val="0.16539515893846601"/>
          <c:h val="0.14165831702749349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=15%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517758830160992"/>
          <c:y val="3.01623618319156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744531933508311E-2"/>
          <c:w val="0.80413604549431317"/>
          <c:h val="0.8274811898512686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Sluice'!$H$59:$H$65</c:f>
              <c:numCache>
                <c:formatCode>0.000</c:formatCode>
                <c:ptCount val="7"/>
                <c:pt idx="0">
                  <c:v>4.9439162271508623</c:v>
                </c:pt>
                <c:pt idx="1">
                  <c:v>9.8878324543017246</c:v>
                </c:pt>
                <c:pt idx="2">
                  <c:v>14.83174868145259</c:v>
                </c:pt>
                <c:pt idx="3">
                  <c:v>19.775664908603449</c:v>
                </c:pt>
                <c:pt idx="4">
                  <c:v>24.719581135754311</c:v>
                </c:pt>
                <c:pt idx="5">
                  <c:v>29.663497362905179</c:v>
                </c:pt>
                <c:pt idx="6">
                  <c:v>34.607413590056048</c:v>
                </c:pt>
              </c:numCache>
            </c:numRef>
          </c:xVal>
          <c:yVal>
            <c:numRef>
              <c:f>'60-100 Sluice'!$K$59:$K$65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13.867920764510972</c:v>
                </c:pt>
                <c:pt idx="2">
                  <c:v>2.3874012631377557</c:v>
                </c:pt>
                <c:pt idx="3">
                  <c:v>-3.3715142321693894</c:v>
                </c:pt>
                <c:pt idx="4">
                  <c:v>-5.5256400337397906</c:v>
                </c:pt>
                <c:pt idx="5">
                  <c:v>-6.178205846167347</c:v>
                </c:pt>
                <c:pt idx="6">
                  <c:v>-8.6658671858157081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3-42D9-BACD-FB7829379115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Sluice'!$H$59:$H$65</c:f>
              <c:numCache>
                <c:formatCode>0.000</c:formatCode>
                <c:ptCount val="7"/>
                <c:pt idx="0">
                  <c:v>6.5228613923163552</c:v>
                </c:pt>
                <c:pt idx="1">
                  <c:v>13.04572278463271</c:v>
                </c:pt>
                <c:pt idx="2">
                  <c:v>19.568584176949066</c:v>
                </c:pt>
                <c:pt idx="3">
                  <c:v>26.091445569265421</c:v>
                </c:pt>
                <c:pt idx="4">
                  <c:v>32.614306961581775</c:v>
                </c:pt>
                <c:pt idx="5">
                  <c:v>39.137168353898133</c:v>
                </c:pt>
                <c:pt idx="6">
                  <c:v>45.660029746214491</c:v>
                </c:pt>
              </c:numCache>
            </c:numRef>
          </c:xVal>
          <c:yVal>
            <c:numRef>
              <c:f>'100-60 Sluice'!$K$59:$K$65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14.38301674958281</c:v>
                </c:pt>
                <c:pt idx="2">
                  <c:v>3.7879253232906129</c:v>
                </c:pt>
                <c:pt idx="3">
                  <c:v>-4.3633027897204597</c:v>
                </c:pt>
                <c:pt idx="4">
                  <c:v>-5.125077984122524</c:v>
                </c:pt>
                <c:pt idx="5">
                  <c:v>-8.4269501796898467</c:v>
                </c:pt>
                <c:pt idx="6">
                  <c:v>-9.4375126926541597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43-42D9-BACD-FB7829379115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Sluice'!$H$59:$H$65</c:f>
              <c:numCache>
                <c:formatCode>0.00000</c:formatCode>
                <c:ptCount val="7"/>
                <c:pt idx="0">
                  <c:v>5.3476290687550607</c:v>
                </c:pt>
                <c:pt idx="1">
                  <c:v>10.695258137510121</c:v>
                </c:pt>
                <c:pt idx="2">
                  <c:v>16.042887206265185</c:v>
                </c:pt>
                <c:pt idx="3">
                  <c:v>21.390516275020243</c:v>
                </c:pt>
                <c:pt idx="4">
                  <c:v>26.738145343775308</c:v>
                </c:pt>
                <c:pt idx="5">
                  <c:v>32.08577441253037</c:v>
                </c:pt>
                <c:pt idx="6">
                  <c:v>37.815376986196505</c:v>
                </c:pt>
              </c:numCache>
            </c:numRef>
          </c:xVal>
          <c:yVal>
            <c:numRef>
              <c:f>'Circular Sluice'!$K$59:$K$65</c:f>
              <c:numCache>
                <c:formatCode>0.000000</c:formatCode>
                <c:ptCount val="7"/>
                <c:pt idx="0">
                  <c:v>59.987246931051232</c:v>
                </c:pt>
                <c:pt idx="1">
                  <c:v>14.368036526962904</c:v>
                </c:pt>
                <c:pt idx="2">
                  <c:v>2.9353452378529816</c:v>
                </c:pt>
                <c:pt idx="3">
                  <c:v>-4.0175424691052006</c:v>
                </c:pt>
                <c:pt idx="4">
                  <c:v>-8.1408162683820056</c:v>
                </c:pt>
                <c:pt idx="5">
                  <c:v>-8.3063284210787618</c:v>
                </c:pt>
                <c:pt idx="6">
                  <c:v>-9.1476342514191522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43-42D9-BACD-FB7829379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1344"/>
        <c:axId val="81204736"/>
      </c:scatterChart>
      <c:valAx>
        <c:axId val="81321344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204736"/>
        <c:crosses val="autoZero"/>
        <c:crossBetween val="midCat"/>
        <c:majorUnit val="10"/>
      </c:valAx>
      <c:valAx>
        <c:axId val="8120473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321344"/>
        <c:crosses val="autoZero"/>
        <c:crossBetween val="midCat"/>
        <c:majorUnit val="20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749300409720929"/>
          <c:y val="3.6500100550026282E-2"/>
          <c:w val="0.15620370370370373"/>
          <c:h val="0.14026809398492301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=15%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507068871789824"/>
          <c:y val="3.7169552040812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93802857976087"/>
          <c:y val="3.2087051618547684E-2"/>
          <c:w val="0.80827537182852138"/>
          <c:h val="0.81914304461942244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Sluice'!$H$70:$H$76</c:f>
              <c:numCache>
                <c:formatCode>0.000</c:formatCode>
                <c:ptCount val="7"/>
                <c:pt idx="0">
                  <c:v>4.9439162271508623</c:v>
                </c:pt>
                <c:pt idx="1">
                  <c:v>9.8878324543017246</c:v>
                </c:pt>
                <c:pt idx="2">
                  <c:v>14.83174868145259</c:v>
                </c:pt>
                <c:pt idx="3">
                  <c:v>19.775664908603449</c:v>
                </c:pt>
                <c:pt idx="4">
                  <c:v>24.719581135754311</c:v>
                </c:pt>
                <c:pt idx="5">
                  <c:v>29.663497362905179</c:v>
                </c:pt>
                <c:pt idx="6">
                  <c:v>34.607413590056048</c:v>
                </c:pt>
              </c:numCache>
            </c:numRef>
          </c:xVal>
          <c:yVal>
            <c:numRef>
              <c:f>'60-100 Sluice'!$K$70:$K$76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13.236571175623626</c:v>
                </c:pt>
                <c:pt idx="2">
                  <c:v>2.1636823541804087</c:v>
                </c:pt>
                <c:pt idx="3">
                  <c:v>-3.8106959099918885</c:v>
                </c:pt>
                <c:pt idx="4">
                  <c:v>-6.4756854017235952</c:v>
                </c:pt>
                <c:pt idx="5">
                  <c:v>-8.8893373238449005</c:v>
                </c:pt>
                <c:pt idx="6">
                  <c:v>-9.8039760932488953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6-4056-9609-7D4299CC0C3F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Sluice'!$H$70:$H$76</c:f>
              <c:numCache>
                <c:formatCode>0.000</c:formatCode>
                <c:ptCount val="7"/>
                <c:pt idx="0">
                  <c:v>6.5228613923163552</c:v>
                </c:pt>
                <c:pt idx="1">
                  <c:v>13.04572278463271</c:v>
                </c:pt>
                <c:pt idx="2">
                  <c:v>19.568584176949066</c:v>
                </c:pt>
                <c:pt idx="3">
                  <c:v>26.091445569265421</c:v>
                </c:pt>
                <c:pt idx="4">
                  <c:v>32.614306961581775</c:v>
                </c:pt>
                <c:pt idx="5">
                  <c:v>39.137168353898133</c:v>
                </c:pt>
                <c:pt idx="6">
                  <c:v>45.660029746214491</c:v>
                </c:pt>
              </c:numCache>
            </c:numRef>
          </c:xVal>
          <c:yVal>
            <c:numRef>
              <c:f>'100-60 Sluice'!$K$70:$K$76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14.547742876788522</c:v>
                </c:pt>
                <c:pt idx="2">
                  <c:v>3.9416786478293884</c:v>
                </c:pt>
                <c:pt idx="3">
                  <c:v>-3.0004279016510198</c:v>
                </c:pt>
                <c:pt idx="4">
                  <c:v>-4.2602457032122789</c:v>
                </c:pt>
                <c:pt idx="5">
                  <c:v>-6.7222772374669901</c:v>
                </c:pt>
                <c:pt idx="6">
                  <c:v>-8.7807210834345835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C6-4056-9609-7D4299CC0C3F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Sluice'!$H$70:$H$76</c:f>
              <c:numCache>
                <c:formatCode>0.00000</c:formatCode>
                <c:ptCount val="7"/>
                <c:pt idx="0">
                  <c:v>5.3476290687550607</c:v>
                </c:pt>
                <c:pt idx="1">
                  <c:v>10.695258137510121</c:v>
                </c:pt>
                <c:pt idx="2">
                  <c:v>16.042887206265185</c:v>
                </c:pt>
                <c:pt idx="3">
                  <c:v>21.390516275020243</c:v>
                </c:pt>
                <c:pt idx="4">
                  <c:v>26.738145343775308</c:v>
                </c:pt>
                <c:pt idx="5">
                  <c:v>32.08577441253037</c:v>
                </c:pt>
                <c:pt idx="6">
                  <c:v>37.815376986196505</c:v>
                </c:pt>
              </c:numCache>
            </c:numRef>
          </c:xVal>
          <c:yVal>
            <c:numRef>
              <c:f>'Circular Sluice'!$K$70:$K$76</c:f>
              <c:numCache>
                <c:formatCode>0.000000</c:formatCode>
                <c:ptCount val="7"/>
                <c:pt idx="0">
                  <c:v>59.857975203895222</c:v>
                </c:pt>
                <c:pt idx="1">
                  <c:v>14.162565639533742</c:v>
                </c:pt>
                <c:pt idx="2">
                  <c:v>2.9630696489555794</c:v>
                </c:pt>
                <c:pt idx="3">
                  <c:v>-4.7864146845580491</c:v>
                </c:pt>
                <c:pt idx="4">
                  <c:v>-7.416859532577023</c:v>
                </c:pt>
                <c:pt idx="5">
                  <c:v>-9.1080503252756557</c:v>
                </c:pt>
                <c:pt idx="6">
                  <c:v>-11.221975467604974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C6-4056-9609-7D4299CC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26752"/>
        <c:axId val="81237120"/>
      </c:scatterChart>
      <c:valAx>
        <c:axId val="81226752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237120"/>
        <c:crosses val="autoZero"/>
        <c:crossBetween val="midCat"/>
        <c:majorUnit val="10"/>
      </c:valAx>
      <c:valAx>
        <c:axId val="8123712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226752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11793614482887"/>
          <c:y val="4.6753998186571465E-2"/>
          <c:w val="0.15627150772820061"/>
          <c:h val="0.14075982679262297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=15%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696642331505454"/>
          <c:y val="3.21239835291928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9017497812773411E-2"/>
          <c:w val="0.80413604549431317"/>
          <c:h val="0.83146456692913395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Sluice'!$H$81:$H$87</c:f>
              <c:numCache>
                <c:formatCode>0.000</c:formatCode>
                <c:ptCount val="7"/>
                <c:pt idx="0">
                  <c:v>4.9439162271508623</c:v>
                </c:pt>
                <c:pt idx="1">
                  <c:v>9.8878324543017246</c:v>
                </c:pt>
                <c:pt idx="2">
                  <c:v>14.83174868145259</c:v>
                </c:pt>
                <c:pt idx="3">
                  <c:v>19.775664908603449</c:v>
                </c:pt>
                <c:pt idx="4">
                  <c:v>24.719581135754311</c:v>
                </c:pt>
                <c:pt idx="5">
                  <c:v>29.663497362905179</c:v>
                </c:pt>
                <c:pt idx="6">
                  <c:v>34.607413590056048</c:v>
                </c:pt>
              </c:numCache>
            </c:numRef>
          </c:xVal>
          <c:yVal>
            <c:numRef>
              <c:f>'60-100 Sluice'!$K$81:$K$87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14.364475003732045</c:v>
                </c:pt>
                <c:pt idx="2">
                  <c:v>2.5301203283755114</c:v>
                </c:pt>
                <c:pt idx="3">
                  <c:v>-4.8010042705436859</c:v>
                </c:pt>
                <c:pt idx="4">
                  <c:v>-6.936411708277423</c:v>
                </c:pt>
                <c:pt idx="5">
                  <c:v>-6.2975266947202053</c:v>
                </c:pt>
                <c:pt idx="6">
                  <c:v>-5.988894194714617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A0-47E6-AA61-FC04916CB6FB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Sluice'!$H$81:$H$87</c:f>
              <c:numCache>
                <c:formatCode>0.000</c:formatCode>
                <c:ptCount val="7"/>
                <c:pt idx="0">
                  <c:v>6.5228613923163552</c:v>
                </c:pt>
                <c:pt idx="1">
                  <c:v>13.04572278463271</c:v>
                </c:pt>
                <c:pt idx="2">
                  <c:v>19.568584176949066</c:v>
                </c:pt>
                <c:pt idx="3">
                  <c:v>26.091445569265421</c:v>
                </c:pt>
                <c:pt idx="4">
                  <c:v>32.614306961581775</c:v>
                </c:pt>
                <c:pt idx="5">
                  <c:v>39.137168353898133</c:v>
                </c:pt>
                <c:pt idx="6">
                  <c:v>45.660029746214491</c:v>
                </c:pt>
              </c:numCache>
            </c:numRef>
          </c:xVal>
          <c:yVal>
            <c:numRef>
              <c:f>'100-60 Sluice'!$K$81:$K$87</c:f>
              <c:numCache>
                <c:formatCode>0.000000</c:formatCode>
                <c:ptCount val="7"/>
                <c:pt idx="0">
                  <c:v>58.589260778703682</c:v>
                </c:pt>
                <c:pt idx="1">
                  <c:v>14.46629747247184</c:v>
                </c:pt>
                <c:pt idx="2">
                  <c:v>3.865360682233471</c:v>
                </c:pt>
                <c:pt idx="3">
                  <c:v>-1.4710418505041325</c:v>
                </c:pt>
                <c:pt idx="4">
                  <c:v>-4.7123575774972188</c:v>
                </c:pt>
                <c:pt idx="5">
                  <c:v>-4.8109535696612751</c:v>
                </c:pt>
                <c:pt idx="6">
                  <c:v>-5.0598392066983129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A0-47E6-AA61-FC04916CB6FB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Sluice'!$H$81:$H$87</c:f>
              <c:numCache>
                <c:formatCode>0.00000</c:formatCode>
                <c:ptCount val="7"/>
                <c:pt idx="0">
                  <c:v>5.3476290687550607</c:v>
                </c:pt>
                <c:pt idx="1">
                  <c:v>10.695258137510121</c:v>
                </c:pt>
                <c:pt idx="2">
                  <c:v>16.042887206265185</c:v>
                </c:pt>
                <c:pt idx="3">
                  <c:v>21.390516275020243</c:v>
                </c:pt>
                <c:pt idx="4">
                  <c:v>26.738145343775308</c:v>
                </c:pt>
                <c:pt idx="5">
                  <c:v>32.08577441253037</c:v>
                </c:pt>
                <c:pt idx="6">
                  <c:v>37.815376986196505</c:v>
                </c:pt>
              </c:numCache>
            </c:numRef>
          </c:xVal>
          <c:yVal>
            <c:numRef>
              <c:f>'Circular Sluice'!$K$81:$K$87</c:f>
              <c:numCache>
                <c:formatCode>0.000000</c:formatCode>
                <c:ptCount val="7"/>
                <c:pt idx="0">
                  <c:v>59.953678564725521</c:v>
                </c:pt>
                <c:pt idx="1">
                  <c:v>14.066913843014239</c:v>
                </c:pt>
                <c:pt idx="2">
                  <c:v>2.035055288892893</c:v>
                </c:pt>
                <c:pt idx="3">
                  <c:v>-3.7890191119825096</c:v>
                </c:pt>
                <c:pt idx="4">
                  <c:v>-5.7482796867905464</c:v>
                </c:pt>
                <c:pt idx="5">
                  <c:v>-6.3492264900908735</c:v>
                </c:pt>
                <c:pt idx="6">
                  <c:v>-5.7210785880219168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A0-47E6-AA61-FC04916C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6592"/>
        <c:axId val="81412864"/>
      </c:scatterChart>
      <c:valAx>
        <c:axId val="81406592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412864"/>
        <c:crosses val="autoZero"/>
        <c:crossBetween val="midCat"/>
        <c:majorUnit val="10"/>
      </c:valAx>
      <c:valAx>
        <c:axId val="81412864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406592"/>
        <c:crosses val="autoZero"/>
        <c:crossBetween val="midCat"/>
        <c:majorUnit val="20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851347554991263"/>
          <c:y val="3.7243657958648355E-2"/>
          <c:w val="0.16076552930883639"/>
          <c:h val="0.14106702873858473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=30%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3046139967901511"/>
          <c:y val="2.48204321271587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4611111111111111E-2"/>
          <c:w val="0.80413604549431317"/>
          <c:h val="0.8345765529308836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Sluice'!$H$136:$H$142</c:f>
              <c:numCache>
                <c:formatCode>0.000</c:formatCode>
                <c:ptCount val="7"/>
                <c:pt idx="0">
                  <c:v>3.1213184730683809</c:v>
                </c:pt>
                <c:pt idx="1">
                  <c:v>6.2426369461367619</c:v>
                </c:pt>
                <c:pt idx="2">
                  <c:v>9.3639554192051406</c:v>
                </c:pt>
                <c:pt idx="3">
                  <c:v>12.485273892273524</c:v>
                </c:pt>
                <c:pt idx="4">
                  <c:v>15.606592365341905</c:v>
                </c:pt>
                <c:pt idx="5">
                  <c:v>18.727910838410281</c:v>
                </c:pt>
                <c:pt idx="6">
                  <c:v>21.974082050401403</c:v>
                </c:pt>
              </c:numCache>
            </c:numRef>
          </c:xVal>
          <c:yVal>
            <c:numRef>
              <c:f>'60-100 Sluice'!$K$136:$K$142</c:f>
              <c:numCache>
                <c:formatCode>0.000000</c:formatCode>
                <c:ptCount val="7"/>
                <c:pt idx="0">
                  <c:v>73.494368720805909</c:v>
                </c:pt>
                <c:pt idx="1">
                  <c:v>18.373592180201477</c:v>
                </c:pt>
                <c:pt idx="2">
                  <c:v>7.7757071894323238</c:v>
                </c:pt>
                <c:pt idx="3">
                  <c:v>-2.8597552531996331</c:v>
                </c:pt>
                <c:pt idx="4">
                  <c:v>-7.590782776895173</c:v>
                </c:pt>
                <c:pt idx="5">
                  <c:v>-7.6178491433072688</c:v>
                </c:pt>
                <c:pt idx="6">
                  <c:v>-9.3311125189193014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5E-47DE-BE41-FEB31933D868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Sluice'!$H$136:$H$142</c:f>
              <c:numCache>
                <c:formatCode>0.000</c:formatCode>
                <c:ptCount val="7"/>
                <c:pt idx="0">
                  <c:v>4.2829052715863334</c:v>
                </c:pt>
                <c:pt idx="1">
                  <c:v>8.5658105431726668</c:v>
                </c:pt>
                <c:pt idx="2">
                  <c:v>12.848715814758997</c:v>
                </c:pt>
                <c:pt idx="3">
                  <c:v>17.131621086345334</c:v>
                </c:pt>
                <c:pt idx="4">
                  <c:v>21.414526357931667</c:v>
                </c:pt>
                <c:pt idx="5">
                  <c:v>25.697431629517993</c:v>
                </c:pt>
                <c:pt idx="6">
                  <c:v>29.815609775274087</c:v>
                </c:pt>
              </c:numCache>
            </c:numRef>
          </c:xVal>
          <c:yVal>
            <c:numRef>
              <c:f>'100-60 Sluice'!$K$136:$K$142</c:f>
              <c:numCache>
                <c:formatCode>0.000000</c:formatCode>
                <c:ptCount val="7"/>
                <c:pt idx="0">
                  <c:v>67.949675222638575</c:v>
                </c:pt>
                <c:pt idx="1">
                  <c:v>16.950971285985091</c:v>
                </c:pt>
                <c:pt idx="2">
                  <c:v>5.9105771571216597</c:v>
                </c:pt>
                <c:pt idx="3">
                  <c:v>-1.4116810440914205</c:v>
                </c:pt>
                <c:pt idx="4">
                  <c:v>-3.6095566644946637</c:v>
                </c:pt>
                <c:pt idx="5">
                  <c:v>-6.3789376948535521</c:v>
                </c:pt>
                <c:pt idx="6">
                  <c:v>-8.5232691842023076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5E-47DE-BE41-FEB31933D868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Sluice'!$H$136:$H$142</c:f>
              <c:numCache>
                <c:formatCode>0.00000</c:formatCode>
                <c:ptCount val="7"/>
                <c:pt idx="0">
                  <c:v>3.6489426924427844</c:v>
                </c:pt>
                <c:pt idx="1">
                  <c:v>7.2978853848855687</c:v>
                </c:pt>
                <c:pt idx="2">
                  <c:v>10.946828077328352</c:v>
                </c:pt>
                <c:pt idx="3">
                  <c:v>14.595770769771137</c:v>
                </c:pt>
                <c:pt idx="4">
                  <c:v>18.24471346221392</c:v>
                </c:pt>
                <c:pt idx="5">
                  <c:v>21.893656154656703</c:v>
                </c:pt>
                <c:pt idx="6">
                  <c:v>26.126429677890332</c:v>
                </c:pt>
              </c:numCache>
            </c:numRef>
          </c:xVal>
          <c:yVal>
            <c:numRef>
              <c:f>'Circular Sluice'!$K$136:$K$142</c:f>
              <c:numCache>
                <c:formatCode>0.000000</c:formatCode>
                <c:ptCount val="7"/>
                <c:pt idx="0">
                  <c:v>75.379001381404876</c:v>
                </c:pt>
                <c:pt idx="1">
                  <c:v>18.4856932596789</c:v>
                </c:pt>
                <c:pt idx="2">
                  <c:v>7.6802134445161183</c:v>
                </c:pt>
                <c:pt idx="3">
                  <c:v>2.7638111335330633</c:v>
                </c:pt>
                <c:pt idx="4">
                  <c:v>0.20015250358522627</c:v>
                </c:pt>
                <c:pt idx="5">
                  <c:v>-1.0467297333903682</c:v>
                </c:pt>
                <c:pt idx="6">
                  <c:v>-3.2985291818983833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5E-47DE-BE41-FEB31933D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59456"/>
        <c:axId val="81473920"/>
      </c:scatterChart>
      <c:valAx>
        <c:axId val="81459456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473920"/>
        <c:crosses val="autoZero"/>
        <c:crossBetween val="midCat"/>
      </c:valAx>
      <c:valAx>
        <c:axId val="8147392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>
                <a:alpha val="88000"/>
              </a:schemeClr>
            </a:solidFill>
          </a:ln>
        </c:spPr>
        <c:crossAx val="81459456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356050438015498"/>
          <c:y val="3.7423148654900242E-2"/>
          <c:w val="0.15219597550306213"/>
          <c:h val="0.14743556788912379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=30%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522002952946272"/>
          <c:y val="2.74660456082772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9017497812773411E-2"/>
          <c:w val="0.80413604549431317"/>
          <c:h val="0.8259090113735784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Sluice'!$H$147:$H$153</c:f>
              <c:numCache>
                <c:formatCode>0.000</c:formatCode>
                <c:ptCount val="7"/>
                <c:pt idx="0">
                  <c:v>3.1213184730683809</c:v>
                </c:pt>
                <c:pt idx="1">
                  <c:v>6.2426369461367619</c:v>
                </c:pt>
                <c:pt idx="2">
                  <c:v>9.3639554192051406</c:v>
                </c:pt>
                <c:pt idx="3">
                  <c:v>12.485273892273524</c:v>
                </c:pt>
                <c:pt idx="4">
                  <c:v>15.606592365341905</c:v>
                </c:pt>
                <c:pt idx="5">
                  <c:v>18.727910838410281</c:v>
                </c:pt>
                <c:pt idx="6">
                  <c:v>21.974082050401403</c:v>
                </c:pt>
              </c:numCache>
            </c:numRef>
          </c:xVal>
          <c:yVal>
            <c:numRef>
              <c:f>'60-100 Sluice'!$K$147:$K$153</c:f>
              <c:numCache>
                <c:formatCode>0.000000</c:formatCode>
                <c:ptCount val="7"/>
                <c:pt idx="0">
                  <c:v>73.494368720805909</c:v>
                </c:pt>
                <c:pt idx="1">
                  <c:v>18.316825022518277</c:v>
                </c:pt>
                <c:pt idx="2">
                  <c:v>7.3842240501504035</c:v>
                </c:pt>
                <c:pt idx="3">
                  <c:v>-2.1304983273206406</c:v>
                </c:pt>
                <c:pt idx="4">
                  <c:v>-7.6630688139965653</c:v>
                </c:pt>
                <c:pt idx="5">
                  <c:v>-7.9916451079962281</c:v>
                </c:pt>
                <c:pt idx="6">
                  <c:v>-11.540913166313972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FE-4152-9887-BCFF6F2EE159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Sluice'!$H$147:$H$153</c:f>
              <c:numCache>
                <c:formatCode>0.000</c:formatCode>
                <c:ptCount val="7"/>
                <c:pt idx="0">
                  <c:v>4.2829052715863334</c:v>
                </c:pt>
                <c:pt idx="1">
                  <c:v>8.5658105431726668</c:v>
                </c:pt>
                <c:pt idx="2">
                  <c:v>12.848715814758997</c:v>
                </c:pt>
                <c:pt idx="3">
                  <c:v>17.131621086345334</c:v>
                </c:pt>
                <c:pt idx="4">
                  <c:v>21.414526357931667</c:v>
                </c:pt>
                <c:pt idx="5">
                  <c:v>25.697431629517993</c:v>
                </c:pt>
                <c:pt idx="6">
                  <c:v>29.815609775274087</c:v>
                </c:pt>
              </c:numCache>
            </c:numRef>
          </c:xVal>
          <c:yVal>
            <c:numRef>
              <c:f>'100-60 Sluice'!$K$147:$K$153</c:f>
              <c:numCache>
                <c:formatCode>0.000000</c:formatCode>
                <c:ptCount val="7"/>
                <c:pt idx="0">
                  <c:v>67.949675222638575</c:v>
                </c:pt>
                <c:pt idx="1">
                  <c:v>13.269407323658168</c:v>
                </c:pt>
                <c:pt idx="2">
                  <c:v>1.8611119311997659</c:v>
                </c:pt>
                <c:pt idx="3">
                  <c:v>-4.6457715178698802</c:v>
                </c:pt>
                <c:pt idx="4">
                  <c:v>-9.1015085839582053</c:v>
                </c:pt>
                <c:pt idx="5">
                  <c:v>-11.511226332511249</c:v>
                </c:pt>
                <c:pt idx="6">
                  <c:v>-11.973365780868228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FE-4152-9887-BCFF6F2EE159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Sluice'!$H$147:$H$153</c:f>
              <c:numCache>
                <c:formatCode>0.00000</c:formatCode>
                <c:ptCount val="7"/>
                <c:pt idx="0">
                  <c:v>3.6489426924427844</c:v>
                </c:pt>
                <c:pt idx="1">
                  <c:v>7.2978853848855687</c:v>
                </c:pt>
                <c:pt idx="2">
                  <c:v>10.946828077328352</c:v>
                </c:pt>
                <c:pt idx="3">
                  <c:v>14.595770769771137</c:v>
                </c:pt>
                <c:pt idx="4">
                  <c:v>18.24471346221392</c:v>
                </c:pt>
                <c:pt idx="5">
                  <c:v>21.893656154656703</c:v>
                </c:pt>
                <c:pt idx="6">
                  <c:v>25.980471970192625</c:v>
                </c:pt>
              </c:numCache>
            </c:numRef>
          </c:xVal>
          <c:yVal>
            <c:numRef>
              <c:f>'Circular Sluice'!$K$147:$K$153</c:f>
              <c:numCache>
                <c:formatCode>0.000000</c:formatCode>
                <c:ptCount val="7"/>
                <c:pt idx="0">
                  <c:v>75.204074061075531</c:v>
                </c:pt>
                <c:pt idx="1">
                  <c:v>18.025991507363695</c:v>
                </c:pt>
                <c:pt idx="2">
                  <c:v>6.461594803324652</c:v>
                </c:pt>
                <c:pt idx="3">
                  <c:v>0.58666466964113628</c:v>
                </c:pt>
                <c:pt idx="4">
                  <c:v>-2.7606398908773788</c:v>
                </c:pt>
                <c:pt idx="5">
                  <c:v>-6.1279978472351644</c:v>
                </c:pt>
                <c:pt idx="6">
                  <c:v>-7.8988497783979801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FE-4152-9887-BCFF6F2EE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2320"/>
        <c:axId val="81518592"/>
      </c:scatterChart>
      <c:valAx>
        <c:axId val="81512320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518592"/>
        <c:crosses val="autoZero"/>
        <c:crossBetween val="midCat"/>
      </c:valAx>
      <c:valAx>
        <c:axId val="81518592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51232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577813345477926"/>
          <c:y val="4.0882864900836903E-2"/>
          <c:w val="0.15682560513269175"/>
          <c:h val="0.14659246988267613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=30%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763508123521612"/>
          <c:y val="2.18059407198979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463079615048119E-2"/>
          <c:w val="0.80413604549431317"/>
          <c:h val="0.82713298337707786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Sluice'!$H$158:$H$164</c:f>
              <c:numCache>
                <c:formatCode>0.000</c:formatCode>
                <c:ptCount val="7"/>
                <c:pt idx="0">
                  <c:v>3.1213184730683809</c:v>
                </c:pt>
                <c:pt idx="1">
                  <c:v>6.2426369461367619</c:v>
                </c:pt>
                <c:pt idx="2">
                  <c:v>9.3639554192051406</c:v>
                </c:pt>
                <c:pt idx="3">
                  <c:v>12.485273892273524</c:v>
                </c:pt>
                <c:pt idx="4">
                  <c:v>15.606592365341905</c:v>
                </c:pt>
                <c:pt idx="5">
                  <c:v>18.727910838410281</c:v>
                </c:pt>
                <c:pt idx="6">
                  <c:v>21.974082050401403</c:v>
                </c:pt>
              </c:numCache>
            </c:numRef>
          </c:xVal>
          <c:yVal>
            <c:numRef>
              <c:f>'60-100 Sluice'!$K$158:$K$164</c:f>
              <c:numCache>
                <c:formatCode>0.000000</c:formatCode>
                <c:ptCount val="7"/>
                <c:pt idx="0">
                  <c:v>73.494368720805909</c:v>
                </c:pt>
                <c:pt idx="1">
                  <c:v>18.373592180201477</c:v>
                </c:pt>
                <c:pt idx="2">
                  <c:v>7.2272383301376033</c:v>
                </c:pt>
                <c:pt idx="3">
                  <c:v>-3.7982109816324008</c:v>
                </c:pt>
                <c:pt idx="4">
                  <c:v>-8.0071761859634076</c:v>
                </c:pt>
                <c:pt idx="5">
                  <c:v>-6.0951594941665954</c:v>
                </c:pt>
                <c:pt idx="6">
                  <c:v>-7.4071492854285594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73-4E7F-9F46-F7E4063746EF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Sluice'!$H$158:$H$164</c:f>
              <c:numCache>
                <c:formatCode>0.000</c:formatCode>
                <c:ptCount val="7"/>
                <c:pt idx="0">
                  <c:v>4.2829052715863334</c:v>
                </c:pt>
                <c:pt idx="1">
                  <c:v>8.5658105431726668</c:v>
                </c:pt>
                <c:pt idx="2">
                  <c:v>12.848715814758997</c:v>
                </c:pt>
                <c:pt idx="3">
                  <c:v>17.131621086345334</c:v>
                </c:pt>
                <c:pt idx="4">
                  <c:v>21.414526357931667</c:v>
                </c:pt>
                <c:pt idx="5">
                  <c:v>25.697431629517993</c:v>
                </c:pt>
                <c:pt idx="6">
                  <c:v>29.815609775274087</c:v>
                </c:pt>
              </c:numCache>
            </c:numRef>
          </c:xVal>
          <c:yVal>
            <c:numRef>
              <c:f>'100-60 Sluice'!$K$158:$K$164</c:f>
              <c:numCache>
                <c:formatCode>0.000000</c:formatCode>
                <c:ptCount val="7"/>
                <c:pt idx="0">
                  <c:v>67.949675222638575</c:v>
                </c:pt>
                <c:pt idx="1">
                  <c:v>13.075521097997399</c:v>
                </c:pt>
                <c:pt idx="2">
                  <c:v>2.5093594166826048</c:v>
                </c:pt>
                <c:pt idx="3">
                  <c:v>-2.2586485062887571</c:v>
                </c:pt>
                <c:pt idx="4">
                  <c:v>-5.8363333327600202</c:v>
                </c:pt>
                <c:pt idx="5">
                  <c:v>-7.0888300852792918</c:v>
                </c:pt>
                <c:pt idx="6">
                  <c:v>-7.5135718049511233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73-4E7F-9F46-F7E4063746EF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Sluice'!$H$158:$H$164</c:f>
              <c:numCache>
                <c:formatCode>0.00000</c:formatCode>
                <c:ptCount val="7"/>
                <c:pt idx="0">
                  <c:v>3.6489426924427844</c:v>
                </c:pt>
                <c:pt idx="1">
                  <c:v>7.2978853848855687</c:v>
                </c:pt>
                <c:pt idx="2">
                  <c:v>10.946828077328352</c:v>
                </c:pt>
                <c:pt idx="3">
                  <c:v>14.595770769771137</c:v>
                </c:pt>
                <c:pt idx="4">
                  <c:v>18.24471346221392</c:v>
                </c:pt>
                <c:pt idx="5">
                  <c:v>21.893656154656703</c:v>
                </c:pt>
                <c:pt idx="6">
                  <c:v>25.980471970192625</c:v>
                </c:pt>
              </c:numCache>
            </c:numRef>
          </c:xVal>
          <c:yVal>
            <c:numRef>
              <c:f>'Circular Sluice'!$K$158:$K$164</c:f>
              <c:numCache>
                <c:formatCode>0.000000</c:formatCode>
                <c:ptCount val="7"/>
                <c:pt idx="0">
                  <c:v>75.379001381404876</c:v>
                </c:pt>
                <c:pt idx="1">
                  <c:v>17.717555955773371</c:v>
                </c:pt>
                <c:pt idx="2">
                  <c:v>5.6301724953095862</c:v>
                </c:pt>
                <c:pt idx="3">
                  <c:v>0.36319809079307375</c:v>
                </c:pt>
                <c:pt idx="4">
                  <c:v>-3.042345331710719</c:v>
                </c:pt>
                <c:pt idx="5">
                  <c:v>-6.9792159244886829</c:v>
                </c:pt>
                <c:pt idx="6">
                  <c:v>-8.0657048107070697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73-4E7F-9F46-F7E40637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96256"/>
        <c:axId val="81698176"/>
      </c:scatterChart>
      <c:valAx>
        <c:axId val="81696256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698176"/>
        <c:crosses val="autoZero"/>
        <c:crossBetween val="midCat"/>
      </c:valAx>
      <c:valAx>
        <c:axId val="8169817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696256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502274556857354"/>
          <c:y val="3.3037685989510984E-2"/>
          <c:w val="0.15676035287255763"/>
          <c:h val="0.1399434497736417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=30%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796095629916866"/>
          <c:y val="2.4978508271005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48687664041996"/>
          <c:y val="2.6461067366579178E-2"/>
          <c:w val="0.80621682706328379"/>
          <c:h val="0.83022922134733146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Sluice'!$H$169:$H$175</c:f>
              <c:numCache>
                <c:formatCode>0.000</c:formatCode>
                <c:ptCount val="7"/>
                <c:pt idx="0">
                  <c:v>3.1213184730683809</c:v>
                </c:pt>
                <c:pt idx="1">
                  <c:v>6.2426369461367619</c:v>
                </c:pt>
                <c:pt idx="2">
                  <c:v>9.3639554192051406</c:v>
                </c:pt>
                <c:pt idx="3">
                  <c:v>12.485273892273524</c:v>
                </c:pt>
                <c:pt idx="4">
                  <c:v>15.606592365341905</c:v>
                </c:pt>
                <c:pt idx="5">
                  <c:v>18.727910838410281</c:v>
                </c:pt>
                <c:pt idx="6">
                  <c:v>21.974082050401403</c:v>
                </c:pt>
              </c:numCache>
            </c:numRef>
          </c:xVal>
          <c:yVal>
            <c:numRef>
              <c:f>'60-100 Sluice'!$K$169:$K$175</c:f>
              <c:numCache>
                <c:formatCode>0.000000</c:formatCode>
                <c:ptCount val="7"/>
                <c:pt idx="0">
                  <c:v>73.494368720805909</c:v>
                </c:pt>
                <c:pt idx="1">
                  <c:v>18.348362332342276</c:v>
                </c:pt>
                <c:pt idx="2">
                  <c:v>7.5436766886205477</c:v>
                </c:pt>
                <c:pt idx="3">
                  <c:v>-1.3804031239754408</c:v>
                </c:pt>
                <c:pt idx="4">
                  <c:v>-1.3240695393725646</c:v>
                </c:pt>
                <c:pt idx="5">
                  <c:v>-2.6996424697825923</c:v>
                </c:pt>
                <c:pt idx="6">
                  <c:v>-3.7719171616061162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9F-4F83-AC03-21DD9DEB6C96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Sluice'!$H$169:$H$175</c:f>
              <c:numCache>
                <c:formatCode>0.000</c:formatCode>
                <c:ptCount val="7"/>
                <c:pt idx="0">
                  <c:v>4.2829052715863334</c:v>
                </c:pt>
                <c:pt idx="1">
                  <c:v>8.5658105431726668</c:v>
                </c:pt>
                <c:pt idx="2">
                  <c:v>12.848715814758997</c:v>
                </c:pt>
                <c:pt idx="3">
                  <c:v>17.131621086345334</c:v>
                </c:pt>
                <c:pt idx="4">
                  <c:v>21.414526357931667</c:v>
                </c:pt>
                <c:pt idx="5">
                  <c:v>25.697431629517993</c:v>
                </c:pt>
                <c:pt idx="6">
                  <c:v>29.815609775274087</c:v>
                </c:pt>
              </c:numCache>
            </c:numRef>
          </c:xVal>
          <c:yVal>
            <c:numRef>
              <c:f>'100-60 Sluice'!$K$169:$K$175</c:f>
              <c:numCache>
                <c:formatCode>0.000000</c:formatCode>
                <c:ptCount val="7"/>
                <c:pt idx="0">
                  <c:v>67.949675222638575</c:v>
                </c:pt>
                <c:pt idx="1">
                  <c:v>16.882085473800178</c:v>
                </c:pt>
                <c:pt idx="2">
                  <c:v>3.1291162810082866</c:v>
                </c:pt>
                <c:pt idx="3">
                  <c:v>-0.65752354599337237</c:v>
                </c:pt>
                <c:pt idx="4">
                  <c:v>-0.33482458205765636</c:v>
                </c:pt>
                <c:pt idx="5">
                  <c:v>-1.9293337791569829</c:v>
                </c:pt>
                <c:pt idx="6">
                  <c:v>-3.1781868414799801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9F-4F83-AC03-21DD9DEB6C96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Sluice'!$H$169:$H$175</c:f>
              <c:numCache>
                <c:formatCode>0.00000</c:formatCode>
                <c:ptCount val="7"/>
                <c:pt idx="0">
                  <c:v>3.6489426924427844</c:v>
                </c:pt>
                <c:pt idx="1">
                  <c:v>7.2978853848855687</c:v>
                </c:pt>
                <c:pt idx="2">
                  <c:v>10.946828077328352</c:v>
                </c:pt>
                <c:pt idx="3">
                  <c:v>14.595770769771137</c:v>
                </c:pt>
                <c:pt idx="4">
                  <c:v>18.24471346221392</c:v>
                </c:pt>
                <c:pt idx="5">
                  <c:v>21.893656154656703</c:v>
                </c:pt>
                <c:pt idx="6">
                  <c:v>25.980471970192625</c:v>
                </c:pt>
              </c:numCache>
            </c:numRef>
          </c:xVal>
          <c:yVal>
            <c:numRef>
              <c:f>'Circular Sluice'!$K$169:$K$175</c:f>
              <c:numCache>
                <c:formatCode>0.000000</c:formatCode>
                <c:ptCount val="7"/>
                <c:pt idx="0">
                  <c:v>75.379001381404876</c:v>
                </c:pt>
                <c:pt idx="1">
                  <c:v>17.974254035309922</c:v>
                </c:pt>
                <c:pt idx="2">
                  <c:v>5.7704823774935443</c:v>
                </c:pt>
                <c:pt idx="3">
                  <c:v>-0.44250912482890353</c:v>
                </c:pt>
                <c:pt idx="4">
                  <c:v>-2.6682285822442195</c:v>
                </c:pt>
                <c:pt idx="5">
                  <c:v>-2.5989293690691864</c:v>
                </c:pt>
                <c:pt idx="6">
                  <c:v>-4.4724425386184574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9F-4F83-AC03-21DD9DEB6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28640"/>
        <c:axId val="81730560"/>
      </c:scatterChart>
      <c:valAx>
        <c:axId val="81728640"/>
        <c:scaling>
          <c:orientation val="minMax"/>
          <c:max val="4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730560"/>
        <c:crosses val="autoZero"/>
        <c:crossBetween val="midCat"/>
      </c:valAx>
      <c:valAx>
        <c:axId val="8173056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72864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4813849799694487"/>
          <c:y val="3.5042550975556808E-2"/>
          <c:w val="0.16132473024205307"/>
          <c:h val="0.1399434497736417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=40%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3149275180953919"/>
          <c:y val="2.18460998028233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4611111111111111E-2"/>
          <c:w val="0.80413604549431317"/>
          <c:h val="0.83031539807524057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Sluice'!$H$180:$H$186</c:f>
              <c:numCache>
                <c:formatCode>0.000</c:formatCode>
                <c:ptCount val="7"/>
                <c:pt idx="0">
                  <c:v>2.5950154473397178</c:v>
                </c:pt>
                <c:pt idx="1">
                  <c:v>5.1900308946794356</c:v>
                </c:pt>
                <c:pt idx="2">
                  <c:v>7.7850463420191529</c:v>
                </c:pt>
                <c:pt idx="3">
                  <c:v>10.380061789358871</c:v>
                </c:pt>
                <c:pt idx="4">
                  <c:v>12.97507723669859</c:v>
                </c:pt>
                <c:pt idx="5">
                  <c:v>15.570092684038306</c:v>
                </c:pt>
                <c:pt idx="6">
                  <c:v>18.08401389864866</c:v>
                </c:pt>
              </c:numCache>
            </c:numRef>
          </c:xVal>
          <c:yVal>
            <c:numRef>
              <c:f>'60-100 Sluice'!$K$180:$K$186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19.936623459420002</c:v>
                </c:pt>
                <c:pt idx="2">
                  <c:v>8.7816045015900031</c:v>
                </c:pt>
                <c:pt idx="3">
                  <c:v>4.3794169985250004</c:v>
                </c:pt>
                <c:pt idx="4">
                  <c:v>1.9165299189083997</c:v>
                </c:pt>
                <c:pt idx="5">
                  <c:v>-0.48605347133999982</c:v>
                </c:pt>
                <c:pt idx="6">
                  <c:v>-2.5223080748516482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FD-41F5-BE04-6F64E805E5A7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Sluice'!$H$180:$H$186</c:f>
              <c:numCache>
                <c:formatCode>0.000</c:formatCode>
                <c:ptCount val="7"/>
                <c:pt idx="0">
                  <c:v>3.423789015873282</c:v>
                </c:pt>
                <c:pt idx="1">
                  <c:v>6.847578031746564</c:v>
                </c:pt>
                <c:pt idx="2">
                  <c:v>10.271367047619844</c:v>
                </c:pt>
                <c:pt idx="3">
                  <c:v>13.695156063493128</c:v>
                </c:pt>
                <c:pt idx="4">
                  <c:v>17.118945079366409</c:v>
                </c:pt>
                <c:pt idx="5">
                  <c:v>20.542734095239688</c:v>
                </c:pt>
                <c:pt idx="6">
                  <c:v>23.859529704366935</c:v>
                </c:pt>
              </c:numCache>
            </c:numRef>
          </c:xVal>
          <c:yVal>
            <c:numRef>
              <c:f>'100-60 Sluice'!$K$180:$K$186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19.936623459420002</c:v>
                </c:pt>
                <c:pt idx="2">
                  <c:v>8.7653309090400011</c:v>
                </c:pt>
                <c:pt idx="3">
                  <c:v>4.4661309124724999</c:v>
                </c:pt>
                <c:pt idx="4">
                  <c:v>2.0579961068558998</c:v>
                </c:pt>
                <c:pt idx="5">
                  <c:v>-0.57745935098999968</c:v>
                </c:pt>
                <c:pt idx="6">
                  <c:v>-2.4788157724178577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FD-41F5-BE04-6F64E805E5A7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Sluice'!$H$180:$H$186</c:f>
              <c:numCache>
                <c:formatCode>0.00000</c:formatCode>
                <c:ptCount val="7"/>
                <c:pt idx="0">
                  <c:v>3.0972023463023919</c:v>
                </c:pt>
                <c:pt idx="1">
                  <c:v>6.1944046926047838</c:v>
                </c:pt>
                <c:pt idx="2">
                  <c:v>9.2916070389071734</c:v>
                </c:pt>
                <c:pt idx="3">
                  <c:v>12.388809385209568</c:v>
                </c:pt>
                <c:pt idx="4">
                  <c:v>15.48601173151196</c:v>
                </c:pt>
                <c:pt idx="5">
                  <c:v>18.583214077814347</c:v>
                </c:pt>
                <c:pt idx="6">
                  <c:v>21.873991570760644</c:v>
                </c:pt>
              </c:numCache>
            </c:numRef>
          </c:xVal>
          <c:yVal>
            <c:numRef>
              <c:f>'Circular Sluice'!$K$180:$K$186</c:f>
              <c:numCache>
                <c:formatCode>0.000000</c:formatCode>
                <c:ptCount val="7"/>
                <c:pt idx="0">
                  <c:v>81.781806395124647</c:v>
                </c:pt>
                <c:pt idx="1">
                  <c:v>19.908081642985977</c:v>
                </c:pt>
                <c:pt idx="2">
                  <c:v>7.5770649508676753</c:v>
                </c:pt>
                <c:pt idx="3">
                  <c:v>2.9557373188976652</c:v>
                </c:pt>
                <c:pt idx="4">
                  <c:v>-0.1815987899593845</c:v>
                </c:pt>
                <c:pt idx="5">
                  <c:v>-2.4668499313137833</c:v>
                </c:pt>
                <c:pt idx="6">
                  <c:v>-3.8491568964953773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FD-41F5-BE04-6F64E805E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89696"/>
        <c:axId val="81791616"/>
      </c:scatterChart>
      <c:valAx>
        <c:axId val="81789696"/>
        <c:scaling>
          <c:orientation val="minMax"/>
          <c:max val="3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791616"/>
        <c:crosses val="autoZero"/>
        <c:crossBetween val="midCat"/>
        <c:majorUnit val="5"/>
      </c:valAx>
      <c:valAx>
        <c:axId val="8179161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789696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195642584838287"/>
          <c:y val="3.7679811190527025E-2"/>
          <c:w val="0.14701223296953395"/>
          <c:h val="0.1399434497736417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=40%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981555997666456"/>
          <c:y val="2.619298954804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30839895013122"/>
          <c:y val="2.4611111111111111E-2"/>
          <c:w val="0.81339530475357247"/>
          <c:h val="0.82475984251968504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Sluice'!$H$191:$H$197</c:f>
              <c:numCache>
                <c:formatCode>0.000</c:formatCode>
                <c:ptCount val="7"/>
                <c:pt idx="0">
                  <c:v>2.5950154473397178</c:v>
                </c:pt>
                <c:pt idx="1">
                  <c:v>5.1900308946794356</c:v>
                </c:pt>
                <c:pt idx="2">
                  <c:v>7.7850463420191529</c:v>
                </c:pt>
                <c:pt idx="3">
                  <c:v>10.380061789358871</c:v>
                </c:pt>
                <c:pt idx="4">
                  <c:v>12.97507723669859</c:v>
                </c:pt>
                <c:pt idx="5">
                  <c:v>15.570092684038306</c:v>
                </c:pt>
                <c:pt idx="6">
                  <c:v>18.08401389864866</c:v>
                </c:pt>
              </c:numCache>
            </c:numRef>
          </c:xVal>
          <c:yVal>
            <c:numRef>
              <c:f>'60-100 Sluice'!$K$191:$K$197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19.875027151169999</c:v>
                </c:pt>
                <c:pt idx="2">
                  <c:v>8.0673534827775022</c:v>
                </c:pt>
                <c:pt idx="3">
                  <c:v>2.072767857726094</c:v>
                </c:pt>
                <c:pt idx="4">
                  <c:v>-1.9408690760984997</c:v>
                </c:pt>
                <c:pt idx="5">
                  <c:v>-3.4484024426625011</c:v>
                </c:pt>
                <c:pt idx="6">
                  <c:v>-6.7482798281245868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CB-455E-B596-42B8D7CE791C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Sluice'!$H$191:$H$197</c:f>
              <c:numCache>
                <c:formatCode>0.000</c:formatCode>
                <c:ptCount val="7"/>
                <c:pt idx="0">
                  <c:v>3.423789015873282</c:v>
                </c:pt>
                <c:pt idx="1">
                  <c:v>6.847578031746564</c:v>
                </c:pt>
                <c:pt idx="2">
                  <c:v>10.271367047619844</c:v>
                </c:pt>
                <c:pt idx="3">
                  <c:v>13.695156063493128</c:v>
                </c:pt>
                <c:pt idx="4">
                  <c:v>17.118945079366409</c:v>
                </c:pt>
                <c:pt idx="5">
                  <c:v>20.542734095239688</c:v>
                </c:pt>
                <c:pt idx="6">
                  <c:v>23.859529704366935</c:v>
                </c:pt>
              </c:numCache>
            </c:numRef>
          </c:xVal>
          <c:yVal>
            <c:numRef>
              <c:f>'100-60 Sluice'!$K$191:$K$197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19.909247322420001</c:v>
                </c:pt>
                <c:pt idx="2">
                  <c:v>8.2299753410400012</c:v>
                </c:pt>
                <c:pt idx="3">
                  <c:v>2.3683488644193749</c:v>
                </c:pt>
                <c:pt idx="4">
                  <c:v>-1.5225151633055989</c:v>
                </c:pt>
                <c:pt idx="5">
                  <c:v>-3.2081863460906255</c:v>
                </c:pt>
                <c:pt idx="6">
                  <c:v>-6.3742877423734177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CB-455E-B596-42B8D7CE791C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Sluice'!$H$191:$H$197</c:f>
              <c:numCache>
                <c:formatCode>0.00000</c:formatCode>
                <c:ptCount val="7"/>
                <c:pt idx="0">
                  <c:v>3.0972023463023919</c:v>
                </c:pt>
                <c:pt idx="1">
                  <c:v>6.1944046926047838</c:v>
                </c:pt>
                <c:pt idx="2">
                  <c:v>9.2916070389071734</c:v>
                </c:pt>
                <c:pt idx="3">
                  <c:v>12.388809385209568</c:v>
                </c:pt>
                <c:pt idx="4">
                  <c:v>15.48601173151196</c:v>
                </c:pt>
                <c:pt idx="5">
                  <c:v>18.583214077814347</c:v>
                </c:pt>
                <c:pt idx="6">
                  <c:v>22.26114186404844</c:v>
                </c:pt>
              </c:numCache>
            </c:numRef>
          </c:xVal>
          <c:yVal>
            <c:numRef>
              <c:f>'Circular Sluice'!$K$191:$K$197</c:f>
              <c:numCache>
                <c:formatCode>0.000000</c:formatCode>
                <c:ptCount val="7"/>
                <c:pt idx="0">
                  <c:v>81.781806395124647</c:v>
                </c:pt>
                <c:pt idx="1">
                  <c:v>19.572868071214184</c:v>
                </c:pt>
                <c:pt idx="2">
                  <c:v>7.0822537207506873</c:v>
                </c:pt>
                <c:pt idx="3">
                  <c:v>1.3417499466869678</c:v>
                </c:pt>
                <c:pt idx="4">
                  <c:v>-2.7954195971403206</c:v>
                </c:pt>
                <c:pt idx="5">
                  <c:v>-4.8556736016901105</c:v>
                </c:pt>
                <c:pt idx="6">
                  <c:v>-7.453509898505799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CB-455E-B596-42B8D7CE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50752"/>
        <c:axId val="81852672"/>
      </c:scatterChart>
      <c:valAx>
        <c:axId val="81850752"/>
        <c:scaling>
          <c:orientation val="minMax"/>
          <c:max val="3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852672"/>
        <c:crosses val="autoZero"/>
        <c:crossBetween val="midCat"/>
        <c:majorUnit val="5"/>
      </c:valAx>
      <c:valAx>
        <c:axId val="81852672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850752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4405388612681058"/>
          <c:y val="2.9813926640388209E-2"/>
          <c:w val="0.15627150772820061"/>
          <c:h val="0.1474176164064711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=40%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923582149016506"/>
          <c:y val="2.78858739561319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12416156313793"/>
          <c:y val="2.8358705161854767E-2"/>
          <c:w val="0.80571412948381449"/>
          <c:h val="0.8265678040244969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Sluice'!$H$202:$H$208</c:f>
              <c:numCache>
                <c:formatCode>0.000</c:formatCode>
                <c:ptCount val="7"/>
                <c:pt idx="0">
                  <c:v>2.5950154473397178</c:v>
                </c:pt>
                <c:pt idx="1">
                  <c:v>5.1900308946794356</c:v>
                </c:pt>
                <c:pt idx="2">
                  <c:v>7.7850463420191529</c:v>
                </c:pt>
                <c:pt idx="3">
                  <c:v>10.380061789358871</c:v>
                </c:pt>
                <c:pt idx="4">
                  <c:v>12.97507723669859</c:v>
                </c:pt>
                <c:pt idx="5">
                  <c:v>15.570092684038306</c:v>
                </c:pt>
                <c:pt idx="6">
                  <c:v>18.08401389864866</c:v>
                </c:pt>
              </c:numCache>
            </c:numRef>
          </c:xVal>
          <c:yVal>
            <c:numRef>
              <c:f>'60-100 Sluice'!$K$202:$K$208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19.936623459420002</c:v>
                </c:pt>
                <c:pt idx="2">
                  <c:v>7.8252875958375014</c:v>
                </c:pt>
                <c:pt idx="3">
                  <c:v>1.842534545556094</c:v>
                </c:pt>
                <c:pt idx="4">
                  <c:v>-1.5946239081635998</c:v>
                </c:pt>
                <c:pt idx="5">
                  <c:v>-2.5367865861656256</c:v>
                </c:pt>
                <c:pt idx="6">
                  <c:v>-3.2439849066847786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77-4BEB-8F14-9E7B91CD88C5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Sluice'!$H$202:$H$208</c:f>
              <c:numCache>
                <c:formatCode>0.000</c:formatCode>
                <c:ptCount val="7"/>
                <c:pt idx="0">
                  <c:v>3.423789015873282</c:v>
                </c:pt>
                <c:pt idx="1">
                  <c:v>6.847578031746564</c:v>
                </c:pt>
                <c:pt idx="2">
                  <c:v>10.271367047619844</c:v>
                </c:pt>
                <c:pt idx="3">
                  <c:v>13.695156063493128</c:v>
                </c:pt>
                <c:pt idx="4">
                  <c:v>17.118945079366409</c:v>
                </c:pt>
                <c:pt idx="5">
                  <c:v>20.542734095239688</c:v>
                </c:pt>
                <c:pt idx="6">
                  <c:v>23.859529704366935</c:v>
                </c:pt>
              </c:numCache>
            </c:numRef>
          </c:xVal>
          <c:yVal>
            <c:numRef>
              <c:f>'100-60 Sluice'!$K$202:$K$208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19.909247322420001</c:v>
                </c:pt>
                <c:pt idx="2">
                  <c:v>7.9555980079575006</c:v>
                </c:pt>
                <c:pt idx="3">
                  <c:v>1.7315970278849999</c:v>
                </c:pt>
                <c:pt idx="4">
                  <c:v>-2.2682411351855989</c:v>
                </c:pt>
                <c:pt idx="5">
                  <c:v>-2.6334547677056261</c:v>
                </c:pt>
                <c:pt idx="6">
                  <c:v>-3.1551724441244269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77-4BEB-8F14-9E7B91CD88C5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Sluice'!$H$202:$H$208</c:f>
              <c:numCache>
                <c:formatCode>0.00000</c:formatCode>
                <c:ptCount val="7"/>
                <c:pt idx="0">
                  <c:v>3.0972023463023919</c:v>
                </c:pt>
                <c:pt idx="1">
                  <c:v>6.1944046926047838</c:v>
                </c:pt>
                <c:pt idx="2">
                  <c:v>9.2916070389071734</c:v>
                </c:pt>
                <c:pt idx="3">
                  <c:v>12.388809385209568</c:v>
                </c:pt>
                <c:pt idx="4">
                  <c:v>15.48601173151196</c:v>
                </c:pt>
                <c:pt idx="5">
                  <c:v>18.583214077814347</c:v>
                </c:pt>
                <c:pt idx="6">
                  <c:v>22.164354290726493</c:v>
                </c:pt>
              </c:numCache>
            </c:numRef>
          </c:xVal>
          <c:yVal>
            <c:numRef>
              <c:f>'Circular Sluice'!$K$202:$K$208</c:f>
              <c:numCache>
                <c:formatCode>0.000000</c:formatCode>
                <c:ptCount val="7"/>
                <c:pt idx="0">
                  <c:v>81.781806395124647</c:v>
                </c:pt>
                <c:pt idx="1">
                  <c:v>19.050061937894426</c:v>
                </c:pt>
                <c:pt idx="2">
                  <c:v>6.4088709205976286</c:v>
                </c:pt>
                <c:pt idx="3">
                  <c:v>0.64535357752454314</c:v>
                </c:pt>
                <c:pt idx="4">
                  <c:v>-3.5260279645071941</c:v>
                </c:pt>
                <c:pt idx="5">
                  <c:v>-5.0886655166735242</c:v>
                </c:pt>
                <c:pt idx="6">
                  <c:v>-6.094665346770074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77-4BEB-8F14-9E7B91CD8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9040"/>
        <c:axId val="81880960"/>
      </c:scatterChart>
      <c:valAx>
        <c:axId val="81879040"/>
        <c:scaling>
          <c:orientation val="minMax"/>
          <c:max val="3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880960"/>
        <c:crosses val="autoZero"/>
        <c:crossBetween val="midCat"/>
        <c:majorUnit val="5"/>
      </c:valAx>
      <c:valAx>
        <c:axId val="8188096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87904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254382607699465"/>
          <c:y val="4.0467416499377296E-2"/>
          <c:w val="0.15164187809857099"/>
          <c:h val="0.13993468026882791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=40%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3230380193885856"/>
          <c:y val="2.94276540036788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9272528433945757E-2"/>
          <c:w val="0.80413604549431317"/>
          <c:h val="0.82565398075240581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Sluice'!$H$213:$H$219</c:f>
              <c:numCache>
                <c:formatCode>0.000</c:formatCode>
                <c:ptCount val="7"/>
                <c:pt idx="0">
                  <c:v>2.5950154473397178</c:v>
                </c:pt>
                <c:pt idx="1">
                  <c:v>5.1900308946794356</c:v>
                </c:pt>
                <c:pt idx="2">
                  <c:v>7.7850463420191529</c:v>
                </c:pt>
                <c:pt idx="3">
                  <c:v>10.380061789358871</c:v>
                </c:pt>
                <c:pt idx="4">
                  <c:v>12.97507723669859</c:v>
                </c:pt>
                <c:pt idx="5">
                  <c:v>15.570092684038306</c:v>
                </c:pt>
                <c:pt idx="6">
                  <c:v>18.08401389864866</c:v>
                </c:pt>
              </c:numCache>
            </c:numRef>
          </c:xVal>
          <c:yVal>
            <c:numRef>
              <c:f>'60-100 Sluice'!$K$213:$K$219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19.901975536029376</c:v>
                </c:pt>
                <c:pt idx="2">
                  <c:v>8.4825582272775026</c:v>
                </c:pt>
                <c:pt idx="3">
                  <c:v>3.7506512944560941</c:v>
                </c:pt>
                <c:pt idx="4">
                  <c:v>1.8637158754080001</c:v>
                </c:pt>
                <c:pt idx="5">
                  <c:v>0.64777486941000051</c:v>
                </c:pt>
                <c:pt idx="6">
                  <c:v>-0.18620165554096771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4-491F-A1BA-BDC912E76EEC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Sluice'!$H$213:$H$219</c:f>
              <c:numCache>
                <c:formatCode>0.000</c:formatCode>
                <c:ptCount val="7"/>
                <c:pt idx="0">
                  <c:v>3.423789015873282</c:v>
                </c:pt>
                <c:pt idx="1">
                  <c:v>6.847578031746564</c:v>
                </c:pt>
                <c:pt idx="2">
                  <c:v>10.271367047619844</c:v>
                </c:pt>
                <c:pt idx="3">
                  <c:v>13.695156063493128</c:v>
                </c:pt>
                <c:pt idx="4">
                  <c:v>17.118945079366409</c:v>
                </c:pt>
                <c:pt idx="5">
                  <c:v>20.542734095239688</c:v>
                </c:pt>
                <c:pt idx="6">
                  <c:v>23.859529704366935</c:v>
                </c:pt>
              </c:numCache>
            </c:numRef>
          </c:xVal>
          <c:yVal>
            <c:numRef>
              <c:f>'100-60 Sluice'!$K$213:$K$219</c:f>
              <c:numCache>
                <c:formatCode>0.000000</c:formatCode>
                <c:ptCount val="7"/>
                <c:pt idx="0">
                  <c:v>79.746493837680006</c:v>
                </c:pt>
                <c:pt idx="1">
                  <c:v>19.936623459420002</c:v>
                </c:pt>
                <c:pt idx="2">
                  <c:v>8.5625954055900024</c:v>
                </c:pt>
                <c:pt idx="3">
                  <c:v>3.7136250691635939</c:v>
                </c:pt>
                <c:pt idx="4">
                  <c:v>1.9053029651247002</c:v>
                </c:pt>
                <c:pt idx="5">
                  <c:v>0.58149229881937525</c:v>
                </c:pt>
                <c:pt idx="6">
                  <c:v>-0.27062415918614224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4-491F-A1BA-BDC912E76EEC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Sluice'!$H$213:$H$219</c:f>
              <c:numCache>
                <c:formatCode>0.00000</c:formatCode>
                <c:ptCount val="7"/>
                <c:pt idx="0">
                  <c:v>3.0972023463023919</c:v>
                </c:pt>
                <c:pt idx="1">
                  <c:v>6.1944046926047838</c:v>
                </c:pt>
                <c:pt idx="2">
                  <c:v>9.2916070389071734</c:v>
                </c:pt>
                <c:pt idx="3">
                  <c:v>12.388809385209568</c:v>
                </c:pt>
                <c:pt idx="4">
                  <c:v>15.48601173151196</c:v>
                </c:pt>
                <c:pt idx="5">
                  <c:v>18.583214077814347</c:v>
                </c:pt>
                <c:pt idx="6">
                  <c:v>21.873991570760644</c:v>
                </c:pt>
              </c:numCache>
            </c:numRef>
          </c:xVal>
          <c:yVal>
            <c:numRef>
              <c:f>'Circular Sluice'!$K$213:$K$219</c:f>
              <c:numCache>
                <c:formatCode>0.000000</c:formatCode>
                <c:ptCount val="7"/>
                <c:pt idx="0">
                  <c:v>81.781806395124647</c:v>
                </c:pt>
                <c:pt idx="1">
                  <c:v>19.24097083974101</c:v>
                </c:pt>
                <c:pt idx="2">
                  <c:v>6.5084664102006808</c:v>
                </c:pt>
                <c:pt idx="3">
                  <c:v>0.99242876856548212</c:v>
                </c:pt>
                <c:pt idx="4">
                  <c:v>-3.3767920317712405E-2</c:v>
                </c:pt>
                <c:pt idx="5">
                  <c:v>-1.018110278697782</c:v>
                </c:pt>
                <c:pt idx="6">
                  <c:v>-1.6846001715675076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4-491F-A1BA-BDC912E76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19360"/>
        <c:axId val="81925632"/>
      </c:scatterChart>
      <c:valAx>
        <c:axId val="81919360"/>
        <c:scaling>
          <c:orientation val="minMax"/>
          <c:max val="3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925632"/>
        <c:crosses val="autoZero"/>
        <c:crossBetween val="midCat"/>
        <c:majorUnit val="5"/>
      </c:valAx>
      <c:valAx>
        <c:axId val="81925632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91936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300863843180926"/>
          <c:y val="3.7055788089844124E-2"/>
          <c:w val="0.15164187809857099"/>
          <c:h val="0.1399434497736417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=60%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0305300379119282"/>
          <c:y val="0.2054053203376226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744531933508311E-2"/>
          <c:w val="0.80413604549431317"/>
          <c:h val="0.82748118985126862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Sluice'!$H$224:$H$230</c:f>
              <c:numCache>
                <c:formatCode>0.000</c:formatCode>
                <c:ptCount val="7"/>
                <c:pt idx="0">
                  <c:v>1.8539685851815737</c:v>
                </c:pt>
                <c:pt idx="1">
                  <c:v>3.7079371703631474</c:v>
                </c:pt>
                <c:pt idx="2">
                  <c:v>5.5619057555447204</c:v>
                </c:pt>
                <c:pt idx="3">
                  <c:v>7.4158743407262948</c:v>
                </c:pt>
                <c:pt idx="4">
                  <c:v>9.2698429259078683</c:v>
                </c:pt>
                <c:pt idx="5">
                  <c:v>11.123811511089441</c:v>
                </c:pt>
                <c:pt idx="6">
                  <c:v>13.021922205442007</c:v>
                </c:pt>
              </c:numCache>
            </c:numRef>
          </c:xVal>
          <c:yVal>
            <c:numRef>
              <c:f>'60-100 Sluice'!$K$224:$K$230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11.546330144444084</c:v>
                </c:pt>
                <c:pt idx="3">
                  <c:v>5.9969840353548989</c:v>
                </c:pt>
                <c:pt idx="4">
                  <c:v>2.7017576254526694</c:v>
                </c:pt>
                <c:pt idx="5">
                  <c:v>0.88198880408816371</c:v>
                </c:pt>
                <c:pt idx="6">
                  <c:v>-0.85279173107722117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5C-4D94-868F-B2F9C3B3BC8E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Sluice'!$H$224:$H$230</c:f>
              <c:numCache>
                <c:formatCode>0.000</c:formatCode>
                <c:ptCount val="7"/>
                <c:pt idx="0">
                  <c:v>2.4460730221186333</c:v>
                </c:pt>
                <c:pt idx="1">
                  <c:v>4.8921460442372666</c:v>
                </c:pt>
                <c:pt idx="2">
                  <c:v>7.338219066355899</c:v>
                </c:pt>
                <c:pt idx="3">
                  <c:v>9.7842920884745332</c:v>
                </c:pt>
                <c:pt idx="4">
                  <c:v>12.230365110593166</c:v>
                </c:pt>
                <c:pt idx="5">
                  <c:v>14.676438132711798</c:v>
                </c:pt>
                <c:pt idx="6">
                  <c:v>17.180750988690402</c:v>
                </c:pt>
              </c:numCache>
            </c:numRef>
          </c:xVal>
          <c:yVal>
            <c:numRef>
              <c:f>'100-60 Sluice'!$K$224:$K$230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9.4070433352849001</c:v>
                </c:pt>
                <c:pt idx="3">
                  <c:v>3.4006814849755109</c:v>
                </c:pt>
                <c:pt idx="4">
                  <c:v>0.4680829614339922</c:v>
                </c:pt>
                <c:pt idx="5">
                  <c:v>-0.33939910010204044</c:v>
                </c:pt>
                <c:pt idx="6">
                  <c:v>-1.4249533655790791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5C-4D94-868F-B2F9C3B3BC8E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Sluice'!$H$224:$H$230</c:f>
              <c:numCache>
                <c:formatCode>0.00000</c:formatCode>
                <c:ptCount val="7"/>
                <c:pt idx="0">
                  <c:v>2.2124106366767977</c:v>
                </c:pt>
                <c:pt idx="1">
                  <c:v>4.4248212733535954</c:v>
                </c:pt>
                <c:pt idx="2">
                  <c:v>6.6372319100303914</c:v>
                </c:pt>
                <c:pt idx="3">
                  <c:v>8.8496425467071909</c:v>
                </c:pt>
                <c:pt idx="4">
                  <c:v>11.062053183383988</c:v>
                </c:pt>
                <c:pt idx="5">
                  <c:v>13.274463820060783</c:v>
                </c:pt>
                <c:pt idx="6">
                  <c:v>15.48687445673758</c:v>
                </c:pt>
              </c:numCache>
            </c:numRef>
          </c:xVal>
          <c:yVal>
            <c:numRef>
              <c:f>'Circular Sluice'!$K$224:$K$230</c:f>
              <c:numCache>
                <c:formatCode>0.000000</c:formatCode>
                <c:ptCount val="7"/>
                <c:pt idx="0">
                  <c:v>106.83878654006276</c:v>
                </c:pt>
                <c:pt idx="1">
                  <c:v>26.260407823973399</c:v>
                </c:pt>
                <c:pt idx="2">
                  <c:v>9.8353312018312522</c:v>
                </c:pt>
                <c:pt idx="3">
                  <c:v>1.7209204257120947</c:v>
                </c:pt>
                <c:pt idx="4">
                  <c:v>-0.94644732229244855</c:v>
                </c:pt>
                <c:pt idx="5">
                  <c:v>-2.3946885374770268</c:v>
                </c:pt>
                <c:pt idx="6">
                  <c:v>-4.433387420664614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5C-4D94-868F-B2F9C3B3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68128"/>
        <c:axId val="81978496"/>
      </c:scatterChart>
      <c:valAx>
        <c:axId val="81968128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978496"/>
        <c:crosses val="autoZero"/>
        <c:crossBetween val="midCat"/>
      </c:valAx>
      <c:valAx>
        <c:axId val="8197849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1968128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7936388159813352"/>
          <c:y val="4.2270507325824776E-2"/>
          <c:w val="0.16145523476232138"/>
          <c:h val="0.140773342705912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=60%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0300743657042872"/>
          <c:y val="0.2008005074598697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93802857976087"/>
          <c:y val="2.4611111111111111E-2"/>
          <c:w val="0.80876567512394282"/>
          <c:h val="0.83551837270341223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Sluice'!$H$235:$H$241</c:f>
              <c:numCache>
                <c:formatCode>0.000</c:formatCode>
                <c:ptCount val="7"/>
                <c:pt idx="0">
                  <c:v>1.8539685851815737</c:v>
                </c:pt>
                <c:pt idx="1">
                  <c:v>3.7079371703631474</c:v>
                </c:pt>
                <c:pt idx="2">
                  <c:v>5.5619057555447204</c:v>
                </c:pt>
                <c:pt idx="3">
                  <c:v>7.4158743407262948</c:v>
                </c:pt>
                <c:pt idx="4">
                  <c:v>9.2698429259078683</c:v>
                </c:pt>
                <c:pt idx="5">
                  <c:v>11.123811511089441</c:v>
                </c:pt>
                <c:pt idx="6">
                  <c:v>13.021922205442007</c:v>
                </c:pt>
              </c:numCache>
            </c:numRef>
          </c:xVal>
          <c:yVal>
            <c:numRef>
              <c:f>'60-100 Sluice'!$K$235:$K$241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10.981852822726534</c:v>
                </c:pt>
                <c:pt idx="3">
                  <c:v>5.1739567917336746</c:v>
                </c:pt>
                <c:pt idx="4">
                  <c:v>1.1530540222542378</c:v>
                </c:pt>
                <c:pt idx="5">
                  <c:v>-0.17716103541550965</c:v>
                </c:pt>
                <c:pt idx="6">
                  <c:v>-1.5784633275606514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9-4BC7-B7AF-78B7AC00BF37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Sluice'!$H$235:$H$241</c:f>
              <c:numCache>
                <c:formatCode>0.000</c:formatCode>
                <c:ptCount val="7"/>
                <c:pt idx="0">
                  <c:v>2.4460730221186333</c:v>
                </c:pt>
                <c:pt idx="1">
                  <c:v>4.8921460442372666</c:v>
                </c:pt>
                <c:pt idx="2">
                  <c:v>7.338219066355899</c:v>
                </c:pt>
                <c:pt idx="3">
                  <c:v>9.7842920884745332</c:v>
                </c:pt>
                <c:pt idx="4">
                  <c:v>12.230365110593166</c:v>
                </c:pt>
                <c:pt idx="5">
                  <c:v>14.676438132711798</c:v>
                </c:pt>
                <c:pt idx="6">
                  <c:v>17.122511154830431</c:v>
                </c:pt>
              </c:numCache>
            </c:numRef>
          </c:xVal>
          <c:yVal>
            <c:numRef>
              <c:f>'100-60 Sluice'!$K$235:$K$241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9.3510246821583713</c:v>
                </c:pt>
                <c:pt idx="3">
                  <c:v>3.2658791516008168</c:v>
                </c:pt>
                <c:pt idx="4">
                  <c:v>-0.35105396551053053</c:v>
                </c:pt>
                <c:pt idx="5">
                  <c:v>-1.5986865035240807</c:v>
                </c:pt>
                <c:pt idx="6">
                  <c:v>-3.5897110918602588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9-4BC7-B7AF-78B7AC00BF37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Sluice'!$H$235:$H$241</c:f>
              <c:numCache>
                <c:formatCode>0.00000</c:formatCode>
                <c:ptCount val="7"/>
                <c:pt idx="0">
                  <c:v>2.2124106366767977</c:v>
                </c:pt>
                <c:pt idx="1">
                  <c:v>4.4248212733535954</c:v>
                </c:pt>
                <c:pt idx="2">
                  <c:v>6.6372319100303914</c:v>
                </c:pt>
                <c:pt idx="3">
                  <c:v>8.8496425467071909</c:v>
                </c:pt>
                <c:pt idx="4">
                  <c:v>11.062053183383988</c:v>
                </c:pt>
                <c:pt idx="5">
                  <c:v>13.274463820060783</c:v>
                </c:pt>
                <c:pt idx="6">
                  <c:v>15.276168681815982</c:v>
                </c:pt>
              </c:numCache>
            </c:numRef>
          </c:xVal>
          <c:yVal>
            <c:numRef>
              <c:f>'Circular Sluice'!$K$235:$K$241</c:f>
              <c:numCache>
                <c:formatCode>0.000000</c:formatCode>
                <c:ptCount val="7"/>
                <c:pt idx="0">
                  <c:v>106.55124170099569</c:v>
                </c:pt>
                <c:pt idx="1">
                  <c:v>25.950398544354215</c:v>
                </c:pt>
                <c:pt idx="2">
                  <c:v>10.107889559242011</c:v>
                </c:pt>
                <c:pt idx="3">
                  <c:v>3.5137833571329171</c:v>
                </c:pt>
                <c:pt idx="4">
                  <c:v>0.13699889179692815</c:v>
                </c:pt>
                <c:pt idx="5">
                  <c:v>-1.5511844525872678</c:v>
                </c:pt>
                <c:pt idx="6">
                  <c:v>-2.3855866976326254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9-4BC7-B7AF-78B7AC00B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74240"/>
        <c:axId val="82105088"/>
      </c:scatterChart>
      <c:valAx>
        <c:axId val="82074240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105088"/>
        <c:crosses val="autoZero"/>
        <c:crossBetween val="midCat"/>
      </c:valAx>
      <c:valAx>
        <c:axId val="82105088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07424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8524460484106151"/>
          <c:y val="4.4615053943822945E-2"/>
          <c:w val="0.15219597550306213"/>
          <c:h val="0.13993468026882791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=60%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0307779235928844"/>
          <c:y val="0.1936792937500655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93802857976087"/>
          <c:y val="2.4611111111111111E-2"/>
          <c:w val="0.80876567512394282"/>
          <c:h val="0.83031539807524057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Sluice'!$H$246:$H$252</c:f>
              <c:numCache>
                <c:formatCode>0.000</c:formatCode>
                <c:ptCount val="7"/>
                <c:pt idx="0">
                  <c:v>1.8539685851815737</c:v>
                </c:pt>
                <c:pt idx="1">
                  <c:v>3.7079371703631474</c:v>
                </c:pt>
                <c:pt idx="2">
                  <c:v>5.5619057555447204</c:v>
                </c:pt>
                <c:pt idx="3">
                  <c:v>7.4158743407262948</c:v>
                </c:pt>
                <c:pt idx="4">
                  <c:v>9.2698429259078683</c:v>
                </c:pt>
                <c:pt idx="5">
                  <c:v>11.123811511089441</c:v>
                </c:pt>
                <c:pt idx="6">
                  <c:v>13.021922205442007</c:v>
                </c:pt>
              </c:numCache>
            </c:numRef>
          </c:xVal>
          <c:yVal>
            <c:numRef>
              <c:f>'60-100 Sluice'!$K$246:$K$252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11.331472785502044</c:v>
                </c:pt>
                <c:pt idx="3">
                  <c:v>5.3835797836193882</c:v>
                </c:pt>
                <c:pt idx="4">
                  <c:v>2.5468279091982371</c:v>
                </c:pt>
                <c:pt idx="5">
                  <c:v>1.6132010779395924</c:v>
                </c:pt>
                <c:pt idx="6">
                  <c:v>0.70172675397170747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7E-4059-9663-413F49A4DE26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Sluice'!$H$246:$H$252</c:f>
              <c:numCache>
                <c:formatCode>0.000</c:formatCode>
                <c:ptCount val="7"/>
                <c:pt idx="0">
                  <c:v>2.4460730221186333</c:v>
                </c:pt>
                <c:pt idx="1">
                  <c:v>4.8921460442372666</c:v>
                </c:pt>
                <c:pt idx="2">
                  <c:v>7.338219066355899</c:v>
                </c:pt>
                <c:pt idx="3">
                  <c:v>9.7842920884745332</c:v>
                </c:pt>
                <c:pt idx="4">
                  <c:v>12.230365110593166</c:v>
                </c:pt>
                <c:pt idx="5">
                  <c:v>14.676438132711798</c:v>
                </c:pt>
                <c:pt idx="6">
                  <c:v>17.064271320970462</c:v>
                </c:pt>
              </c:numCache>
            </c:numRef>
          </c:xVal>
          <c:yVal>
            <c:numRef>
              <c:f>'100-60 Sluice'!$K$246:$K$252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10.213443765903676</c:v>
                </c:pt>
                <c:pt idx="3">
                  <c:v>5.9197945029483687</c:v>
                </c:pt>
                <c:pt idx="4">
                  <c:v>3.0490220237289805</c:v>
                </c:pt>
                <c:pt idx="5">
                  <c:v>1.2681574616938782</c:v>
                </c:pt>
                <c:pt idx="6">
                  <c:v>0.22922615403285693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7E-4059-9663-413F49A4DE26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Sluice'!$H$246:$H$252</c:f>
              <c:numCache>
                <c:formatCode>0.00000</c:formatCode>
                <c:ptCount val="7"/>
                <c:pt idx="0">
                  <c:v>2.2124106366767977</c:v>
                </c:pt>
                <c:pt idx="1">
                  <c:v>4.4248212733535954</c:v>
                </c:pt>
                <c:pt idx="2">
                  <c:v>6.6372319100303914</c:v>
                </c:pt>
                <c:pt idx="3">
                  <c:v>8.8496425467071909</c:v>
                </c:pt>
                <c:pt idx="4">
                  <c:v>11.062053183383988</c:v>
                </c:pt>
                <c:pt idx="5">
                  <c:v>13.274463820060783</c:v>
                </c:pt>
                <c:pt idx="6">
                  <c:v>15.434198013007181</c:v>
                </c:pt>
              </c:numCache>
            </c:numRef>
          </c:xVal>
          <c:yVal>
            <c:numRef>
              <c:f>'Circular Sluice'!$K$246:$K$252</c:f>
              <c:numCache>
                <c:formatCode>0.000000</c:formatCode>
                <c:ptCount val="7"/>
                <c:pt idx="0">
                  <c:v>106.57141385169554</c:v>
                </c:pt>
                <c:pt idx="1">
                  <c:v>25.717960353335396</c:v>
                </c:pt>
                <c:pt idx="2">
                  <c:v>9.4048391675774621</c:v>
                </c:pt>
                <c:pt idx="3">
                  <c:v>3.9411120313905923</c:v>
                </c:pt>
                <c:pt idx="4">
                  <c:v>2.1271429355435236</c:v>
                </c:pt>
                <c:pt idx="5">
                  <c:v>0.74586317460712626</c:v>
                </c:pt>
                <c:pt idx="6">
                  <c:v>-1.0412822398084611E-2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7E-4059-9663-413F49A4D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7104"/>
        <c:axId val="82129280"/>
      </c:scatterChart>
      <c:valAx>
        <c:axId val="82127104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129280"/>
        <c:crosses val="autoZero"/>
        <c:crossBetween val="midCat"/>
      </c:valAx>
      <c:valAx>
        <c:axId val="8212928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127104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8512394284047826"/>
          <c:y val="4.7015003617224285E-2"/>
          <c:w val="0.15219597550306213"/>
          <c:h val="0.14075982679262297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=60%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1010972586759988"/>
          <c:y val="0.1837620064314079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78616214639836"/>
          <c:y val="2.6203216374269103E-2"/>
          <c:w val="0.80591754155730533"/>
          <c:h val="0.8342786526684165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Sluice'!$H$257:$H$263</c:f>
              <c:numCache>
                <c:formatCode>0.000</c:formatCode>
                <c:ptCount val="7"/>
                <c:pt idx="0">
                  <c:v>1.8539685851815737</c:v>
                </c:pt>
                <c:pt idx="1">
                  <c:v>3.7079371703631474</c:v>
                </c:pt>
                <c:pt idx="2">
                  <c:v>5.5619057555447204</c:v>
                </c:pt>
                <c:pt idx="3">
                  <c:v>7.4158743407262948</c:v>
                </c:pt>
                <c:pt idx="4">
                  <c:v>9.2698429259078683</c:v>
                </c:pt>
                <c:pt idx="5">
                  <c:v>11.123811511089441</c:v>
                </c:pt>
                <c:pt idx="6">
                  <c:v>13.021922205442007</c:v>
                </c:pt>
              </c:numCache>
            </c:numRef>
          </c:xVal>
          <c:yVal>
            <c:numRef>
              <c:f>'60-100 Sluice'!$K$257:$K$263</c:f>
              <c:numCache>
                <c:formatCode>0.000000</c:formatCode>
                <c:ptCount val="7"/>
                <c:pt idx="0">
                  <c:v>104.15868582880654</c:v>
                </c:pt>
                <c:pt idx="1">
                  <c:v>26.039671457201635</c:v>
                </c:pt>
                <c:pt idx="2">
                  <c:v>11.57318731431184</c:v>
                </c:pt>
                <c:pt idx="3">
                  <c:v>6.5099178643004088</c:v>
                </c:pt>
                <c:pt idx="4">
                  <c:v>4.1462343529073635</c:v>
                </c:pt>
                <c:pt idx="5">
                  <c:v>2.8653967582530617</c:v>
                </c:pt>
                <c:pt idx="6">
                  <c:v>2.0625657498061845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A-4B49-ACF9-F5B470405675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Sluice'!$H$257:$H$263</c:f>
              <c:numCache>
                <c:formatCode>0.000</c:formatCode>
                <c:ptCount val="7"/>
                <c:pt idx="0">
                  <c:v>2.4460730221186333</c:v>
                </c:pt>
                <c:pt idx="1">
                  <c:v>4.8921460442372666</c:v>
                </c:pt>
                <c:pt idx="2">
                  <c:v>7.338219066355899</c:v>
                </c:pt>
                <c:pt idx="3">
                  <c:v>9.7842920884745332</c:v>
                </c:pt>
                <c:pt idx="4">
                  <c:v>12.230365110593166</c:v>
                </c:pt>
                <c:pt idx="5">
                  <c:v>14.676438132711798</c:v>
                </c:pt>
                <c:pt idx="6">
                  <c:v>17.122511154830431</c:v>
                </c:pt>
              </c:numCache>
            </c:numRef>
          </c:xVal>
          <c:yVal>
            <c:numRef>
              <c:f>'100-60 Sluice'!$K$257:$K$262</c:f>
              <c:numCache>
                <c:formatCode>0.000000</c:formatCode>
                <c:ptCount val="6"/>
                <c:pt idx="0">
                  <c:v>104.15868582880654</c:v>
                </c:pt>
                <c:pt idx="1">
                  <c:v>26.039671457201635</c:v>
                </c:pt>
                <c:pt idx="2">
                  <c:v>11.57318731431184</c:v>
                </c:pt>
                <c:pt idx="3">
                  <c:v>6.5099178643004088</c:v>
                </c:pt>
                <c:pt idx="4">
                  <c:v>4.1434632174069561</c:v>
                </c:pt>
                <c:pt idx="5">
                  <c:v>2.7988770907616334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8A-4B49-ACF9-F5B470405675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Sluice'!$H$257:$H$263</c:f>
              <c:numCache>
                <c:formatCode>0.00000</c:formatCode>
                <c:ptCount val="7"/>
                <c:pt idx="0">
                  <c:v>2.2124106366767977</c:v>
                </c:pt>
                <c:pt idx="1">
                  <c:v>4.4248212733535954</c:v>
                </c:pt>
                <c:pt idx="2">
                  <c:v>6.6372319100303914</c:v>
                </c:pt>
                <c:pt idx="3">
                  <c:v>8.8496425467071909</c:v>
                </c:pt>
                <c:pt idx="4">
                  <c:v>11.062053183383988</c:v>
                </c:pt>
                <c:pt idx="5">
                  <c:v>13.274463820060783</c:v>
                </c:pt>
                <c:pt idx="6">
                  <c:v>15.592227344198381</c:v>
                </c:pt>
              </c:numCache>
            </c:numRef>
          </c:xVal>
          <c:yVal>
            <c:numRef>
              <c:f>'Circular Sluice'!$K$257:$K$263</c:f>
              <c:numCache>
                <c:formatCode>0.000000</c:formatCode>
                <c:ptCount val="7"/>
                <c:pt idx="0">
                  <c:v>106.83878654006276</c:v>
                </c:pt>
                <c:pt idx="1">
                  <c:v>26.456971678804397</c:v>
                </c:pt>
                <c:pt idx="2">
                  <c:v>11.593609210106154</c:v>
                </c:pt>
                <c:pt idx="3">
                  <c:v>6.1685128886544351</c:v>
                </c:pt>
                <c:pt idx="4">
                  <c:v>3.683787460750171</c:v>
                </c:pt>
                <c:pt idx="5">
                  <c:v>2.171858486865085</c:v>
                </c:pt>
                <c:pt idx="6">
                  <c:v>1.2308779337247449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8A-4B49-ACF9-F5B470405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75872"/>
        <c:axId val="82190336"/>
      </c:scatterChart>
      <c:valAx>
        <c:axId val="82175872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layout>
            <c:manualLayout>
              <c:xMode val="edge"/>
              <c:yMode val="edge"/>
              <c:x val="0.52529965004374457"/>
              <c:y val="0.8905710566976479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190336"/>
        <c:crosses val="autoZero"/>
        <c:crossBetween val="midCat"/>
      </c:valAx>
      <c:valAx>
        <c:axId val="8219033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175872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9159339457567801"/>
          <c:y val="3.8650873171166729E-2"/>
          <c:w val="0.14756652434553844"/>
          <c:h val="0.140773342705912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=20%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L=1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774930172235739"/>
          <c:y val="2.940029847481486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43037328667249"/>
          <c:y val="2.7850877192982456E-2"/>
          <c:w val="0.8062733304170312"/>
          <c:h val="0.82152012248468931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Sluice'!$H$92:$H$98</c:f>
              <c:numCache>
                <c:formatCode>0.000</c:formatCode>
                <c:ptCount val="7"/>
                <c:pt idx="0">
                  <c:v>4.1286442952199529</c:v>
                </c:pt>
                <c:pt idx="1">
                  <c:v>8.2572885904399058</c:v>
                </c:pt>
                <c:pt idx="2">
                  <c:v>12.385932885659859</c:v>
                </c:pt>
                <c:pt idx="3">
                  <c:v>16.514577180879812</c:v>
                </c:pt>
                <c:pt idx="4">
                  <c:v>20.643221476099765</c:v>
                </c:pt>
                <c:pt idx="5">
                  <c:v>24.771865771319717</c:v>
                </c:pt>
                <c:pt idx="6">
                  <c:v>30.047355704100763</c:v>
                </c:pt>
              </c:numCache>
            </c:numRef>
          </c:xVal>
          <c:yVal>
            <c:numRef>
              <c:f>'60-100 Sluice'!$K$92:$K$98</c:f>
              <c:numCache>
                <c:formatCode>0.000000</c:formatCode>
                <c:ptCount val="7"/>
                <c:pt idx="0">
                  <c:v>63.00957537791998</c:v>
                </c:pt>
                <c:pt idx="1">
                  <c:v>15.156202416479996</c:v>
                </c:pt>
                <c:pt idx="2">
                  <c:v>4.0400609529600002</c:v>
                </c:pt>
                <c:pt idx="3">
                  <c:v>-0.70429953455999961</c:v>
                </c:pt>
                <c:pt idx="4">
                  <c:v>-2.7977505122303983</c:v>
                </c:pt>
                <c:pt idx="5">
                  <c:v>-3.8914624065599983</c:v>
                </c:pt>
                <c:pt idx="6">
                  <c:v>-4.5789446502782249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AD-49F3-A101-9E0A4F95FFC1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Sluice'!$H$92:$H$98</c:f>
              <c:numCache>
                <c:formatCode>0.000</c:formatCode>
                <c:ptCount val="7"/>
                <c:pt idx="0">
                  <c:v>5.144591914761528</c:v>
                </c:pt>
                <c:pt idx="1">
                  <c:v>10.289183829523056</c:v>
                </c:pt>
                <c:pt idx="2">
                  <c:v>15.433775744284583</c:v>
                </c:pt>
                <c:pt idx="3">
                  <c:v>20.578367659046112</c:v>
                </c:pt>
                <c:pt idx="4">
                  <c:v>25.722959573807643</c:v>
                </c:pt>
                <c:pt idx="5">
                  <c:v>30.867551488569166</c:v>
                </c:pt>
                <c:pt idx="6">
                  <c:v>36.920012564759197</c:v>
                </c:pt>
              </c:numCache>
            </c:numRef>
          </c:xVal>
          <c:yVal>
            <c:numRef>
              <c:f>'100-60 Sluice'!$K$92:$K$98</c:f>
              <c:numCache>
                <c:formatCode>0.000000</c:formatCode>
                <c:ptCount val="7"/>
                <c:pt idx="0">
                  <c:v>70.640492811232093</c:v>
                </c:pt>
                <c:pt idx="1">
                  <c:v>17.635873060690376</c:v>
                </c:pt>
                <c:pt idx="2">
                  <c:v>6.8915412987371649</c:v>
                </c:pt>
                <c:pt idx="3">
                  <c:v>1.9535049687114177</c:v>
                </c:pt>
                <c:pt idx="4">
                  <c:v>-0.82530950877462084</c:v>
                </c:pt>
                <c:pt idx="5">
                  <c:v>-2.1993309773862983</c:v>
                </c:pt>
                <c:pt idx="6">
                  <c:v>-3.7457298418598453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AD-49F3-A101-9E0A4F95FFC1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Sluice'!$H$92:$H$98</c:f>
              <c:numCache>
                <c:formatCode>0.00000</c:formatCode>
                <c:ptCount val="7"/>
                <c:pt idx="0">
                  <c:v>7.1243087117233248</c:v>
                </c:pt>
                <c:pt idx="1">
                  <c:v>14.24861742344665</c:v>
                </c:pt>
                <c:pt idx="2">
                  <c:v>21.372926135169976</c:v>
                </c:pt>
                <c:pt idx="3">
                  <c:v>28.497234846893299</c:v>
                </c:pt>
                <c:pt idx="4">
                  <c:v>35.621543558616629</c:v>
                </c:pt>
                <c:pt idx="5">
                  <c:v>42.745852270339952</c:v>
                </c:pt>
                <c:pt idx="6">
                  <c:v>50.661750838921428</c:v>
                </c:pt>
              </c:numCache>
            </c:numRef>
          </c:xVal>
          <c:yVal>
            <c:numRef>
              <c:f>'Circular Sluice'!$K$92:$K$98</c:f>
              <c:numCache>
                <c:formatCode>0.000000</c:formatCode>
                <c:ptCount val="7"/>
                <c:pt idx="0">
                  <c:v>36.268274687303098</c:v>
                </c:pt>
                <c:pt idx="1">
                  <c:v>8.8196674056707689</c:v>
                </c:pt>
                <c:pt idx="2">
                  <c:v>2.852350700907643</c:v>
                </c:pt>
                <c:pt idx="3">
                  <c:v>0.38778671952251154</c:v>
                </c:pt>
                <c:pt idx="4">
                  <c:v>-0.86074188857587142</c:v>
                </c:pt>
                <c:pt idx="5">
                  <c:v>-1.4709917578163796</c:v>
                </c:pt>
                <c:pt idx="6">
                  <c:v>-2.4374824151064209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AD-49F3-A101-9E0A4F95F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32832"/>
        <c:axId val="82234752"/>
      </c:scatterChart>
      <c:valAx>
        <c:axId val="82232832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234752"/>
        <c:crosses val="autoZero"/>
        <c:crossBetween val="midCat"/>
        <c:majorUnit val="10"/>
      </c:valAx>
      <c:valAx>
        <c:axId val="82234752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232832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318682457557783"/>
          <c:y val="3.8176816339202856E-2"/>
          <c:w val="0.14756647131062256"/>
          <c:h val="0.1401376911219431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=20%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L=2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554772920183594"/>
          <c:y val="3.153016188516360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615850102070574"/>
          <c:y val="2.7850877192982456E-2"/>
          <c:w val="0.80754520268299801"/>
          <c:h val="0.82728521434820634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Sluice'!$H$103:$H$109</c:f>
              <c:numCache>
                <c:formatCode>0.000</c:formatCode>
                <c:ptCount val="7"/>
                <c:pt idx="0">
                  <c:v>4.1286442952199529</c:v>
                </c:pt>
                <c:pt idx="1">
                  <c:v>8.2572885904399058</c:v>
                </c:pt>
                <c:pt idx="2">
                  <c:v>12.385932885659859</c:v>
                </c:pt>
                <c:pt idx="3">
                  <c:v>16.514577180879812</c:v>
                </c:pt>
                <c:pt idx="4">
                  <c:v>20.643221476099765</c:v>
                </c:pt>
                <c:pt idx="5">
                  <c:v>24.771865771319717</c:v>
                </c:pt>
                <c:pt idx="6">
                  <c:v>30.047355704100763</c:v>
                </c:pt>
              </c:numCache>
            </c:numRef>
          </c:xVal>
          <c:yVal>
            <c:numRef>
              <c:f>'60-100 Sluice'!$K$103:$K$109</c:f>
              <c:numCache>
                <c:formatCode>0.000000</c:formatCode>
                <c:ptCount val="7"/>
                <c:pt idx="0">
                  <c:v>63.00957537791998</c:v>
                </c:pt>
                <c:pt idx="1">
                  <c:v>15.752393844479995</c:v>
                </c:pt>
                <c:pt idx="2">
                  <c:v>3.4847512228799995</c:v>
                </c:pt>
                <c:pt idx="3">
                  <c:v>-0.35464542920999897</c:v>
                </c:pt>
                <c:pt idx="4">
                  <c:v>-3.3899619230783977</c:v>
                </c:pt>
                <c:pt idx="5">
                  <c:v>-5.3753166273599993</c:v>
                </c:pt>
                <c:pt idx="6">
                  <c:v>-7.1731221325360899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14-4BD6-805F-0A860BE0CA86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Sluice'!$H$103:$H$109</c:f>
              <c:numCache>
                <c:formatCode>0.000</c:formatCode>
                <c:ptCount val="7"/>
                <c:pt idx="0">
                  <c:v>5.144591914761528</c:v>
                </c:pt>
                <c:pt idx="1">
                  <c:v>10.289183829523056</c:v>
                </c:pt>
                <c:pt idx="2">
                  <c:v>15.433775744284583</c:v>
                </c:pt>
                <c:pt idx="3">
                  <c:v>20.578367659046112</c:v>
                </c:pt>
                <c:pt idx="4">
                  <c:v>25.722959573807643</c:v>
                </c:pt>
                <c:pt idx="5">
                  <c:v>30.867551488569166</c:v>
                </c:pt>
                <c:pt idx="6">
                  <c:v>36.920012564759197</c:v>
                </c:pt>
              </c:numCache>
            </c:numRef>
          </c:xVal>
          <c:yVal>
            <c:numRef>
              <c:f>'100-60 Sluice'!$K$103:$K$109</c:f>
              <c:numCache>
                <c:formatCode>0.000000</c:formatCode>
                <c:ptCount val="7"/>
                <c:pt idx="0">
                  <c:v>70.640492811232093</c:v>
                </c:pt>
                <c:pt idx="1">
                  <c:v>14.563622555805674</c:v>
                </c:pt>
                <c:pt idx="2">
                  <c:v>3.3305965409771647</c:v>
                </c:pt>
                <c:pt idx="3">
                  <c:v>-1.2802514826768161</c:v>
                </c:pt>
                <c:pt idx="4">
                  <c:v>-5.4113023849270911</c:v>
                </c:pt>
                <c:pt idx="5">
                  <c:v>-8.7830626862615961</c:v>
                </c:pt>
                <c:pt idx="6">
                  <c:v>-11.054401806527926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14-4BD6-805F-0A860BE0CA86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Sluice'!$H$103:$H$109</c:f>
              <c:numCache>
                <c:formatCode>0.00000</c:formatCode>
                <c:ptCount val="7"/>
                <c:pt idx="0">
                  <c:v>7.1243087117233248</c:v>
                </c:pt>
                <c:pt idx="1">
                  <c:v>14.24861742344665</c:v>
                </c:pt>
                <c:pt idx="2">
                  <c:v>21.372926135169976</c:v>
                </c:pt>
                <c:pt idx="3">
                  <c:v>28.497234846893299</c:v>
                </c:pt>
                <c:pt idx="4">
                  <c:v>35.621543558616629</c:v>
                </c:pt>
                <c:pt idx="5">
                  <c:v>42.745852270339952</c:v>
                </c:pt>
                <c:pt idx="6">
                  <c:v>51.05754576735049</c:v>
                </c:pt>
              </c:numCache>
            </c:numRef>
          </c:xVal>
          <c:yVal>
            <c:numRef>
              <c:f>'Circular Sluice'!$K$103:$K$109</c:f>
              <c:numCache>
                <c:formatCode>0.000000</c:formatCode>
                <c:ptCount val="7"/>
                <c:pt idx="0">
                  <c:v>36.291232900937779</c:v>
                </c:pt>
                <c:pt idx="1">
                  <c:v>8.705687361348577</c:v>
                </c:pt>
                <c:pt idx="2">
                  <c:v>2.1044619371777897</c:v>
                </c:pt>
                <c:pt idx="3">
                  <c:v>-0.55449627312445415</c:v>
                </c:pt>
                <c:pt idx="4">
                  <c:v>-2.4155083000576933</c:v>
                </c:pt>
                <c:pt idx="5">
                  <c:v>-4.8072952024350846</c:v>
                </c:pt>
                <c:pt idx="6">
                  <c:v>-5.2803854522928182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14-4BD6-805F-0A860BE0C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85696"/>
        <c:axId val="82287616"/>
      </c:scatterChart>
      <c:valAx>
        <c:axId val="82285696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287616"/>
        <c:crosses val="autoZero"/>
        <c:crossBetween val="midCat"/>
        <c:majorUnit val="10"/>
      </c:valAx>
      <c:valAx>
        <c:axId val="82287616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285696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102174422347223"/>
          <c:y val="3.9426493244230233E-2"/>
          <c:w val="0.16138998250218725"/>
          <c:h val="0.14165831702749349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=20%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L=4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985854905678691"/>
          <c:y val="3.038684875637643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95676582093905"/>
          <c:y val="2.7850877192982456E-2"/>
          <c:w val="0.80413604549431317"/>
          <c:h val="0.83194269466316728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Sluice'!$H$114:$H$120</c:f>
              <c:numCache>
                <c:formatCode>0.000</c:formatCode>
                <c:ptCount val="7"/>
                <c:pt idx="0">
                  <c:v>4.1286442952199529</c:v>
                </c:pt>
                <c:pt idx="1">
                  <c:v>8.2572885904399058</c:v>
                </c:pt>
                <c:pt idx="2">
                  <c:v>12.385932885659859</c:v>
                </c:pt>
                <c:pt idx="3">
                  <c:v>16.514577180879812</c:v>
                </c:pt>
                <c:pt idx="4">
                  <c:v>20.643221476099765</c:v>
                </c:pt>
                <c:pt idx="5">
                  <c:v>24.771865771319717</c:v>
                </c:pt>
                <c:pt idx="6">
                  <c:v>30.047355704100763</c:v>
                </c:pt>
              </c:numCache>
            </c:numRef>
          </c:xVal>
          <c:yVal>
            <c:numRef>
              <c:f>'60-100 Sluice'!$K$114:$K$120</c:f>
              <c:numCache>
                <c:formatCode>0.000000</c:formatCode>
                <c:ptCount val="7"/>
                <c:pt idx="0">
                  <c:v>63.00957537791998</c:v>
                </c:pt>
                <c:pt idx="1">
                  <c:v>15.752393844479995</c:v>
                </c:pt>
                <c:pt idx="2">
                  <c:v>3.4293770711999993</c:v>
                </c:pt>
                <c:pt idx="3">
                  <c:v>-0.51611394095999952</c:v>
                </c:pt>
                <c:pt idx="4">
                  <c:v>-3.7381961194559987</c:v>
                </c:pt>
                <c:pt idx="5">
                  <c:v>-6.6443256287999981</c:v>
                </c:pt>
                <c:pt idx="6">
                  <c:v>-7.4678738417148081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48-4FA3-84CA-5B69D44C5F92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Sluice'!$H$114:$H$120</c:f>
              <c:numCache>
                <c:formatCode>0.000</c:formatCode>
                <c:ptCount val="7"/>
                <c:pt idx="0">
                  <c:v>5.144591914761528</c:v>
                </c:pt>
                <c:pt idx="1">
                  <c:v>10.289183829523056</c:v>
                </c:pt>
                <c:pt idx="2">
                  <c:v>15.433775744284583</c:v>
                </c:pt>
                <c:pt idx="3">
                  <c:v>20.578367659046112</c:v>
                </c:pt>
                <c:pt idx="4">
                  <c:v>25.722959573807643</c:v>
                </c:pt>
                <c:pt idx="5">
                  <c:v>30.867551488569166</c:v>
                </c:pt>
                <c:pt idx="6">
                  <c:v>36.920012564759197</c:v>
                </c:pt>
              </c:numCache>
            </c:numRef>
          </c:xVal>
          <c:yVal>
            <c:numRef>
              <c:f>'100-60 Sluice'!$K$114:$K$120</c:f>
              <c:numCache>
                <c:formatCode>0.000000</c:formatCode>
                <c:ptCount val="7"/>
                <c:pt idx="0">
                  <c:v>70.640492811232093</c:v>
                </c:pt>
                <c:pt idx="1">
                  <c:v>11.720717769998616</c:v>
                </c:pt>
                <c:pt idx="2">
                  <c:v>1.9726222631418706</c:v>
                </c:pt>
                <c:pt idx="3">
                  <c:v>-2.8742928948485784</c:v>
                </c:pt>
                <c:pt idx="4">
                  <c:v>-5.2511932466095388</c:v>
                </c:pt>
                <c:pt idx="5">
                  <c:v>-7.1097439388263002</c:v>
                </c:pt>
                <c:pt idx="6">
                  <c:v>-7.2098227872046454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48-4FA3-84CA-5B69D44C5F92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Sluice'!$H$114:$H$120</c:f>
              <c:numCache>
                <c:formatCode>0.00000</c:formatCode>
                <c:ptCount val="7"/>
                <c:pt idx="0">
                  <c:v>7.1243087117233248</c:v>
                </c:pt>
                <c:pt idx="1">
                  <c:v>14.24861742344665</c:v>
                </c:pt>
                <c:pt idx="2">
                  <c:v>21.372926135169976</c:v>
                </c:pt>
                <c:pt idx="3">
                  <c:v>28.497234846893299</c:v>
                </c:pt>
                <c:pt idx="4">
                  <c:v>35.621543558616629</c:v>
                </c:pt>
                <c:pt idx="5">
                  <c:v>42.745852270339952</c:v>
                </c:pt>
                <c:pt idx="6">
                  <c:v>50.661750838921428</c:v>
                </c:pt>
              </c:numCache>
            </c:numRef>
          </c:xVal>
          <c:yVal>
            <c:numRef>
              <c:f>'Circular Sluice'!$K$114:$K$120</c:f>
              <c:numCache>
                <c:formatCode>0.000000</c:formatCode>
                <c:ptCount val="7"/>
                <c:pt idx="0">
                  <c:v>36.206231362684363</c:v>
                </c:pt>
                <c:pt idx="1">
                  <c:v>8.4125100374369168</c:v>
                </c:pt>
                <c:pt idx="2">
                  <c:v>2.0101336246352854</c:v>
                </c:pt>
                <c:pt idx="3">
                  <c:v>-0.78921164456810666</c:v>
                </c:pt>
                <c:pt idx="4">
                  <c:v>-3.0599391181382498</c:v>
                </c:pt>
                <c:pt idx="5">
                  <c:v>-4.9564118153374404</c:v>
                </c:pt>
                <c:pt idx="6">
                  <c:v>-5.7447831303367511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48-4FA3-84CA-5B69D44C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8560"/>
        <c:axId val="82340480"/>
      </c:scatterChart>
      <c:valAx>
        <c:axId val="8233856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340480"/>
        <c:crosses val="autoZero"/>
        <c:crossBetween val="midCat"/>
        <c:majorUnit val="10"/>
      </c:valAx>
      <c:valAx>
        <c:axId val="82340480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338560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750822715936932"/>
          <c:y val="3.7397570128161646E-2"/>
          <c:w val="0.15676035287255763"/>
          <c:h val="0.14075982679262297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l-GR" sz="700" b="0" i="0" baseline="0">
                <a:effectLst/>
              </a:rPr>
              <a:t>φ</a:t>
            </a:r>
            <a:r>
              <a:rPr lang="tr-TR" sz="700" b="0" i="0" baseline="0">
                <a:effectLst/>
              </a:rPr>
              <a:t>=20%</a:t>
            </a:r>
            <a:endParaRPr lang="tr-TR" sz="700">
              <a:effectLst/>
            </a:endParaRPr>
          </a:p>
          <a:p>
            <a:pPr>
              <a:defRPr sz="700"/>
            </a:pPr>
            <a:r>
              <a:rPr lang="tr-TR" sz="700" b="0" i="0" baseline="0">
                <a:effectLst/>
              </a:rPr>
              <a:t>L=6 m</a:t>
            </a:r>
            <a:endParaRPr lang="tr-TR" sz="700">
              <a:effectLst/>
            </a:endParaRPr>
          </a:p>
        </c:rich>
      </c:tx>
      <c:layout>
        <c:manualLayout>
          <c:xMode val="edge"/>
          <c:yMode val="edge"/>
          <c:x val="0.82952477862125873"/>
          <c:y val="2.493024338850209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69313210848644"/>
          <c:y val="2.4611111111111111E-2"/>
          <c:w val="0.80677238261883932"/>
          <c:h val="0.82373447069116346"/>
        </c:manualLayout>
      </c:layout>
      <c:scatterChart>
        <c:scatterStyle val="smoothMarker"/>
        <c:varyColors val="0"/>
        <c:ser>
          <c:idx val="0"/>
          <c:order val="0"/>
          <c:tx>
            <c:v>60x100</c:v>
          </c:tx>
          <c:spPr>
            <a:ln w="22225">
              <a:noFill/>
              <a:prstDash val="sysDash"/>
            </a:ln>
          </c:spPr>
          <c:marker>
            <c:symbol val="diamond"/>
            <c:size val="5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'60-100 Sluice'!$H$125:$H$131</c:f>
              <c:numCache>
                <c:formatCode>0.000</c:formatCode>
                <c:ptCount val="7"/>
                <c:pt idx="0">
                  <c:v>4.1286442952199529</c:v>
                </c:pt>
                <c:pt idx="1">
                  <c:v>8.2572885904399058</c:v>
                </c:pt>
                <c:pt idx="2">
                  <c:v>12.385932885659859</c:v>
                </c:pt>
                <c:pt idx="3">
                  <c:v>16.514577180879812</c:v>
                </c:pt>
                <c:pt idx="4">
                  <c:v>20.643221476099765</c:v>
                </c:pt>
                <c:pt idx="5">
                  <c:v>24.771865771319717</c:v>
                </c:pt>
                <c:pt idx="6">
                  <c:v>30.047355704100763</c:v>
                </c:pt>
              </c:numCache>
            </c:numRef>
          </c:xVal>
          <c:yVal>
            <c:numRef>
              <c:f>'60-100 Sluice'!$K$125:$K$131</c:f>
              <c:numCache>
                <c:formatCode>0.000000</c:formatCode>
                <c:ptCount val="7"/>
                <c:pt idx="0">
                  <c:v>63.00957537791998</c:v>
                </c:pt>
                <c:pt idx="1">
                  <c:v>15.752393844479995</c:v>
                </c:pt>
                <c:pt idx="2">
                  <c:v>6.5630457388799979</c:v>
                </c:pt>
                <c:pt idx="3">
                  <c:v>1.7096673902400004</c:v>
                </c:pt>
                <c:pt idx="4">
                  <c:v>-2.1664851830783984</c:v>
                </c:pt>
                <c:pt idx="5">
                  <c:v>-3.2144268801599991</c:v>
                </c:pt>
                <c:pt idx="6">
                  <c:v>-3.823970869046792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6-4AE7-8D98-26A32BED4D4F}"/>
            </c:ext>
          </c:extLst>
        </c:ser>
        <c:ser>
          <c:idx val="1"/>
          <c:order val="1"/>
          <c:tx>
            <c:v>100x60</c:v>
          </c:tx>
          <c:spPr>
            <a:ln w="22225">
              <a:noFill/>
              <a:prstDash val="sysDash"/>
            </a:ln>
          </c:spPr>
          <c:marker>
            <c:symbol val="squar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'100-60 Sluice'!$H$125:$H$131</c:f>
              <c:numCache>
                <c:formatCode>0.000</c:formatCode>
                <c:ptCount val="7"/>
                <c:pt idx="0">
                  <c:v>5.144591914761528</c:v>
                </c:pt>
                <c:pt idx="1">
                  <c:v>10.289183829523056</c:v>
                </c:pt>
                <c:pt idx="2">
                  <c:v>15.433775744284583</c:v>
                </c:pt>
                <c:pt idx="3">
                  <c:v>20.578367659046112</c:v>
                </c:pt>
                <c:pt idx="4">
                  <c:v>25.722959573807643</c:v>
                </c:pt>
                <c:pt idx="5">
                  <c:v>30.867551488569166</c:v>
                </c:pt>
                <c:pt idx="6">
                  <c:v>36.920012564759197</c:v>
                </c:pt>
              </c:numCache>
            </c:numRef>
          </c:xVal>
          <c:yVal>
            <c:numRef>
              <c:f>'100-60 Sluice'!$K$125:$K$131</c:f>
              <c:numCache>
                <c:formatCode>0.000000</c:formatCode>
                <c:ptCount val="7"/>
                <c:pt idx="0">
                  <c:v>70.640492811232093</c:v>
                </c:pt>
                <c:pt idx="1">
                  <c:v>14.658789207278613</c:v>
                </c:pt>
                <c:pt idx="2">
                  <c:v>3.6661713548312815</c:v>
                </c:pt>
                <c:pt idx="3">
                  <c:v>-1.1234023212768161</c:v>
                </c:pt>
                <c:pt idx="4">
                  <c:v>-3.3824166696683622</c:v>
                </c:pt>
                <c:pt idx="5">
                  <c:v>-3.3196488103557109</c:v>
                </c:pt>
                <c:pt idx="6">
                  <c:v>-3.8791235088828175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16-4AE7-8D98-26A32BED4D4F}"/>
            </c:ext>
          </c:extLst>
        </c:ser>
        <c:ser>
          <c:idx val="2"/>
          <c:order val="2"/>
          <c:tx>
            <c:v>Circular</c:v>
          </c:tx>
          <c:spPr>
            <a:ln w="22225">
              <a:noFill/>
              <a:prstDash val="sysDash"/>
            </a:ln>
          </c:spPr>
          <c:marker>
            <c:symbol val="circle"/>
            <c:size val="4"/>
            <c:spPr>
              <a:ln w="3175">
                <a:solidFill>
                  <a:schemeClr val="tx1"/>
                </a:solidFill>
              </a:ln>
            </c:spPr>
          </c:marker>
          <c:xVal>
            <c:numRef>
              <c:f>'Circular Sluice'!$H$125:$H$131</c:f>
              <c:numCache>
                <c:formatCode>0.00000</c:formatCode>
                <c:ptCount val="7"/>
                <c:pt idx="0">
                  <c:v>7.1243087117233248</c:v>
                </c:pt>
                <c:pt idx="1">
                  <c:v>14.24861742344665</c:v>
                </c:pt>
                <c:pt idx="2">
                  <c:v>21.372926135169976</c:v>
                </c:pt>
                <c:pt idx="3">
                  <c:v>28.497234846893299</c:v>
                </c:pt>
                <c:pt idx="4">
                  <c:v>35.621543558616629</c:v>
                </c:pt>
                <c:pt idx="5">
                  <c:v>42.745852270339952</c:v>
                </c:pt>
                <c:pt idx="6">
                  <c:v>50.661750838921428</c:v>
                </c:pt>
              </c:numCache>
            </c:numRef>
          </c:xVal>
          <c:yVal>
            <c:numRef>
              <c:f>'Circular Sluice'!$K$125:$K$131</c:f>
              <c:numCache>
                <c:formatCode>0.000000</c:formatCode>
                <c:ptCount val="7"/>
                <c:pt idx="0">
                  <c:v>36.18002905364478</c:v>
                </c:pt>
                <c:pt idx="1">
                  <c:v>8.3176826332936589</c:v>
                </c:pt>
                <c:pt idx="2">
                  <c:v>2.6453281980976668</c:v>
                </c:pt>
                <c:pt idx="3">
                  <c:v>-0.39713425106797412</c:v>
                </c:pt>
                <c:pt idx="4">
                  <c:v>-2.9046679779566791</c:v>
                </c:pt>
                <c:pt idx="5">
                  <c:v>-3.3263864455811736</c:v>
                </c:pt>
                <c:pt idx="6">
                  <c:v>-4.3657793294932556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16-4AE7-8D98-26A32BED4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87328"/>
        <c:axId val="82389248"/>
      </c:scatterChart>
      <c:valAx>
        <c:axId val="82387328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tr-TR" sz="900"/>
                  <a:t>Fr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389248"/>
        <c:crosses val="autoZero"/>
        <c:crossBetween val="midCat"/>
        <c:majorUnit val="10"/>
      </c:valAx>
      <c:valAx>
        <c:axId val="82389248"/>
        <c:scaling>
          <c:orientation val="minMax"/>
          <c:max val="120"/>
          <c:min val="-2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l-GR" sz="900"/>
                  <a:t>σ</a:t>
                </a:r>
                <a:endParaRPr lang="tr-TR" sz="900" baseline="-25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crossAx val="82387328"/>
        <c:crosses val="autoZero"/>
        <c:crossBetween val="midCat"/>
        <c:majorUnit val="20"/>
        <c:minorUnit val="4"/>
      </c:valAx>
      <c:spPr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060394594312576"/>
          <c:y val="3.4784150310007346E-2"/>
          <c:w val="0.15620370370370373"/>
          <c:h val="0.1407733427059126"/>
        </c:manualLayout>
      </c:layout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128588</xdr:rowOff>
    </xdr:from>
    <xdr:to>
      <xdr:col>4</xdr:col>
      <xdr:colOff>381000</xdr:colOff>
      <xdr:row>11</xdr:row>
      <xdr:rowOff>23178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15</xdr:row>
      <xdr:rowOff>166687</xdr:rowOff>
    </xdr:from>
    <xdr:to>
      <xdr:col>4</xdr:col>
      <xdr:colOff>342900</xdr:colOff>
      <xdr:row>26</xdr:row>
      <xdr:rowOff>61277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31</xdr:row>
      <xdr:rowOff>42862</xdr:rowOff>
    </xdr:from>
    <xdr:to>
      <xdr:col>4</xdr:col>
      <xdr:colOff>428625</xdr:colOff>
      <xdr:row>41</xdr:row>
      <xdr:rowOff>121602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46</xdr:row>
      <xdr:rowOff>157162</xdr:rowOff>
    </xdr:from>
    <xdr:to>
      <xdr:col>4</xdr:col>
      <xdr:colOff>485775</xdr:colOff>
      <xdr:row>57</xdr:row>
      <xdr:rowOff>51752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85725</xdr:colOff>
      <xdr:row>0</xdr:row>
      <xdr:rowOff>147637</xdr:rowOff>
    </xdr:from>
    <xdr:to>
      <xdr:col>13</xdr:col>
      <xdr:colOff>390525</xdr:colOff>
      <xdr:row>11</xdr:row>
      <xdr:rowOff>42227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114300</xdr:colOff>
      <xdr:row>16</xdr:row>
      <xdr:rowOff>14286</xdr:rowOff>
    </xdr:from>
    <xdr:to>
      <xdr:col>13</xdr:col>
      <xdr:colOff>419100</xdr:colOff>
      <xdr:row>26</xdr:row>
      <xdr:rowOff>93026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180975</xdr:colOff>
      <xdr:row>31</xdr:row>
      <xdr:rowOff>42862</xdr:rowOff>
    </xdr:from>
    <xdr:to>
      <xdr:col>13</xdr:col>
      <xdr:colOff>485775</xdr:colOff>
      <xdr:row>41</xdr:row>
      <xdr:rowOff>121602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209550</xdr:colOff>
      <xdr:row>47</xdr:row>
      <xdr:rowOff>4762</xdr:rowOff>
    </xdr:from>
    <xdr:to>
      <xdr:col>13</xdr:col>
      <xdr:colOff>514350</xdr:colOff>
      <xdr:row>57</xdr:row>
      <xdr:rowOff>83502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523875</xdr:colOff>
      <xdr:row>0</xdr:row>
      <xdr:rowOff>119062</xdr:rowOff>
    </xdr:from>
    <xdr:to>
      <xdr:col>33</xdr:col>
      <xdr:colOff>219075</xdr:colOff>
      <xdr:row>11</xdr:row>
      <xdr:rowOff>13652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523875</xdr:colOff>
      <xdr:row>15</xdr:row>
      <xdr:rowOff>80962</xdr:rowOff>
    </xdr:from>
    <xdr:to>
      <xdr:col>33</xdr:col>
      <xdr:colOff>219075</xdr:colOff>
      <xdr:row>25</xdr:row>
      <xdr:rowOff>159702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552450</xdr:colOff>
      <xdr:row>30</xdr:row>
      <xdr:rowOff>138112</xdr:rowOff>
    </xdr:from>
    <xdr:to>
      <xdr:col>33</xdr:col>
      <xdr:colOff>247650</xdr:colOff>
      <xdr:row>41</xdr:row>
      <xdr:rowOff>32702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552450</xdr:colOff>
      <xdr:row>45</xdr:row>
      <xdr:rowOff>147637</xdr:rowOff>
    </xdr:from>
    <xdr:to>
      <xdr:col>33</xdr:col>
      <xdr:colOff>247650</xdr:colOff>
      <xdr:row>56</xdr:row>
      <xdr:rowOff>42227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38</xdr:col>
      <xdr:colOff>76200</xdr:colOff>
      <xdr:row>0</xdr:row>
      <xdr:rowOff>157162</xdr:rowOff>
    </xdr:from>
    <xdr:to>
      <xdr:col>42</xdr:col>
      <xdr:colOff>381000</xdr:colOff>
      <xdr:row>11</xdr:row>
      <xdr:rowOff>51752</xdr:rowOff>
    </xdr:to>
    <xdr:graphicFrame macro="">
      <xdr:nvGraphicFramePr>
        <xdr:cNvPr id="14" name="Grafik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123825</xdr:colOff>
      <xdr:row>16</xdr:row>
      <xdr:rowOff>1587</xdr:rowOff>
    </xdr:from>
    <xdr:to>
      <xdr:col>42</xdr:col>
      <xdr:colOff>428625</xdr:colOff>
      <xdr:row>26</xdr:row>
      <xdr:rowOff>80327</xdr:rowOff>
    </xdr:to>
    <xdr:graphicFrame macro="">
      <xdr:nvGraphicFramePr>
        <xdr:cNvPr id="15" name="Grafik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38</xdr:col>
      <xdr:colOff>161925</xdr:colOff>
      <xdr:row>31</xdr:row>
      <xdr:rowOff>52387</xdr:rowOff>
    </xdr:from>
    <xdr:to>
      <xdr:col>42</xdr:col>
      <xdr:colOff>466725</xdr:colOff>
      <xdr:row>41</xdr:row>
      <xdr:rowOff>131127</xdr:rowOff>
    </xdr:to>
    <xdr:graphicFrame macro="">
      <xdr:nvGraphicFramePr>
        <xdr:cNvPr id="16" name="Grafik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38</xdr:col>
      <xdr:colOff>190500</xdr:colOff>
      <xdr:row>46</xdr:row>
      <xdr:rowOff>119062</xdr:rowOff>
    </xdr:from>
    <xdr:to>
      <xdr:col>42</xdr:col>
      <xdr:colOff>495300</xdr:colOff>
      <xdr:row>57</xdr:row>
      <xdr:rowOff>13652</xdr:rowOff>
    </xdr:to>
    <xdr:graphicFrame macro="">
      <xdr:nvGraphicFramePr>
        <xdr:cNvPr id="17" name="Grafik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361950</xdr:colOff>
      <xdr:row>0</xdr:row>
      <xdr:rowOff>166687</xdr:rowOff>
    </xdr:from>
    <xdr:to>
      <xdr:col>52</xdr:col>
      <xdr:colOff>57150</xdr:colOff>
      <xdr:row>11</xdr:row>
      <xdr:rowOff>61277</xdr:rowOff>
    </xdr:to>
    <xdr:graphicFrame macro="">
      <xdr:nvGraphicFramePr>
        <xdr:cNvPr id="18" name="Grafik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371475</xdr:colOff>
      <xdr:row>16</xdr:row>
      <xdr:rowOff>52387</xdr:rowOff>
    </xdr:from>
    <xdr:to>
      <xdr:col>52</xdr:col>
      <xdr:colOff>66675</xdr:colOff>
      <xdr:row>26</xdr:row>
      <xdr:rowOff>131127</xdr:rowOff>
    </xdr:to>
    <xdr:graphicFrame macro="">
      <xdr:nvGraphicFramePr>
        <xdr:cNvPr id="19" name="Grafik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47</xdr:col>
      <xdr:colOff>457200</xdr:colOff>
      <xdr:row>31</xdr:row>
      <xdr:rowOff>80962</xdr:rowOff>
    </xdr:from>
    <xdr:to>
      <xdr:col>52</xdr:col>
      <xdr:colOff>152400</xdr:colOff>
      <xdr:row>41</xdr:row>
      <xdr:rowOff>159702</xdr:rowOff>
    </xdr:to>
    <xdr:graphicFrame macro="">
      <xdr:nvGraphicFramePr>
        <xdr:cNvPr id="20" name="Grafik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390525</xdr:colOff>
      <xdr:row>46</xdr:row>
      <xdr:rowOff>128587</xdr:rowOff>
    </xdr:from>
    <xdr:to>
      <xdr:col>52</xdr:col>
      <xdr:colOff>85725</xdr:colOff>
      <xdr:row>57</xdr:row>
      <xdr:rowOff>23177</xdr:rowOff>
    </xdr:to>
    <xdr:graphicFrame macro="">
      <xdr:nvGraphicFramePr>
        <xdr:cNvPr id="21" name="Grafik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581025</xdr:colOff>
      <xdr:row>1</xdr:row>
      <xdr:rowOff>4761</xdr:rowOff>
    </xdr:from>
    <xdr:to>
      <xdr:col>23</xdr:col>
      <xdr:colOff>276225</xdr:colOff>
      <xdr:row>11</xdr:row>
      <xdr:rowOff>83501</xdr:rowOff>
    </xdr:to>
    <xdr:graphicFrame macro="">
      <xdr:nvGraphicFramePr>
        <xdr:cNvPr id="23" name="Grafik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590550</xdr:colOff>
      <xdr:row>16</xdr:row>
      <xdr:rowOff>138112</xdr:rowOff>
    </xdr:from>
    <xdr:to>
      <xdr:col>23</xdr:col>
      <xdr:colOff>285750</xdr:colOff>
      <xdr:row>27</xdr:row>
      <xdr:rowOff>32702</xdr:rowOff>
    </xdr:to>
    <xdr:graphicFrame macro="">
      <xdr:nvGraphicFramePr>
        <xdr:cNvPr id="24" name="Grafik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590550</xdr:colOff>
      <xdr:row>32</xdr:row>
      <xdr:rowOff>61912</xdr:rowOff>
    </xdr:from>
    <xdr:to>
      <xdr:col>23</xdr:col>
      <xdr:colOff>285750</xdr:colOff>
      <xdr:row>42</xdr:row>
      <xdr:rowOff>140652</xdr:rowOff>
    </xdr:to>
    <xdr:graphicFrame macro="">
      <xdr:nvGraphicFramePr>
        <xdr:cNvPr id="25" name="Grafik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47625</xdr:colOff>
      <xdr:row>47</xdr:row>
      <xdr:rowOff>109537</xdr:rowOff>
    </xdr:from>
    <xdr:to>
      <xdr:col>23</xdr:col>
      <xdr:colOff>352425</xdr:colOff>
      <xdr:row>58</xdr:row>
      <xdr:rowOff>4127</xdr:rowOff>
    </xdr:to>
    <xdr:graphicFrame macro="">
      <xdr:nvGraphicFramePr>
        <xdr:cNvPr id="26" name="Grafik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3"/>
  <sheetViews>
    <sheetView tabSelected="1" zoomScale="111" zoomScaleNormal="111" workbookViewId="0">
      <selection activeCell="N1" sqref="N1"/>
    </sheetView>
  </sheetViews>
  <sheetFormatPr defaultRowHeight="14.4" x14ac:dyDescent="0.3"/>
  <cols>
    <col min="1" max="1" width="8.88671875" style="2"/>
    <col min="2" max="2" width="8.88671875" style="32"/>
    <col min="3" max="10" width="8.88671875" style="2"/>
    <col min="11" max="11" width="10.5546875" style="20" bestFit="1" customWidth="1"/>
    <col min="12" max="12" width="8.88671875" style="2"/>
    <col min="13" max="13" width="8.88671875" style="4"/>
    <col min="14" max="14" width="8.88671875" style="5"/>
  </cols>
  <sheetData>
    <row r="1" spans="2:13" x14ac:dyDescent="0.3">
      <c r="B1" s="3" t="s">
        <v>17</v>
      </c>
      <c r="C1" s="3"/>
      <c r="D1" s="3"/>
      <c r="E1" s="3"/>
      <c r="F1" s="3"/>
      <c r="G1" s="3"/>
      <c r="H1" s="3"/>
      <c r="I1" s="3"/>
      <c r="J1" s="3"/>
      <c r="K1" s="3"/>
    </row>
    <row r="2" spans="2:13" ht="18" x14ac:dyDescent="0.3">
      <c r="B2" s="29"/>
      <c r="C2" s="7" t="s">
        <v>18</v>
      </c>
      <c r="D2" s="8" t="s">
        <v>19</v>
      </c>
      <c r="E2" s="9" t="s">
        <v>20</v>
      </c>
      <c r="F2" s="10" t="s">
        <v>21</v>
      </c>
      <c r="G2" s="10" t="s">
        <v>16</v>
      </c>
      <c r="H2" s="8" t="s">
        <v>0</v>
      </c>
      <c r="I2" s="10" t="s">
        <v>22</v>
      </c>
      <c r="J2" s="10" t="s">
        <v>23</v>
      </c>
      <c r="K2" s="11" t="s">
        <v>14</v>
      </c>
      <c r="M2" s="4" t="s">
        <v>24</v>
      </c>
    </row>
    <row r="3" spans="2:13" ht="16.8" x14ac:dyDescent="0.3">
      <c r="B3" s="29" t="s">
        <v>1</v>
      </c>
      <c r="C3" s="7"/>
      <c r="D3" s="8" t="s">
        <v>25</v>
      </c>
      <c r="E3" s="9" t="s">
        <v>2</v>
      </c>
      <c r="F3" s="10" t="s">
        <v>3</v>
      </c>
      <c r="G3" s="10" t="s">
        <v>4</v>
      </c>
      <c r="H3" s="8" t="s">
        <v>4</v>
      </c>
      <c r="I3" s="10" t="s">
        <v>5</v>
      </c>
      <c r="J3" s="10" t="s">
        <v>2</v>
      </c>
      <c r="K3" s="11" t="s">
        <v>4</v>
      </c>
      <c r="M3" s="4" t="s">
        <v>15</v>
      </c>
    </row>
    <row r="4" spans="2:13" x14ac:dyDescent="0.3">
      <c r="B4" s="29" t="s">
        <v>6</v>
      </c>
      <c r="C4" s="10">
        <v>0.95</v>
      </c>
      <c r="D4" s="8">
        <v>5.0759999999999996</v>
      </c>
      <c r="E4" s="12">
        <f>(C4*10^-3)/(D4*10^-4)</f>
        <v>1.8715524034672972</v>
      </c>
      <c r="F4" s="13">
        <v>0.94</v>
      </c>
      <c r="G4" s="14">
        <v>4.0000000000000001E-3</v>
      </c>
      <c r="H4" s="15">
        <f>(E4)/((9.81*F4*10^-2))^(1/2)</f>
        <v>6.1631616874318302</v>
      </c>
      <c r="I4" s="13">
        <v>3</v>
      </c>
      <c r="J4" s="13">
        <v>0</v>
      </c>
      <c r="K4" s="16">
        <f t="shared" ref="K4:K10" si="0">(10.33+M4-0.234)/((E4^2)/19.62)</f>
        <v>56.551530256083318</v>
      </c>
      <c r="M4" s="4">
        <f>-(1.7*J4^2)/19.62</f>
        <v>0</v>
      </c>
    </row>
    <row r="5" spans="2:13" x14ac:dyDescent="0.3">
      <c r="B5" s="29" t="s">
        <v>7</v>
      </c>
      <c r="C5" s="10">
        <v>1.9</v>
      </c>
      <c r="D5" s="8">
        <v>5.0759999999999996</v>
      </c>
      <c r="E5" s="12">
        <f t="shared" ref="E5:E10" si="1">(C5*10^-3)/(D5*10^-4)</f>
        <v>3.7431048069345945</v>
      </c>
      <c r="F5" s="13">
        <v>0.94</v>
      </c>
      <c r="G5" s="14">
        <v>4.0000000000000001E-3</v>
      </c>
      <c r="H5" s="15">
        <f t="shared" ref="H5:H10" si="2">(E5)/((9.81*F5*10^-2))^(1/2)</f>
        <v>12.32632337486366</v>
      </c>
      <c r="I5" s="13">
        <v>4.5</v>
      </c>
      <c r="J5" s="13">
        <v>2.72</v>
      </c>
      <c r="K5" s="16">
        <f t="shared" si="0"/>
        <v>13.2402000732472</v>
      </c>
      <c r="M5" s="4">
        <f t="shared" ref="M5:M10" si="3">-(1.7*J5^2)/19.62</f>
        <v>-0.64104383282364941</v>
      </c>
    </row>
    <row r="6" spans="2:13" x14ac:dyDescent="0.3">
      <c r="B6" s="29" t="s">
        <v>8</v>
      </c>
      <c r="C6" s="10">
        <v>2.85</v>
      </c>
      <c r="D6" s="8">
        <v>5.0759999999999996</v>
      </c>
      <c r="E6" s="12">
        <f t="shared" si="1"/>
        <v>5.6146572104018917</v>
      </c>
      <c r="F6" s="13">
        <v>0.94</v>
      </c>
      <c r="G6" s="14">
        <v>4.0000000000000001E-3</v>
      </c>
      <c r="H6" s="15">
        <f t="shared" si="2"/>
        <v>18.48948506229549</v>
      </c>
      <c r="I6" s="13">
        <v>4.5</v>
      </c>
      <c r="J6" s="13">
        <v>6.26</v>
      </c>
      <c r="K6" s="16">
        <f t="shared" si="0"/>
        <v>4.1702523059767316</v>
      </c>
      <c r="M6" s="4">
        <f t="shared" si="3"/>
        <v>-3.3954597349643212</v>
      </c>
    </row>
    <row r="7" spans="2:13" x14ac:dyDescent="0.3">
      <c r="B7" s="29" t="s">
        <v>9</v>
      </c>
      <c r="C7" s="10">
        <v>3.8</v>
      </c>
      <c r="D7" s="8">
        <v>5.0759999999999996</v>
      </c>
      <c r="E7" s="12">
        <f t="shared" si="1"/>
        <v>7.4862096138691889</v>
      </c>
      <c r="F7" s="13">
        <v>0.94</v>
      </c>
      <c r="G7" s="14">
        <v>4.0000000000000001E-3</v>
      </c>
      <c r="H7" s="15">
        <f t="shared" si="2"/>
        <v>24.652646749727321</v>
      </c>
      <c r="I7" s="13">
        <v>4.5</v>
      </c>
      <c r="J7" s="13">
        <v>11.68</v>
      </c>
      <c r="K7" s="16">
        <f t="shared" si="0"/>
        <v>-0.60372139474969488</v>
      </c>
      <c r="M7" s="4">
        <f t="shared" si="3"/>
        <v>-11.820493374108052</v>
      </c>
    </row>
    <row r="8" spans="2:13" x14ac:dyDescent="0.3">
      <c r="B8" s="29" t="s">
        <v>10</v>
      </c>
      <c r="C8" s="10">
        <v>4.75</v>
      </c>
      <c r="D8" s="8">
        <v>5.0759999999999996</v>
      </c>
      <c r="E8" s="12">
        <f t="shared" si="1"/>
        <v>9.3577620173364853</v>
      </c>
      <c r="F8" s="13">
        <v>0.94</v>
      </c>
      <c r="G8" s="14">
        <v>4.0000000000000001E-3</v>
      </c>
      <c r="H8" s="15">
        <f t="shared" si="2"/>
        <v>30.815808437159149</v>
      </c>
      <c r="I8" s="13">
        <v>4.5</v>
      </c>
      <c r="J8" s="13">
        <v>15.93</v>
      </c>
      <c r="K8" s="16">
        <f t="shared" si="0"/>
        <v>-2.6644160281416327</v>
      </c>
      <c r="M8" s="4">
        <f t="shared" si="3"/>
        <v>-21.987784403669721</v>
      </c>
    </row>
    <row r="9" spans="2:13" x14ac:dyDescent="0.3">
      <c r="B9" s="29" t="s">
        <v>11</v>
      </c>
      <c r="C9" s="10">
        <v>5.65</v>
      </c>
      <c r="D9" s="8">
        <v>5.0759999999999996</v>
      </c>
      <c r="E9" s="12">
        <f t="shared" si="1"/>
        <v>11.130811662726558</v>
      </c>
      <c r="F9" s="13">
        <v>0.94</v>
      </c>
      <c r="G9" s="14">
        <v>4.0000000000000001E-3</v>
      </c>
      <c r="H9" s="15">
        <f t="shared" si="2"/>
        <v>36.654593193673513</v>
      </c>
      <c r="I9" s="13">
        <v>4.5</v>
      </c>
      <c r="J9" s="13">
        <v>19.579999999999998</v>
      </c>
      <c r="K9" s="16">
        <f t="shared" si="0"/>
        <v>-3.6616205349629114</v>
      </c>
      <c r="M9" s="4">
        <f t="shared" si="3"/>
        <v>-33.21813863404688</v>
      </c>
    </row>
    <row r="10" spans="2:13" x14ac:dyDescent="0.3">
      <c r="B10" s="29" t="s">
        <v>12</v>
      </c>
      <c r="C10" s="13">
        <v>6.6</v>
      </c>
      <c r="D10" s="8">
        <v>5.0759999999999996</v>
      </c>
      <c r="E10" s="12">
        <f t="shared" si="1"/>
        <v>13.002364066193854</v>
      </c>
      <c r="F10" s="13">
        <v>0.94</v>
      </c>
      <c r="G10" s="14">
        <v>4.0000000000000001E-3</v>
      </c>
      <c r="H10" s="15">
        <f t="shared" si="2"/>
        <v>42.817754881105344</v>
      </c>
      <c r="I10" s="13">
        <v>4.5</v>
      </c>
      <c r="J10" s="13">
        <v>22.49</v>
      </c>
      <c r="K10" s="16">
        <f t="shared" si="0"/>
        <v>-3.9144143539785112</v>
      </c>
      <c r="M10" s="4">
        <f t="shared" si="3"/>
        <v>-43.825696738022415</v>
      </c>
    </row>
    <row r="11" spans="2:13" x14ac:dyDescent="0.3">
      <c r="B11" s="30"/>
      <c r="C11" s="17"/>
      <c r="D11" s="18"/>
      <c r="E11" s="19"/>
      <c r="F11" s="17"/>
      <c r="G11" s="17"/>
      <c r="H11" s="18"/>
      <c r="I11" s="17"/>
      <c r="J11" s="17"/>
      <c r="K11" s="14"/>
    </row>
    <row r="12" spans="2:13" x14ac:dyDescent="0.3">
      <c r="B12" s="3" t="s">
        <v>27</v>
      </c>
      <c r="C12" s="3"/>
      <c r="D12" s="3"/>
      <c r="E12" s="3"/>
      <c r="F12" s="3"/>
      <c r="G12" s="3"/>
      <c r="H12" s="3"/>
      <c r="I12" s="3"/>
      <c r="J12" s="3"/>
      <c r="K12" s="3"/>
    </row>
    <row r="13" spans="2:13" ht="18" x14ac:dyDescent="0.3">
      <c r="B13" s="29"/>
      <c r="C13" s="7" t="s">
        <v>18</v>
      </c>
      <c r="D13" s="8" t="s">
        <v>19</v>
      </c>
      <c r="E13" s="9" t="s">
        <v>20</v>
      </c>
      <c r="F13" s="10" t="s">
        <v>21</v>
      </c>
      <c r="G13" s="10" t="s">
        <v>16</v>
      </c>
      <c r="H13" s="8" t="s">
        <v>0</v>
      </c>
      <c r="I13" s="10" t="s">
        <v>22</v>
      </c>
      <c r="J13" s="10" t="s">
        <v>23</v>
      </c>
      <c r="K13" s="11" t="s">
        <v>14</v>
      </c>
      <c r="M13" s="4" t="s">
        <v>24</v>
      </c>
    </row>
    <row r="14" spans="2:13" ht="16.8" x14ac:dyDescent="0.3">
      <c r="B14" s="29" t="s">
        <v>1</v>
      </c>
      <c r="C14" s="7"/>
      <c r="D14" s="8" t="s">
        <v>25</v>
      </c>
      <c r="E14" s="9" t="s">
        <v>2</v>
      </c>
      <c r="F14" s="10" t="s">
        <v>3</v>
      </c>
      <c r="G14" s="10" t="s">
        <v>4</v>
      </c>
      <c r="H14" s="8" t="s">
        <v>4</v>
      </c>
      <c r="I14" s="10" t="s">
        <v>5</v>
      </c>
      <c r="J14" s="10" t="s">
        <v>2</v>
      </c>
      <c r="K14" s="11" t="s">
        <v>4</v>
      </c>
      <c r="M14" s="4" t="s">
        <v>15</v>
      </c>
    </row>
    <row r="15" spans="2:13" x14ac:dyDescent="0.3">
      <c r="B15" s="29" t="s">
        <v>6</v>
      </c>
      <c r="C15" s="10">
        <v>0.95</v>
      </c>
      <c r="D15" s="8">
        <v>5.0759999999999996</v>
      </c>
      <c r="E15" s="12">
        <f>(C15*10^-3)/(D15*10^-4)</f>
        <v>1.8715524034672972</v>
      </c>
      <c r="F15" s="13">
        <v>0.94</v>
      </c>
      <c r="G15" s="14">
        <v>2E-3</v>
      </c>
      <c r="H15" s="15">
        <f>(E15)/((9.81*F15*10^-2))^(1/2)</f>
        <v>6.1631616874318302</v>
      </c>
      <c r="I15" s="13">
        <v>3</v>
      </c>
      <c r="J15" s="13">
        <v>0</v>
      </c>
      <c r="K15" s="20">
        <f t="shared" ref="K15:K21" si="4">(10.33+M15-0.234)/((E15^2)/19.62)</f>
        <v>56.551530256083318</v>
      </c>
      <c r="M15" s="4">
        <f>-(1.7*J15^2)/19.62</f>
        <v>0</v>
      </c>
    </row>
    <row r="16" spans="2:13" x14ac:dyDescent="0.3">
      <c r="B16" s="29" t="s">
        <v>7</v>
      </c>
      <c r="C16" s="10">
        <v>1.9</v>
      </c>
      <c r="D16" s="8">
        <v>5.0759999999999996</v>
      </c>
      <c r="E16" s="12">
        <f t="shared" ref="E16:E21" si="5">(C16*10^-3)/(D16*10^-4)</f>
        <v>3.7431048069345945</v>
      </c>
      <c r="F16" s="13">
        <v>0.94</v>
      </c>
      <c r="G16" s="14">
        <v>2E-3</v>
      </c>
      <c r="H16" s="15">
        <f t="shared" ref="H16:H21" si="6">(E16)/((9.81*F16*10^-2))^(1/2)</f>
        <v>12.32632337486366</v>
      </c>
      <c r="I16" s="13">
        <v>4.5</v>
      </c>
      <c r="J16" s="13">
        <v>2.78</v>
      </c>
      <c r="K16" s="20">
        <f t="shared" si="4"/>
        <v>13.200159629103156</v>
      </c>
      <c r="M16" s="4">
        <f t="shared" ref="M16:M21" si="7">-(1.7*J16^2)/19.62</f>
        <v>-0.66963710499490303</v>
      </c>
    </row>
    <row r="17" spans="2:13" x14ac:dyDescent="0.3">
      <c r="B17" s="29" t="s">
        <v>8</v>
      </c>
      <c r="C17" s="10">
        <v>2.85</v>
      </c>
      <c r="D17" s="8">
        <v>5.0759999999999996</v>
      </c>
      <c r="E17" s="12">
        <f t="shared" si="5"/>
        <v>5.6146572104018917</v>
      </c>
      <c r="F17" s="13">
        <v>0.94</v>
      </c>
      <c r="G17" s="14">
        <v>2E-3</v>
      </c>
      <c r="H17" s="15">
        <f t="shared" si="6"/>
        <v>18.48948506229549</v>
      </c>
      <c r="I17" s="13">
        <v>4.5</v>
      </c>
      <c r="J17" s="13">
        <v>5.78</v>
      </c>
      <c r="K17" s="20">
        <f t="shared" si="4"/>
        <v>4.4819044740538496</v>
      </c>
      <c r="M17" s="4">
        <f t="shared" si="7"/>
        <v>-2.8947135575942915</v>
      </c>
    </row>
    <row r="18" spans="2:13" x14ac:dyDescent="0.3">
      <c r="B18" s="29" t="s">
        <v>9</v>
      </c>
      <c r="C18" s="10">
        <v>3.8</v>
      </c>
      <c r="D18" s="8">
        <v>5.0759999999999996</v>
      </c>
      <c r="E18" s="12">
        <f t="shared" si="5"/>
        <v>7.4862096138691889</v>
      </c>
      <c r="F18" s="13">
        <v>0.94</v>
      </c>
      <c r="G18" s="14">
        <v>2E-3</v>
      </c>
      <c r="H18" s="15">
        <f t="shared" si="6"/>
        <v>24.652646749727321</v>
      </c>
      <c r="I18" s="13">
        <v>4.5</v>
      </c>
      <c r="J18" s="13">
        <v>12.43</v>
      </c>
      <c r="K18" s="20">
        <f t="shared" si="4"/>
        <v>-1.1522299790183927</v>
      </c>
      <c r="M18" s="4">
        <f t="shared" si="7"/>
        <v>-13.387274719673801</v>
      </c>
    </row>
    <row r="19" spans="2:13" x14ac:dyDescent="0.3">
      <c r="B19" s="29" t="s">
        <v>10</v>
      </c>
      <c r="C19" s="10">
        <v>4.75</v>
      </c>
      <c r="D19" s="8">
        <v>5.0759999999999996</v>
      </c>
      <c r="E19" s="12">
        <f t="shared" si="5"/>
        <v>9.3577620173364853</v>
      </c>
      <c r="F19" s="13">
        <v>0.94</v>
      </c>
      <c r="G19" s="14">
        <v>2E-3</v>
      </c>
      <c r="H19" s="15">
        <f t="shared" si="6"/>
        <v>30.815808437159149</v>
      </c>
      <c r="I19" s="13">
        <v>4.5</v>
      </c>
      <c r="J19" s="13">
        <v>18.98</v>
      </c>
      <c r="K19" s="20">
        <f t="shared" si="4"/>
        <v>-4.7314833301824537</v>
      </c>
      <c r="M19" s="4">
        <f t="shared" si="7"/>
        <v>-31.213490316004076</v>
      </c>
    </row>
    <row r="20" spans="2:13" x14ac:dyDescent="0.3">
      <c r="B20" s="29" t="s">
        <v>11</v>
      </c>
      <c r="C20" s="10">
        <v>5.65</v>
      </c>
      <c r="D20" s="8">
        <v>5.0759999999999996</v>
      </c>
      <c r="E20" s="12">
        <f t="shared" si="5"/>
        <v>11.130811662726558</v>
      </c>
      <c r="F20" s="13">
        <v>0.94</v>
      </c>
      <c r="G20" s="14">
        <v>2E-3</v>
      </c>
      <c r="H20" s="15">
        <f t="shared" si="6"/>
        <v>36.654593193673513</v>
      </c>
      <c r="I20" s="13">
        <v>4.5</v>
      </c>
      <c r="J20" s="13">
        <v>23.32</v>
      </c>
      <c r="K20" s="20">
        <f t="shared" si="4"/>
        <v>-5.8631481983236133</v>
      </c>
      <c r="M20" s="4">
        <f t="shared" si="7"/>
        <v>-47.120187563710495</v>
      </c>
    </row>
    <row r="21" spans="2:13" x14ac:dyDescent="0.3">
      <c r="B21" s="29" t="s">
        <v>12</v>
      </c>
      <c r="C21" s="13">
        <v>6.6</v>
      </c>
      <c r="D21" s="8">
        <v>5.0759999999999996</v>
      </c>
      <c r="E21" s="12">
        <f t="shared" si="5"/>
        <v>13.002364066193854</v>
      </c>
      <c r="F21" s="13">
        <v>0.94</v>
      </c>
      <c r="G21" s="14">
        <v>2E-3</v>
      </c>
      <c r="H21" s="15">
        <f t="shared" si="6"/>
        <v>42.817754881105344</v>
      </c>
      <c r="I21" s="13">
        <v>4.5</v>
      </c>
      <c r="J21" s="13">
        <v>28.98</v>
      </c>
      <c r="K21" s="20">
        <f t="shared" si="4"/>
        <v>-7.2733612837566932</v>
      </c>
      <c r="M21" s="4">
        <f t="shared" si="7"/>
        <v>-72.769045871559626</v>
      </c>
    </row>
    <row r="22" spans="2:13" x14ac:dyDescent="0.3">
      <c r="B22" s="31"/>
      <c r="C22" s="17"/>
      <c r="D22" s="18"/>
      <c r="E22" s="19"/>
      <c r="F22" s="17"/>
      <c r="G22" s="17"/>
      <c r="H22" s="18"/>
      <c r="I22" s="17"/>
      <c r="J22" s="17"/>
      <c r="K22" s="14"/>
    </row>
    <row r="23" spans="2:13" x14ac:dyDescent="0.3">
      <c r="B23" s="3" t="s">
        <v>28</v>
      </c>
      <c r="C23" s="3"/>
      <c r="D23" s="3"/>
      <c r="E23" s="3"/>
      <c r="F23" s="3"/>
      <c r="G23" s="3"/>
      <c r="H23" s="3"/>
      <c r="I23" s="3"/>
      <c r="J23" s="3"/>
      <c r="K23" s="3"/>
    </row>
    <row r="24" spans="2:13" ht="18" x14ac:dyDescent="0.3">
      <c r="B24" s="29"/>
      <c r="C24" s="7" t="s">
        <v>18</v>
      </c>
      <c r="D24" s="8" t="s">
        <v>19</v>
      </c>
      <c r="E24" s="9" t="s">
        <v>20</v>
      </c>
      <c r="F24" s="10" t="s">
        <v>21</v>
      </c>
      <c r="G24" s="10" t="s">
        <v>16</v>
      </c>
      <c r="H24" s="8" t="s">
        <v>0</v>
      </c>
      <c r="I24" s="10" t="s">
        <v>22</v>
      </c>
      <c r="J24" s="10" t="s">
        <v>23</v>
      </c>
      <c r="K24" s="11" t="s">
        <v>14</v>
      </c>
      <c r="M24" s="4" t="s">
        <v>24</v>
      </c>
    </row>
    <row r="25" spans="2:13" ht="16.8" x14ac:dyDescent="0.3">
      <c r="B25" s="29" t="s">
        <v>1</v>
      </c>
      <c r="C25" s="7"/>
      <c r="D25" s="8" t="s">
        <v>25</v>
      </c>
      <c r="E25" s="9" t="s">
        <v>2</v>
      </c>
      <c r="F25" s="10" t="s">
        <v>3</v>
      </c>
      <c r="G25" s="10" t="s">
        <v>4</v>
      </c>
      <c r="H25" s="8" t="s">
        <v>4</v>
      </c>
      <c r="I25" s="10" t="s">
        <v>5</v>
      </c>
      <c r="J25" s="10" t="s">
        <v>2</v>
      </c>
      <c r="K25" s="11" t="s">
        <v>4</v>
      </c>
      <c r="M25" s="4" t="s">
        <v>15</v>
      </c>
    </row>
    <row r="26" spans="2:13" x14ac:dyDescent="0.3">
      <c r="B26" s="29" t="s">
        <v>6</v>
      </c>
      <c r="C26" s="10">
        <v>0.95</v>
      </c>
      <c r="D26" s="8">
        <v>5.0759999999999996</v>
      </c>
      <c r="E26" s="12">
        <f>(C26*10^-3)/(D26*10^-4)</f>
        <v>1.8715524034672972</v>
      </c>
      <c r="F26" s="13">
        <v>0.94</v>
      </c>
      <c r="G26" s="14">
        <v>1E-3</v>
      </c>
      <c r="H26" s="15">
        <f>(E26)/((9.81*F26*10^-2))^(1/2)</f>
        <v>6.1631616874318302</v>
      </c>
      <c r="I26" s="13">
        <v>3</v>
      </c>
      <c r="J26" s="13">
        <v>0</v>
      </c>
      <c r="K26" s="20">
        <f t="shared" ref="K26:K32" si="8">(10.33+M26-0.234)/((E26^2)/19.62)</f>
        <v>56.551530256083318</v>
      </c>
      <c r="M26" s="4">
        <f>-(1.7*J26^2)/19.62</f>
        <v>0</v>
      </c>
    </row>
    <row r="27" spans="2:13" x14ac:dyDescent="0.3">
      <c r="B27" s="29" t="s">
        <v>7</v>
      </c>
      <c r="C27" s="10">
        <v>1.9</v>
      </c>
      <c r="D27" s="8">
        <v>5.0759999999999996</v>
      </c>
      <c r="E27" s="12">
        <f t="shared" ref="E27:E32" si="9">(C27*10^-3)/(D27*10^-4)</f>
        <v>3.7431048069345945</v>
      </c>
      <c r="F27" s="13">
        <v>0.94</v>
      </c>
      <c r="G27" s="14">
        <v>1E-3</v>
      </c>
      <c r="H27" s="15">
        <f t="shared" ref="H27:H32" si="10">(E27)/((9.81*F27*10^-2))^(1/2)</f>
        <v>12.32632337486366</v>
      </c>
      <c r="I27" s="13">
        <v>4.5</v>
      </c>
      <c r="J27" s="13">
        <v>2.83</v>
      </c>
      <c r="K27" s="20">
        <f t="shared" si="8"/>
        <v>13.166125251580718</v>
      </c>
      <c r="M27" s="4">
        <f t="shared" ref="M27:M32" si="11">-(1.7*J27^2)/19.62</f>
        <v>-0.69394138634046887</v>
      </c>
    </row>
    <row r="28" spans="2:13" x14ac:dyDescent="0.3">
      <c r="B28" s="29" t="s">
        <v>8</v>
      </c>
      <c r="C28" s="10">
        <v>2.85</v>
      </c>
      <c r="D28" s="8">
        <v>5.0759999999999996</v>
      </c>
      <c r="E28" s="12">
        <f t="shared" si="9"/>
        <v>5.6146572104018917</v>
      </c>
      <c r="F28" s="13">
        <v>0.94</v>
      </c>
      <c r="G28" s="14">
        <v>1E-3</v>
      </c>
      <c r="H28" s="15">
        <f t="shared" si="10"/>
        <v>18.48948506229549</v>
      </c>
      <c r="I28" s="13">
        <v>4.5</v>
      </c>
      <c r="J28" s="13">
        <v>7.36</v>
      </c>
      <c r="K28" s="20">
        <f t="shared" si="8"/>
        <v>3.3623251219146817</v>
      </c>
      <c r="M28" s="4">
        <f t="shared" si="11"/>
        <v>-4.6935942915392452</v>
      </c>
    </row>
    <row r="29" spans="2:13" x14ac:dyDescent="0.3">
      <c r="B29" s="29" t="s">
        <v>9</v>
      </c>
      <c r="C29" s="10">
        <v>3.8</v>
      </c>
      <c r="D29" s="8">
        <v>5.0759999999999996</v>
      </c>
      <c r="E29" s="12">
        <f t="shared" si="9"/>
        <v>7.4862096138691889</v>
      </c>
      <c r="F29" s="13">
        <v>0.94</v>
      </c>
      <c r="G29" s="14">
        <v>1E-3</v>
      </c>
      <c r="H29" s="15">
        <f t="shared" si="10"/>
        <v>24.652646749727321</v>
      </c>
      <c r="I29" s="13">
        <v>4.5</v>
      </c>
      <c r="J29" s="13">
        <v>13.14</v>
      </c>
      <c r="K29" s="20">
        <f t="shared" si="8"/>
        <v>-1.7029286542470909</v>
      </c>
      <c r="M29" s="4">
        <f t="shared" si="11"/>
        <v>-14.960311926605504</v>
      </c>
    </row>
    <row r="30" spans="2:13" x14ac:dyDescent="0.3">
      <c r="B30" s="29" t="s">
        <v>10</v>
      </c>
      <c r="C30" s="10">
        <v>4.75</v>
      </c>
      <c r="D30" s="8">
        <v>5.0759999999999996</v>
      </c>
      <c r="E30" s="12">
        <f t="shared" si="9"/>
        <v>9.3577620173364853</v>
      </c>
      <c r="F30" s="13">
        <v>0.94</v>
      </c>
      <c r="G30" s="14">
        <v>1E-3</v>
      </c>
      <c r="H30" s="15">
        <f t="shared" si="10"/>
        <v>30.815808437159149</v>
      </c>
      <c r="I30" s="13">
        <v>4.5</v>
      </c>
      <c r="J30" s="13">
        <v>20.399999999999999</v>
      </c>
      <c r="K30" s="20">
        <f t="shared" si="8"/>
        <v>-5.8170812067193269</v>
      </c>
      <c r="M30" s="4">
        <f t="shared" si="11"/>
        <v>-36.058715596330273</v>
      </c>
    </row>
    <row r="31" spans="2:13" x14ac:dyDescent="0.3">
      <c r="B31" s="29" t="s">
        <v>11</v>
      </c>
      <c r="C31" s="10">
        <v>5.65</v>
      </c>
      <c r="D31" s="8">
        <v>5.0759999999999996</v>
      </c>
      <c r="E31" s="12">
        <f t="shared" si="9"/>
        <v>11.130811662726558</v>
      </c>
      <c r="F31" s="13">
        <v>0.94</v>
      </c>
      <c r="G31" s="14">
        <v>1E-3</v>
      </c>
      <c r="H31" s="15">
        <f t="shared" si="10"/>
        <v>36.654593193673513</v>
      </c>
      <c r="I31" s="13">
        <v>4.5</v>
      </c>
      <c r="J31" s="13">
        <v>23.6</v>
      </c>
      <c r="K31" s="20">
        <f t="shared" si="8"/>
        <v>-6.0434131462199003</v>
      </c>
      <c r="M31" s="4">
        <f t="shared" si="11"/>
        <v>-48.258511722731903</v>
      </c>
    </row>
    <row r="32" spans="2:13" x14ac:dyDescent="0.3">
      <c r="B32" s="29" t="s">
        <v>12</v>
      </c>
      <c r="C32" s="13">
        <v>6.65</v>
      </c>
      <c r="D32" s="8">
        <v>5.0759999999999996</v>
      </c>
      <c r="E32" s="12">
        <f t="shared" si="9"/>
        <v>13.100866824271082</v>
      </c>
      <c r="F32" s="13">
        <v>0.94</v>
      </c>
      <c r="G32" s="14">
        <v>1E-3</v>
      </c>
      <c r="H32" s="15">
        <f t="shared" si="10"/>
        <v>43.142131812022811</v>
      </c>
      <c r="I32" s="13">
        <v>4.5</v>
      </c>
      <c r="J32" s="13">
        <v>30.43</v>
      </c>
      <c r="K32" s="20">
        <f t="shared" si="8"/>
        <v>-8.0176488362527092</v>
      </c>
      <c r="M32" s="4">
        <f t="shared" si="11"/>
        <v>-80.233146279306823</v>
      </c>
    </row>
    <row r="33" spans="2:13" x14ac:dyDescent="0.3">
      <c r="B33" s="31"/>
      <c r="C33" s="17"/>
      <c r="D33" s="18"/>
      <c r="E33" s="19"/>
      <c r="F33" s="17"/>
      <c r="G33" s="17"/>
      <c r="H33" s="18"/>
      <c r="I33" s="17"/>
      <c r="J33" s="17"/>
      <c r="K33" s="14"/>
    </row>
    <row r="34" spans="2:13" x14ac:dyDescent="0.3">
      <c r="B34" s="3" t="s">
        <v>29</v>
      </c>
      <c r="C34" s="3"/>
      <c r="D34" s="3"/>
      <c r="E34" s="3"/>
      <c r="F34" s="3"/>
      <c r="G34" s="3"/>
      <c r="H34" s="3"/>
      <c r="I34" s="3"/>
      <c r="J34" s="3"/>
      <c r="K34" s="3"/>
    </row>
    <row r="35" spans="2:13" ht="18" x14ac:dyDescent="0.3">
      <c r="B35" s="29"/>
      <c r="C35" s="7" t="s">
        <v>18</v>
      </c>
      <c r="D35" s="8" t="s">
        <v>19</v>
      </c>
      <c r="E35" s="9" t="s">
        <v>20</v>
      </c>
      <c r="F35" s="10" t="s">
        <v>21</v>
      </c>
      <c r="G35" s="10" t="s">
        <v>16</v>
      </c>
      <c r="H35" s="8" t="s">
        <v>0</v>
      </c>
      <c r="I35" s="10" t="s">
        <v>22</v>
      </c>
      <c r="J35" s="10" t="s">
        <v>23</v>
      </c>
      <c r="K35" s="11" t="s">
        <v>14</v>
      </c>
      <c r="M35" s="4" t="s">
        <v>24</v>
      </c>
    </row>
    <row r="36" spans="2:13" ht="16.8" x14ac:dyDescent="0.3">
      <c r="B36" s="29" t="s">
        <v>1</v>
      </c>
      <c r="C36" s="7"/>
      <c r="D36" s="8" t="s">
        <v>25</v>
      </c>
      <c r="E36" s="9" t="s">
        <v>2</v>
      </c>
      <c r="F36" s="10" t="s">
        <v>3</v>
      </c>
      <c r="G36" s="10" t="s">
        <v>4</v>
      </c>
      <c r="H36" s="8" t="s">
        <v>4</v>
      </c>
      <c r="I36" s="10" t="s">
        <v>5</v>
      </c>
      <c r="J36" s="10" t="s">
        <v>2</v>
      </c>
      <c r="K36" s="11" t="s">
        <v>4</v>
      </c>
      <c r="M36" s="4" t="s">
        <v>15</v>
      </c>
    </row>
    <row r="37" spans="2:13" x14ac:dyDescent="0.3">
      <c r="B37" s="29" t="s">
        <v>6</v>
      </c>
      <c r="C37" s="10">
        <v>0.95</v>
      </c>
      <c r="D37" s="8">
        <v>5.0759999999999996</v>
      </c>
      <c r="E37" s="12">
        <f>(C37*10^-3)/(D37*10^-4)</f>
        <v>1.8715524034672972</v>
      </c>
      <c r="F37" s="13">
        <v>0.94</v>
      </c>
      <c r="G37" s="14">
        <v>6.6666666666666664E-4</v>
      </c>
      <c r="H37" s="15">
        <f>(E37)/((9.81*F37*10^-2))^(1/2)</f>
        <v>6.1631616874318302</v>
      </c>
      <c r="I37" s="13">
        <v>3</v>
      </c>
      <c r="J37" s="13">
        <v>0</v>
      </c>
      <c r="K37" s="20">
        <f t="shared" ref="K37:K43" si="12">(10.33+M37-0.234)/((E37^2)/19.62)</f>
        <v>56.551530256083318</v>
      </c>
      <c r="M37" s="4">
        <f>-(1.7*J37^2)/19.62</f>
        <v>0</v>
      </c>
    </row>
    <row r="38" spans="2:13" x14ac:dyDescent="0.3">
      <c r="B38" s="29" t="s">
        <v>7</v>
      </c>
      <c r="C38" s="10">
        <v>1.9</v>
      </c>
      <c r="D38" s="8">
        <v>5.0759999999999996</v>
      </c>
      <c r="E38" s="12">
        <f t="shared" ref="E38:E43" si="13">(C38*10^-3)/(D38*10^-4)</f>
        <v>3.7431048069345945</v>
      </c>
      <c r="F38" s="13">
        <v>0.94</v>
      </c>
      <c r="G38" s="14">
        <v>6.6666666666666664E-4</v>
      </c>
      <c r="H38" s="15">
        <f t="shared" ref="H38:H43" si="14">(E38)/((9.81*F38*10^-2))^(1/2)</f>
        <v>12.32632337486366</v>
      </c>
      <c r="I38" s="13">
        <v>4.5</v>
      </c>
      <c r="J38" s="13">
        <v>2.2000000000000002</v>
      </c>
      <c r="K38" s="20">
        <f t="shared" si="12"/>
        <v>13.550622716574846</v>
      </c>
      <c r="M38" s="4">
        <f t="shared" ref="M38:M43" si="15">-(1.7*J38^2)/19.62</f>
        <v>-0.41936799184505613</v>
      </c>
    </row>
    <row r="39" spans="2:13" x14ac:dyDescent="0.3">
      <c r="B39" s="29" t="s">
        <v>8</v>
      </c>
      <c r="C39" s="10">
        <v>2.85</v>
      </c>
      <c r="D39" s="8">
        <v>5.0759999999999996</v>
      </c>
      <c r="E39" s="12">
        <f t="shared" si="13"/>
        <v>5.6146572104018917</v>
      </c>
      <c r="F39" s="13">
        <v>0.94</v>
      </c>
      <c r="G39" s="14">
        <v>6.6666666666666664E-4</v>
      </c>
      <c r="H39" s="15">
        <f t="shared" si="14"/>
        <v>18.48948506229549</v>
      </c>
      <c r="I39" s="13">
        <v>4.5</v>
      </c>
      <c r="J39" s="13">
        <v>7.24</v>
      </c>
      <c r="K39" s="20">
        <f t="shared" si="12"/>
        <v>3.4568043921373963</v>
      </c>
      <c r="M39" s="4">
        <f t="shared" si="15"/>
        <v>-4.5417900101936794</v>
      </c>
    </row>
    <row r="40" spans="2:13" x14ac:dyDescent="0.3">
      <c r="B40" s="29" t="s">
        <v>9</v>
      </c>
      <c r="C40" s="10">
        <v>3.8</v>
      </c>
      <c r="D40" s="8">
        <v>5.0759999999999996</v>
      </c>
      <c r="E40" s="12">
        <f t="shared" si="13"/>
        <v>7.4862096138691889</v>
      </c>
      <c r="F40" s="13">
        <v>0.94</v>
      </c>
      <c r="G40" s="14">
        <v>6.6666666666666664E-4</v>
      </c>
      <c r="H40" s="15">
        <f t="shared" si="14"/>
        <v>24.652646749727321</v>
      </c>
      <c r="I40" s="13">
        <v>4.5</v>
      </c>
      <c r="J40" s="13">
        <v>12.98</v>
      </c>
      <c r="K40" s="20">
        <f t="shared" si="12"/>
        <v>-1.5761581813934618</v>
      </c>
      <c r="M40" s="4">
        <f t="shared" si="15"/>
        <v>-14.5981997961264</v>
      </c>
    </row>
    <row r="41" spans="2:13" x14ac:dyDescent="0.3">
      <c r="B41" s="29" t="s">
        <v>10</v>
      </c>
      <c r="C41" s="10">
        <v>4.75</v>
      </c>
      <c r="D41" s="8">
        <v>5.0759999999999996</v>
      </c>
      <c r="E41" s="12">
        <f t="shared" si="13"/>
        <v>9.3577620173364853</v>
      </c>
      <c r="F41" s="13">
        <v>0.94</v>
      </c>
      <c r="G41" s="14">
        <v>6.6666666666666664E-4</v>
      </c>
      <c r="H41" s="15">
        <f t="shared" si="14"/>
        <v>30.815808437159149</v>
      </c>
      <c r="I41" s="13">
        <v>4.5</v>
      </c>
      <c r="J41" s="13">
        <v>18.48</v>
      </c>
      <c r="K41" s="20">
        <f t="shared" si="12"/>
        <v>-4.3678675634828412</v>
      </c>
      <c r="M41" s="4">
        <f t="shared" si="15"/>
        <v>-29.590605504587153</v>
      </c>
    </row>
    <row r="42" spans="2:13" x14ac:dyDescent="0.3">
      <c r="B42" s="29" t="s">
        <v>11</v>
      </c>
      <c r="C42" s="10">
        <v>5.65</v>
      </c>
      <c r="D42" s="8">
        <v>5.0759999999999996</v>
      </c>
      <c r="E42" s="12">
        <f t="shared" si="13"/>
        <v>11.130811662726558</v>
      </c>
      <c r="F42" s="13">
        <v>0.94</v>
      </c>
      <c r="G42" s="14">
        <v>6.6666666666666664E-4</v>
      </c>
      <c r="H42" s="15">
        <f t="shared" si="14"/>
        <v>36.654593193673513</v>
      </c>
      <c r="I42" s="13">
        <v>4.5</v>
      </c>
      <c r="J42" s="13">
        <v>24.19</v>
      </c>
      <c r="K42" s="20">
        <f t="shared" si="12"/>
        <v>-6.4303002867462125</v>
      </c>
      <c r="M42" s="4">
        <f t="shared" si="15"/>
        <v>-50.701598878695208</v>
      </c>
    </row>
    <row r="43" spans="2:13" x14ac:dyDescent="0.3">
      <c r="B43" s="29" t="s">
        <v>12</v>
      </c>
      <c r="C43" s="13">
        <v>6.65</v>
      </c>
      <c r="D43" s="8">
        <v>5.0759999999999996</v>
      </c>
      <c r="E43" s="12">
        <f t="shared" si="13"/>
        <v>13.100866824271082</v>
      </c>
      <c r="F43" s="13">
        <v>0.94</v>
      </c>
      <c r="G43" s="14">
        <v>6.6666666666666664E-4</v>
      </c>
      <c r="H43" s="15">
        <f t="shared" si="14"/>
        <v>43.142131812022811</v>
      </c>
      <c r="I43" s="13">
        <v>4.5</v>
      </c>
      <c r="J43" s="13">
        <v>26.84</v>
      </c>
      <c r="K43" s="20">
        <f t="shared" si="12"/>
        <v>-5.9812141330481072</v>
      </c>
      <c r="M43" s="4">
        <f t="shared" si="15"/>
        <v>-62.418731906218134</v>
      </c>
    </row>
    <row r="44" spans="2:13" x14ac:dyDescent="0.3">
      <c r="B44" s="30"/>
      <c r="C44" s="17"/>
      <c r="D44" s="18"/>
      <c r="E44" s="19"/>
      <c r="F44" s="17"/>
      <c r="G44" s="17"/>
      <c r="H44" s="18"/>
      <c r="I44" s="17"/>
      <c r="J44" s="17"/>
      <c r="K44" s="14"/>
    </row>
    <row r="45" spans="2:13" x14ac:dyDescent="0.3">
      <c r="B45" s="3" t="s">
        <v>30</v>
      </c>
      <c r="C45" s="3"/>
      <c r="D45" s="3"/>
      <c r="E45" s="3"/>
      <c r="F45" s="3"/>
      <c r="G45" s="3"/>
      <c r="H45" s="3"/>
      <c r="I45" s="3"/>
      <c r="J45" s="3"/>
      <c r="K45" s="3"/>
    </row>
    <row r="46" spans="2:13" ht="18" x14ac:dyDescent="0.3">
      <c r="B46" s="29"/>
      <c r="C46" s="7" t="s">
        <v>18</v>
      </c>
      <c r="D46" s="8" t="s">
        <v>19</v>
      </c>
      <c r="E46" s="9" t="s">
        <v>20</v>
      </c>
      <c r="F46" s="10" t="s">
        <v>21</v>
      </c>
      <c r="G46" s="10" t="s">
        <v>16</v>
      </c>
      <c r="H46" s="8" t="s">
        <v>0</v>
      </c>
      <c r="I46" s="10" t="s">
        <v>22</v>
      </c>
      <c r="J46" s="10" t="s">
        <v>23</v>
      </c>
      <c r="K46" s="11" t="s">
        <v>14</v>
      </c>
      <c r="M46" s="4" t="s">
        <v>24</v>
      </c>
    </row>
    <row r="47" spans="2:13" ht="16.8" x14ac:dyDescent="0.3">
      <c r="B47" s="29" t="s">
        <v>1</v>
      </c>
      <c r="C47" s="7"/>
      <c r="D47" s="8" t="s">
        <v>25</v>
      </c>
      <c r="E47" s="9" t="s">
        <v>2</v>
      </c>
      <c r="F47" s="10" t="s">
        <v>3</v>
      </c>
      <c r="G47" s="10" t="s">
        <v>4</v>
      </c>
      <c r="H47" s="8" t="s">
        <v>4</v>
      </c>
      <c r="I47" s="10" t="s">
        <v>5</v>
      </c>
      <c r="J47" s="10" t="s">
        <v>2</v>
      </c>
      <c r="K47" s="11" t="s">
        <v>4</v>
      </c>
      <c r="M47" s="4" t="s">
        <v>15</v>
      </c>
    </row>
    <row r="48" spans="2:13" x14ac:dyDescent="0.3">
      <c r="B48" s="29" t="s">
        <v>6</v>
      </c>
      <c r="C48" s="10">
        <v>1.4</v>
      </c>
      <c r="D48" s="8">
        <v>7.6139999999999999</v>
      </c>
      <c r="E48" s="12">
        <f>(C48*10^-3)/(D48*10^-4)</f>
        <v>1.8387181507748882</v>
      </c>
      <c r="F48" s="13">
        <v>1.41</v>
      </c>
      <c r="G48" s="14">
        <v>5.7099999999999998E-3</v>
      </c>
      <c r="H48" s="15">
        <f>(E48)/((9.81*F48*10^-2))^(1/2)</f>
        <v>4.9439162271508623</v>
      </c>
      <c r="I48" s="13">
        <v>3</v>
      </c>
      <c r="J48" s="13">
        <v>0</v>
      </c>
      <c r="K48" s="20">
        <f t="shared" ref="K48:K54" si="16">(10.33+M48-0.234)/((E48^2)/19.62)</f>
        <v>58.589260778703682</v>
      </c>
      <c r="M48" s="4">
        <f>-(1.7*J48^2)/19.62</f>
        <v>0</v>
      </c>
    </row>
    <row r="49" spans="2:13" x14ac:dyDescent="0.3">
      <c r="B49" s="29" t="s">
        <v>7</v>
      </c>
      <c r="C49" s="10">
        <v>2.8</v>
      </c>
      <c r="D49" s="8">
        <v>7.6139999999999999</v>
      </c>
      <c r="E49" s="12">
        <f t="shared" ref="E49:E54" si="17">(C49*10^-3)/(D49*10^-4)</f>
        <v>3.6774363015497764</v>
      </c>
      <c r="F49" s="13">
        <v>1.41</v>
      </c>
      <c r="G49" s="14">
        <v>5.7099999999999998E-3</v>
      </c>
      <c r="H49" s="15">
        <f t="shared" ref="H49:H54" si="18">(E49)/((9.81*F49*10^-2))^(1/2)</f>
        <v>9.8878324543017246</v>
      </c>
      <c r="I49" s="13">
        <v>3</v>
      </c>
      <c r="J49" s="13">
        <v>3.38</v>
      </c>
      <c r="K49" s="20">
        <f t="shared" si="16"/>
        <v>13.211190982489596</v>
      </c>
      <c r="M49" s="4">
        <f t="shared" ref="M49:M54" si="19">-(1.7*J49^2)/19.62</f>
        <v>-0.9898817533129457</v>
      </c>
    </row>
    <row r="50" spans="2:13" x14ac:dyDescent="0.3">
      <c r="B50" s="29" t="s">
        <v>8</v>
      </c>
      <c r="C50" s="10">
        <v>4.2</v>
      </c>
      <c r="D50" s="8">
        <v>7.6139999999999999</v>
      </c>
      <c r="E50" s="12">
        <f t="shared" si="17"/>
        <v>5.5161544523246651</v>
      </c>
      <c r="F50" s="13">
        <v>1.41</v>
      </c>
      <c r="G50" s="14">
        <v>5.7099999999999998E-3</v>
      </c>
      <c r="H50" s="15">
        <f t="shared" si="18"/>
        <v>14.83174868145259</v>
      </c>
      <c r="I50" s="13">
        <v>4.5</v>
      </c>
      <c r="J50" s="13">
        <v>8.7100000000000009</v>
      </c>
      <c r="K50" s="20">
        <f t="shared" si="16"/>
        <v>2.2714158337255097</v>
      </c>
      <c r="M50" s="4">
        <f t="shared" si="19"/>
        <v>-6.5733419979612657</v>
      </c>
    </row>
    <row r="51" spans="2:13" x14ac:dyDescent="0.3">
      <c r="B51" s="29" t="s">
        <v>9</v>
      </c>
      <c r="C51" s="10">
        <v>5.6</v>
      </c>
      <c r="D51" s="8">
        <v>7.6139999999999999</v>
      </c>
      <c r="E51" s="12">
        <f t="shared" si="17"/>
        <v>7.3548726030995528</v>
      </c>
      <c r="F51" s="13">
        <v>1.41</v>
      </c>
      <c r="G51" s="14">
        <v>5.7099999999999998E-3</v>
      </c>
      <c r="H51" s="15">
        <f t="shared" si="18"/>
        <v>19.775664908603449</v>
      </c>
      <c r="I51" s="13">
        <v>4.5</v>
      </c>
      <c r="J51" s="13">
        <v>13.89</v>
      </c>
      <c r="K51" s="20">
        <f t="shared" si="16"/>
        <v>-2.4013880905758289</v>
      </c>
      <c r="M51" s="4">
        <f t="shared" si="19"/>
        <v>-16.71684862385321</v>
      </c>
    </row>
    <row r="52" spans="2:13" x14ac:dyDescent="0.3">
      <c r="B52" s="29" t="s">
        <v>10</v>
      </c>
      <c r="C52" s="10">
        <v>7</v>
      </c>
      <c r="D52" s="8">
        <v>7.6139999999999999</v>
      </c>
      <c r="E52" s="12">
        <f t="shared" si="17"/>
        <v>9.1935907538744406</v>
      </c>
      <c r="F52" s="13">
        <v>1.41</v>
      </c>
      <c r="G52" s="14">
        <v>5.7099999999999998E-3</v>
      </c>
      <c r="H52" s="15">
        <f t="shared" si="18"/>
        <v>24.719581135754311</v>
      </c>
      <c r="I52" s="13">
        <v>4.5</v>
      </c>
      <c r="J52" s="13">
        <v>19.13</v>
      </c>
      <c r="K52" s="20">
        <f t="shared" si="16"/>
        <v>-5.0169500647259522</v>
      </c>
      <c r="M52" s="4">
        <f t="shared" si="19"/>
        <v>-31.708803771661564</v>
      </c>
    </row>
    <row r="53" spans="2:13" x14ac:dyDescent="0.3">
      <c r="B53" s="29" t="s">
        <v>11</v>
      </c>
      <c r="C53" s="10">
        <v>8.4</v>
      </c>
      <c r="D53" s="8">
        <v>7.6139999999999999</v>
      </c>
      <c r="E53" s="12">
        <f t="shared" si="17"/>
        <v>11.03230890464933</v>
      </c>
      <c r="F53" s="13">
        <v>1.41</v>
      </c>
      <c r="G53" s="14">
        <v>5.7099999999999998E-3</v>
      </c>
      <c r="H53" s="15">
        <f t="shared" si="18"/>
        <v>29.663497362905179</v>
      </c>
      <c r="I53" s="13">
        <v>4.5</v>
      </c>
      <c r="J53" s="13">
        <v>22.72</v>
      </c>
      <c r="K53" s="20">
        <f t="shared" si="16"/>
        <v>-5.5824787571804091</v>
      </c>
      <c r="M53" s="4">
        <f t="shared" si="19"/>
        <v>-44.72667074413863</v>
      </c>
    </row>
    <row r="54" spans="2:13" x14ac:dyDescent="0.3">
      <c r="B54" s="29" t="s">
        <v>12</v>
      </c>
      <c r="C54" s="13">
        <v>9.8000000000000007</v>
      </c>
      <c r="D54" s="8">
        <v>7.6139999999999999</v>
      </c>
      <c r="E54" s="12">
        <f t="shared" si="17"/>
        <v>12.87102705542422</v>
      </c>
      <c r="F54" s="13">
        <v>1.41</v>
      </c>
      <c r="G54" s="14">
        <v>5.7099999999999998E-3</v>
      </c>
      <c r="H54" s="15">
        <f t="shared" si="18"/>
        <v>34.607413590056048</v>
      </c>
      <c r="I54" s="13">
        <v>4.5</v>
      </c>
      <c r="J54" s="13">
        <v>27.55</v>
      </c>
      <c r="K54" s="20">
        <f t="shared" si="16"/>
        <v>-6.5930141619540894</v>
      </c>
      <c r="M54" s="4">
        <f t="shared" si="19"/>
        <v>-65.764742609582058</v>
      </c>
    </row>
    <row r="55" spans="2:13" x14ac:dyDescent="0.3">
      <c r="B55" s="30"/>
      <c r="C55" s="17"/>
      <c r="D55" s="18"/>
      <c r="E55" s="19"/>
      <c r="F55" s="17"/>
      <c r="G55" s="17"/>
      <c r="H55" s="18"/>
      <c r="I55" s="17"/>
      <c r="J55" s="17"/>
      <c r="K55" s="14"/>
    </row>
    <row r="56" spans="2:13" x14ac:dyDescent="0.3">
      <c r="B56" s="3" t="s">
        <v>31</v>
      </c>
      <c r="C56" s="3"/>
      <c r="D56" s="3"/>
      <c r="E56" s="3"/>
      <c r="F56" s="3"/>
      <c r="G56" s="3"/>
      <c r="H56" s="3"/>
      <c r="I56" s="3"/>
      <c r="J56" s="3"/>
      <c r="K56" s="3"/>
    </row>
    <row r="57" spans="2:13" ht="18" x14ac:dyDescent="0.3">
      <c r="B57" s="29"/>
      <c r="C57" s="7" t="s">
        <v>18</v>
      </c>
      <c r="D57" s="8" t="s">
        <v>19</v>
      </c>
      <c r="E57" s="9" t="s">
        <v>20</v>
      </c>
      <c r="F57" s="10" t="s">
        <v>21</v>
      </c>
      <c r="G57" s="10" t="s">
        <v>16</v>
      </c>
      <c r="H57" s="8" t="s">
        <v>0</v>
      </c>
      <c r="I57" s="10" t="s">
        <v>22</v>
      </c>
      <c r="J57" s="10" t="s">
        <v>23</v>
      </c>
      <c r="K57" s="11" t="s">
        <v>14</v>
      </c>
      <c r="M57" s="4" t="s">
        <v>24</v>
      </c>
    </row>
    <row r="58" spans="2:13" ht="16.8" x14ac:dyDescent="0.3">
      <c r="B58" s="29" t="s">
        <v>1</v>
      </c>
      <c r="C58" s="7"/>
      <c r="D58" s="8" t="s">
        <v>25</v>
      </c>
      <c r="E58" s="9" t="s">
        <v>2</v>
      </c>
      <c r="F58" s="10" t="s">
        <v>3</v>
      </c>
      <c r="G58" s="10" t="s">
        <v>4</v>
      </c>
      <c r="H58" s="8" t="s">
        <v>4</v>
      </c>
      <c r="I58" s="10" t="s">
        <v>5</v>
      </c>
      <c r="J58" s="10" t="s">
        <v>2</v>
      </c>
      <c r="K58" s="11" t="s">
        <v>4</v>
      </c>
      <c r="M58" s="4" t="s">
        <v>15</v>
      </c>
    </row>
    <row r="59" spans="2:13" x14ac:dyDescent="0.3">
      <c r="B59" s="29" t="s">
        <v>6</v>
      </c>
      <c r="C59" s="10">
        <v>1.4</v>
      </c>
      <c r="D59" s="8">
        <v>7.6139999999999999</v>
      </c>
      <c r="E59" s="12">
        <f>(C59*10^-3)/(D59*10^-4)</f>
        <v>1.8387181507748882</v>
      </c>
      <c r="F59" s="13">
        <v>1.41</v>
      </c>
      <c r="G59" s="14">
        <v>2.8549999999999999E-3</v>
      </c>
      <c r="H59" s="15">
        <f>(E59)/((9.81*F59*10^-2))^(1/2)</f>
        <v>4.9439162271508623</v>
      </c>
      <c r="I59" s="13">
        <v>3</v>
      </c>
      <c r="J59" s="13">
        <v>0</v>
      </c>
      <c r="K59" s="20">
        <f t="shared" ref="K59:K65" si="20">(10.33+M59-0.234)/((E59^2)/19.62)</f>
        <v>58.589260778703682</v>
      </c>
      <c r="M59" s="4">
        <f>-(1.7*J59^2)/19.62</f>
        <v>0</v>
      </c>
    </row>
    <row r="60" spans="2:13" x14ac:dyDescent="0.3">
      <c r="B60" s="29" t="s">
        <v>7</v>
      </c>
      <c r="C60" s="10">
        <v>2.8</v>
      </c>
      <c r="D60" s="8">
        <v>7.6139999999999999</v>
      </c>
      <c r="E60" s="12">
        <f t="shared" ref="E60:E65" si="21">(C60*10^-3)/(D60*10^-4)</f>
        <v>3.6774363015497764</v>
      </c>
      <c r="F60" s="13">
        <v>1.41</v>
      </c>
      <c r="G60" s="14">
        <v>2.8549999999999999E-3</v>
      </c>
      <c r="H60" s="15">
        <f t="shared" ref="H60:H65" si="22">(E60)/((9.81*F60*10^-2))^(1/2)</f>
        <v>9.8878324543017246</v>
      </c>
      <c r="I60" s="13">
        <v>4.5</v>
      </c>
      <c r="J60" s="13">
        <v>2.4900000000000002</v>
      </c>
      <c r="K60" s="20">
        <f t="shared" si="20"/>
        <v>13.867920764510972</v>
      </c>
      <c r="M60" s="4">
        <f t="shared" ref="M60:M65" si="23">-(1.7*J60^2)/19.62</f>
        <v>-0.53721559633027527</v>
      </c>
    </row>
    <row r="61" spans="2:13" x14ac:dyDescent="0.3">
      <c r="B61" s="29" t="s">
        <v>8</v>
      </c>
      <c r="C61" s="10">
        <v>4.2</v>
      </c>
      <c r="D61" s="8">
        <v>7.6139999999999999</v>
      </c>
      <c r="E61" s="12">
        <f t="shared" si="21"/>
        <v>5.5161544523246651</v>
      </c>
      <c r="F61" s="13">
        <v>1.41</v>
      </c>
      <c r="G61" s="14">
        <v>2.8549999999999999E-3</v>
      </c>
      <c r="H61" s="15">
        <f t="shared" si="22"/>
        <v>14.83174868145259</v>
      </c>
      <c r="I61" s="13">
        <v>4.5</v>
      </c>
      <c r="J61" s="13">
        <v>8.59</v>
      </c>
      <c r="K61" s="20">
        <f t="shared" si="20"/>
        <v>2.3874012631377557</v>
      </c>
      <c r="M61" s="4">
        <f t="shared" si="23"/>
        <v>-6.3934643221202849</v>
      </c>
    </row>
    <row r="62" spans="2:13" x14ac:dyDescent="0.3">
      <c r="B62" s="29" t="s">
        <v>9</v>
      </c>
      <c r="C62" s="10">
        <v>5.6</v>
      </c>
      <c r="D62" s="8">
        <v>7.6139999999999999</v>
      </c>
      <c r="E62" s="12">
        <f t="shared" si="21"/>
        <v>7.3548726030995528</v>
      </c>
      <c r="F62" s="13">
        <v>1.41</v>
      </c>
      <c r="G62" s="14">
        <v>2.8549999999999999E-3</v>
      </c>
      <c r="H62" s="15">
        <f t="shared" si="22"/>
        <v>19.775664908603449</v>
      </c>
      <c r="I62" s="13">
        <v>4.5</v>
      </c>
      <c r="J62" s="13">
        <v>14.96</v>
      </c>
      <c r="K62" s="20">
        <f t="shared" si="20"/>
        <v>-3.3715142321693894</v>
      </c>
      <c r="M62" s="4">
        <f t="shared" si="23"/>
        <v>-19.391575942915395</v>
      </c>
    </row>
    <row r="63" spans="2:13" x14ac:dyDescent="0.3">
      <c r="B63" s="29" t="s">
        <v>10</v>
      </c>
      <c r="C63" s="10">
        <v>7</v>
      </c>
      <c r="D63" s="8">
        <v>7.6139999999999999</v>
      </c>
      <c r="E63" s="12">
        <f t="shared" si="21"/>
        <v>9.1935907538744406</v>
      </c>
      <c r="F63" s="13">
        <v>1.41</v>
      </c>
      <c r="G63" s="14">
        <v>2.8549999999999999E-3</v>
      </c>
      <c r="H63" s="15">
        <f t="shared" si="22"/>
        <v>24.719581135754311</v>
      </c>
      <c r="I63" s="13">
        <v>4.5</v>
      </c>
      <c r="J63" s="13">
        <v>19.78</v>
      </c>
      <c r="K63" s="20">
        <f t="shared" si="20"/>
        <v>-5.5256400337397906</v>
      </c>
      <c r="M63" s="4">
        <f t="shared" si="23"/>
        <v>-33.900218144750255</v>
      </c>
    </row>
    <row r="64" spans="2:13" x14ac:dyDescent="0.3">
      <c r="B64" s="29" t="s">
        <v>11</v>
      </c>
      <c r="C64" s="10">
        <v>8.4</v>
      </c>
      <c r="D64" s="8">
        <v>7.6139999999999999</v>
      </c>
      <c r="E64" s="12">
        <f t="shared" si="21"/>
        <v>11.03230890464933</v>
      </c>
      <c r="F64" s="13">
        <v>1.41</v>
      </c>
      <c r="G64" s="14">
        <v>2.8549999999999999E-3</v>
      </c>
      <c r="H64" s="15">
        <f t="shared" si="22"/>
        <v>29.663497362905179</v>
      </c>
      <c r="I64" s="13">
        <v>4.5</v>
      </c>
      <c r="J64" s="13">
        <v>23.64</v>
      </c>
      <c r="K64" s="20">
        <f t="shared" si="20"/>
        <v>-6.178205846167347</v>
      </c>
      <c r="M64" s="4">
        <f t="shared" si="23"/>
        <v>-48.422238532110086</v>
      </c>
    </row>
    <row r="65" spans="2:13" x14ac:dyDescent="0.3">
      <c r="B65" s="29" t="s">
        <v>12</v>
      </c>
      <c r="C65" s="13">
        <v>9.8000000000000007</v>
      </c>
      <c r="D65" s="8">
        <v>7.6139999999999999</v>
      </c>
      <c r="E65" s="12">
        <f t="shared" si="21"/>
        <v>12.87102705542422</v>
      </c>
      <c r="F65" s="13">
        <v>1.41</v>
      </c>
      <c r="G65" s="14">
        <v>2.8549999999999999E-3</v>
      </c>
      <c r="H65" s="15">
        <f t="shared" si="22"/>
        <v>34.607413590056048</v>
      </c>
      <c r="I65" s="13">
        <v>4.5</v>
      </c>
      <c r="J65" s="13">
        <v>31</v>
      </c>
      <c r="K65" s="20">
        <f t="shared" si="20"/>
        <v>-8.6658671858157081</v>
      </c>
      <c r="M65" s="4">
        <f t="shared" si="23"/>
        <v>-83.267074413863398</v>
      </c>
    </row>
    <row r="66" spans="2:13" x14ac:dyDescent="0.3">
      <c r="B66" s="31"/>
      <c r="C66" s="17"/>
      <c r="D66" s="18"/>
      <c r="E66" s="19"/>
      <c r="F66" s="17"/>
      <c r="G66" s="17"/>
      <c r="H66" s="18"/>
      <c r="I66" s="17"/>
      <c r="J66" s="17"/>
      <c r="K66" s="14"/>
    </row>
    <row r="67" spans="2:13" x14ac:dyDescent="0.3">
      <c r="B67" s="3" t="s">
        <v>32</v>
      </c>
      <c r="C67" s="3"/>
      <c r="D67" s="3"/>
      <c r="E67" s="3"/>
      <c r="F67" s="3"/>
      <c r="G67" s="3"/>
      <c r="H67" s="3"/>
      <c r="I67" s="3"/>
      <c r="J67" s="3"/>
      <c r="K67" s="3"/>
    </row>
    <row r="68" spans="2:13" ht="18" x14ac:dyDescent="0.3">
      <c r="B68" s="29"/>
      <c r="C68" s="7" t="s">
        <v>18</v>
      </c>
      <c r="D68" s="8" t="s">
        <v>19</v>
      </c>
      <c r="E68" s="9" t="s">
        <v>20</v>
      </c>
      <c r="F68" s="10" t="s">
        <v>21</v>
      </c>
      <c r="G68" s="10" t="s">
        <v>16</v>
      </c>
      <c r="H68" s="8" t="s">
        <v>0</v>
      </c>
      <c r="I68" s="10" t="s">
        <v>22</v>
      </c>
      <c r="J68" s="10" t="s">
        <v>23</v>
      </c>
      <c r="K68" s="11" t="s">
        <v>14</v>
      </c>
      <c r="M68" s="4" t="s">
        <v>24</v>
      </c>
    </row>
    <row r="69" spans="2:13" ht="16.8" x14ac:dyDescent="0.3">
      <c r="B69" s="29" t="s">
        <v>1</v>
      </c>
      <c r="C69" s="7"/>
      <c r="D69" s="8" t="s">
        <v>25</v>
      </c>
      <c r="E69" s="9" t="s">
        <v>2</v>
      </c>
      <c r="F69" s="10" t="s">
        <v>3</v>
      </c>
      <c r="G69" s="10" t="s">
        <v>4</v>
      </c>
      <c r="H69" s="8" t="s">
        <v>4</v>
      </c>
      <c r="I69" s="10" t="s">
        <v>5</v>
      </c>
      <c r="J69" s="10" t="s">
        <v>2</v>
      </c>
      <c r="K69" s="11" t="s">
        <v>4</v>
      </c>
      <c r="M69" s="4" t="s">
        <v>15</v>
      </c>
    </row>
    <row r="70" spans="2:13" x14ac:dyDescent="0.3">
      <c r="B70" s="29" t="s">
        <v>6</v>
      </c>
      <c r="C70" s="10">
        <v>1.4</v>
      </c>
      <c r="D70" s="8">
        <v>7.6139999999999999</v>
      </c>
      <c r="E70" s="12">
        <f>(C70*10^-3)/(D70*10^-4)</f>
        <v>1.8387181507748882</v>
      </c>
      <c r="F70" s="13">
        <v>1.41</v>
      </c>
      <c r="G70" s="14">
        <v>1.4274999999999999E-3</v>
      </c>
      <c r="H70" s="15">
        <f>(E70)/((9.81*F70*10^-2))^(1/2)</f>
        <v>4.9439162271508623</v>
      </c>
      <c r="I70" s="13">
        <v>3</v>
      </c>
      <c r="J70" s="13">
        <v>0</v>
      </c>
      <c r="K70" s="20">
        <f t="shared" ref="K70:K76" si="24">(10.33+M70-0.234)/((E70^2)/19.62)</f>
        <v>58.589260778703682</v>
      </c>
      <c r="M70" s="4">
        <f>-(1.7*J70^2)/19.62</f>
        <v>0</v>
      </c>
    </row>
    <row r="71" spans="2:13" x14ac:dyDescent="0.3">
      <c r="B71" s="29" t="s">
        <v>7</v>
      </c>
      <c r="C71" s="10">
        <v>2.8</v>
      </c>
      <c r="D71" s="8">
        <v>7.6139999999999999</v>
      </c>
      <c r="E71" s="12">
        <f t="shared" ref="E71:E76" si="25">(C71*10^-3)/(D71*10^-4)</f>
        <v>3.6774363015497764</v>
      </c>
      <c r="F71" s="13">
        <v>1.41</v>
      </c>
      <c r="G71" s="14">
        <v>1.4274999999999999E-3</v>
      </c>
      <c r="H71" s="15">
        <f t="shared" ref="H71:H76" si="26">(E71)/((9.81*F71*10^-2))^(1/2)</f>
        <v>9.8878324543017246</v>
      </c>
      <c r="I71" s="13">
        <v>4.5</v>
      </c>
      <c r="J71" s="13">
        <v>3.35</v>
      </c>
      <c r="K71" s="20">
        <f t="shared" si="24"/>
        <v>13.236571175623626</v>
      </c>
      <c r="M71" s="4">
        <f t="shared" ref="M71:M76" si="27">-(1.7*J71^2)/19.62</f>
        <v>-0.97238786952089706</v>
      </c>
    </row>
    <row r="72" spans="2:13" x14ac:dyDescent="0.3">
      <c r="B72" s="29" t="s">
        <v>8</v>
      </c>
      <c r="C72" s="10">
        <v>4.2</v>
      </c>
      <c r="D72" s="8">
        <v>7.6139999999999999</v>
      </c>
      <c r="E72" s="12">
        <f t="shared" si="25"/>
        <v>5.5161544523246651</v>
      </c>
      <c r="F72" s="13">
        <v>1.41</v>
      </c>
      <c r="G72" s="14">
        <v>1.4274999999999999E-3</v>
      </c>
      <c r="H72" s="15">
        <f t="shared" si="26"/>
        <v>14.83174868145259</v>
      </c>
      <c r="I72" s="13">
        <v>4.5</v>
      </c>
      <c r="J72" s="13">
        <v>8.82</v>
      </c>
      <c r="K72" s="20">
        <f t="shared" si="24"/>
        <v>2.1636823541804087</v>
      </c>
      <c r="M72" s="4">
        <f t="shared" si="27"/>
        <v>-6.7404220183486236</v>
      </c>
    </row>
    <row r="73" spans="2:13" x14ac:dyDescent="0.3">
      <c r="B73" s="29" t="s">
        <v>9</v>
      </c>
      <c r="C73" s="10">
        <v>5.6</v>
      </c>
      <c r="D73" s="8">
        <v>7.6139999999999999</v>
      </c>
      <c r="E73" s="12">
        <f t="shared" si="25"/>
        <v>7.3548726030995528</v>
      </c>
      <c r="F73" s="13">
        <v>1.41</v>
      </c>
      <c r="G73" s="14">
        <v>1.4274999999999999E-3</v>
      </c>
      <c r="H73" s="15">
        <f t="shared" si="26"/>
        <v>19.775664908603449</v>
      </c>
      <c r="I73" s="13">
        <v>4.5</v>
      </c>
      <c r="J73" s="13">
        <v>15.42</v>
      </c>
      <c r="K73" s="20">
        <f t="shared" si="24"/>
        <v>-3.8106959099918885</v>
      </c>
      <c r="M73" s="4">
        <f t="shared" si="27"/>
        <v>-20.602440366972477</v>
      </c>
    </row>
    <row r="74" spans="2:13" x14ac:dyDescent="0.3">
      <c r="B74" s="29" t="s">
        <v>10</v>
      </c>
      <c r="C74" s="10">
        <v>7</v>
      </c>
      <c r="D74" s="8">
        <v>7.6139999999999999</v>
      </c>
      <c r="E74" s="12">
        <f t="shared" si="25"/>
        <v>9.1935907538744406</v>
      </c>
      <c r="F74" s="13">
        <v>1.41</v>
      </c>
      <c r="G74" s="14">
        <v>1.4274999999999999E-3</v>
      </c>
      <c r="H74" s="15">
        <f t="shared" si="26"/>
        <v>24.719581135754311</v>
      </c>
      <c r="I74" s="13">
        <v>4.5</v>
      </c>
      <c r="J74" s="13">
        <v>20.94</v>
      </c>
      <c r="K74" s="20">
        <f t="shared" si="24"/>
        <v>-6.4756854017235952</v>
      </c>
      <c r="M74" s="4">
        <f t="shared" si="27"/>
        <v>-37.992972477064221</v>
      </c>
    </row>
    <row r="75" spans="2:13" x14ac:dyDescent="0.3">
      <c r="B75" s="29" t="s">
        <v>11</v>
      </c>
      <c r="C75" s="10">
        <v>8.4</v>
      </c>
      <c r="D75" s="8">
        <v>7.6139999999999999</v>
      </c>
      <c r="E75" s="12">
        <f t="shared" si="25"/>
        <v>11.03230890464933</v>
      </c>
      <c r="F75" s="13">
        <v>1.41</v>
      </c>
      <c r="G75" s="14">
        <v>1.4274999999999999E-3</v>
      </c>
      <c r="H75" s="15">
        <f t="shared" si="26"/>
        <v>29.663497362905179</v>
      </c>
      <c r="I75" s="13">
        <v>4.5</v>
      </c>
      <c r="J75" s="13">
        <v>27.44</v>
      </c>
      <c r="K75" s="20">
        <f t="shared" si="24"/>
        <v>-8.8893373238449005</v>
      </c>
      <c r="M75" s="4">
        <f t="shared" si="27"/>
        <v>-65.240627930682976</v>
      </c>
    </row>
    <row r="76" spans="2:13" x14ac:dyDescent="0.3">
      <c r="B76" s="29" t="s">
        <v>12</v>
      </c>
      <c r="C76" s="13">
        <v>9.8000000000000007</v>
      </c>
      <c r="D76" s="8">
        <v>7.6139999999999999</v>
      </c>
      <c r="E76" s="12">
        <f t="shared" si="25"/>
        <v>12.87102705542422</v>
      </c>
      <c r="F76" s="13">
        <v>1.41</v>
      </c>
      <c r="G76" s="14">
        <v>1.4274999999999999E-3</v>
      </c>
      <c r="H76" s="15">
        <f t="shared" si="26"/>
        <v>34.607413590056048</v>
      </c>
      <c r="I76" s="13">
        <v>4.5</v>
      </c>
      <c r="J76" s="13">
        <v>32.74</v>
      </c>
      <c r="K76" s="20">
        <f t="shared" si="24"/>
        <v>-9.8039760932488953</v>
      </c>
      <c r="M76" s="4">
        <f t="shared" si="27"/>
        <v>-92.876805300713571</v>
      </c>
    </row>
    <row r="77" spans="2:13" x14ac:dyDescent="0.3">
      <c r="B77" s="31"/>
      <c r="C77" s="17"/>
      <c r="D77" s="18"/>
      <c r="E77" s="19"/>
      <c r="F77" s="17"/>
      <c r="G77" s="17"/>
      <c r="H77" s="18"/>
      <c r="I77" s="17"/>
      <c r="J77" s="17"/>
      <c r="K77" s="14"/>
    </row>
    <row r="78" spans="2:13" x14ac:dyDescent="0.3">
      <c r="B78" s="3" t="s">
        <v>33</v>
      </c>
      <c r="C78" s="3"/>
      <c r="D78" s="3"/>
      <c r="E78" s="3"/>
      <c r="F78" s="3"/>
      <c r="G78" s="3"/>
      <c r="H78" s="3"/>
      <c r="I78" s="3"/>
      <c r="J78" s="3"/>
      <c r="K78" s="3"/>
    </row>
    <row r="79" spans="2:13" ht="18" x14ac:dyDescent="0.3">
      <c r="B79" s="29"/>
      <c r="C79" s="7" t="s">
        <v>18</v>
      </c>
      <c r="D79" s="8" t="s">
        <v>19</v>
      </c>
      <c r="E79" s="9" t="s">
        <v>20</v>
      </c>
      <c r="F79" s="10" t="s">
        <v>21</v>
      </c>
      <c r="G79" s="10" t="s">
        <v>16</v>
      </c>
      <c r="H79" s="8" t="s">
        <v>0</v>
      </c>
      <c r="I79" s="10" t="s">
        <v>22</v>
      </c>
      <c r="J79" s="10" t="s">
        <v>23</v>
      </c>
      <c r="K79" s="11" t="s">
        <v>14</v>
      </c>
      <c r="M79" s="4" t="s">
        <v>24</v>
      </c>
    </row>
    <row r="80" spans="2:13" ht="16.8" x14ac:dyDescent="0.3">
      <c r="B80" s="29" t="s">
        <v>1</v>
      </c>
      <c r="C80" s="7"/>
      <c r="D80" s="8" t="s">
        <v>25</v>
      </c>
      <c r="E80" s="9" t="s">
        <v>2</v>
      </c>
      <c r="F80" s="10" t="s">
        <v>3</v>
      </c>
      <c r="G80" s="10" t="s">
        <v>4</v>
      </c>
      <c r="H80" s="8" t="s">
        <v>4</v>
      </c>
      <c r="I80" s="10" t="s">
        <v>5</v>
      </c>
      <c r="J80" s="10" t="s">
        <v>2</v>
      </c>
      <c r="K80" s="11" t="s">
        <v>4</v>
      </c>
      <c r="M80" s="4" t="s">
        <v>15</v>
      </c>
    </row>
    <row r="81" spans="2:13" x14ac:dyDescent="0.3">
      <c r="B81" s="29" t="s">
        <v>6</v>
      </c>
      <c r="C81" s="10">
        <v>1.4</v>
      </c>
      <c r="D81" s="8">
        <v>7.6139999999999999</v>
      </c>
      <c r="E81" s="12">
        <f>(C81*10^-3)/(D81*10^-4)</f>
        <v>1.8387181507748882</v>
      </c>
      <c r="F81" s="13">
        <v>1.41</v>
      </c>
      <c r="G81" s="14">
        <v>9.5166666666666663E-4</v>
      </c>
      <c r="H81" s="15">
        <f>(E81)/((9.81*F81*10^-2))^(1/2)</f>
        <v>4.9439162271508623</v>
      </c>
      <c r="I81" s="13">
        <v>3</v>
      </c>
      <c r="J81" s="13">
        <v>0</v>
      </c>
      <c r="K81" s="20">
        <f t="shared" ref="K81:K87" si="28">(10.33+M81-0.234)/((E81^2)/19.62)</f>
        <v>58.589260778703682</v>
      </c>
      <c r="M81" s="4">
        <f>-(1.7*J81^2)/19.62</f>
        <v>0</v>
      </c>
    </row>
    <row r="82" spans="2:13" x14ac:dyDescent="0.3">
      <c r="B82" s="29" t="s">
        <v>7</v>
      </c>
      <c r="C82" s="10">
        <v>2.8</v>
      </c>
      <c r="D82" s="8">
        <v>7.6139999999999999</v>
      </c>
      <c r="E82" s="12">
        <f t="shared" ref="E82:E87" si="29">(C82*10^-3)/(D82*10^-4)</f>
        <v>3.6774363015497764</v>
      </c>
      <c r="F82" s="13">
        <v>1.41</v>
      </c>
      <c r="G82" s="14">
        <v>9.5166666666666663E-4</v>
      </c>
      <c r="H82" s="15">
        <f t="shared" ref="H82:H87" si="30">(E82)/((9.81*F82*10^-2))^(1/2)</f>
        <v>9.8878324543017246</v>
      </c>
      <c r="I82" s="13">
        <v>4.5</v>
      </c>
      <c r="J82" s="13">
        <v>1.5</v>
      </c>
      <c r="K82" s="20">
        <f t="shared" si="28"/>
        <v>14.364475003732045</v>
      </c>
      <c r="M82" s="4">
        <f t="shared" ref="M82:M87" si="31">-(1.7*J82^2)/19.62</f>
        <v>-0.19495412844036694</v>
      </c>
    </row>
    <row r="83" spans="2:13" x14ac:dyDescent="0.3">
      <c r="B83" s="29" t="s">
        <v>8</v>
      </c>
      <c r="C83" s="10">
        <v>4.2</v>
      </c>
      <c r="D83" s="8">
        <v>7.6139999999999999</v>
      </c>
      <c r="E83" s="12">
        <f t="shared" si="29"/>
        <v>5.5161544523246651</v>
      </c>
      <c r="F83" s="13">
        <v>1.41</v>
      </c>
      <c r="G83" s="14">
        <v>9.5166666666666663E-4</v>
      </c>
      <c r="H83" s="15">
        <f t="shared" si="30"/>
        <v>14.83174868145259</v>
      </c>
      <c r="I83" s="13">
        <v>4.5</v>
      </c>
      <c r="J83" s="13">
        <v>8.44</v>
      </c>
      <c r="K83" s="20">
        <f t="shared" si="28"/>
        <v>2.5301203283755114</v>
      </c>
      <c r="M83" s="4">
        <f t="shared" si="31"/>
        <v>-6.1721264016309876</v>
      </c>
    </row>
    <row r="84" spans="2:13" x14ac:dyDescent="0.3">
      <c r="B84" s="29" t="s">
        <v>9</v>
      </c>
      <c r="C84" s="10">
        <v>5.6</v>
      </c>
      <c r="D84" s="8">
        <v>7.6139999999999999</v>
      </c>
      <c r="E84" s="12">
        <f t="shared" si="29"/>
        <v>7.3548726030995528</v>
      </c>
      <c r="F84" s="13">
        <v>1.41</v>
      </c>
      <c r="G84" s="14">
        <v>9.5166666666666663E-4</v>
      </c>
      <c r="H84" s="15">
        <f t="shared" si="30"/>
        <v>19.775664908603449</v>
      </c>
      <c r="I84" s="13">
        <v>4.5</v>
      </c>
      <c r="J84" s="13">
        <v>16.41</v>
      </c>
      <c r="K84" s="20">
        <f t="shared" si="28"/>
        <v>-4.8010042705436859</v>
      </c>
      <c r="M84" s="4">
        <f t="shared" si="31"/>
        <v>-23.332811926605501</v>
      </c>
    </row>
    <row r="85" spans="2:13" x14ac:dyDescent="0.3">
      <c r="B85" s="29" t="s">
        <v>10</v>
      </c>
      <c r="C85" s="10">
        <v>7</v>
      </c>
      <c r="D85" s="8">
        <v>7.6139999999999999</v>
      </c>
      <c r="E85" s="12">
        <f t="shared" si="29"/>
        <v>9.1935907538744406</v>
      </c>
      <c r="F85" s="13">
        <v>1.41</v>
      </c>
      <c r="G85" s="14">
        <v>9.5166666666666663E-4</v>
      </c>
      <c r="H85" s="15">
        <f t="shared" si="30"/>
        <v>24.719581135754311</v>
      </c>
      <c r="I85" s="13">
        <v>4.5</v>
      </c>
      <c r="J85" s="13">
        <v>21.48</v>
      </c>
      <c r="K85" s="20">
        <f t="shared" si="28"/>
        <v>-6.936411708277423</v>
      </c>
      <c r="M85" s="4">
        <f t="shared" si="31"/>
        <v>-39.977761467889906</v>
      </c>
    </row>
    <row r="86" spans="2:13" x14ac:dyDescent="0.3">
      <c r="B86" s="29" t="s">
        <v>11</v>
      </c>
      <c r="C86" s="10">
        <v>8.4</v>
      </c>
      <c r="D86" s="8">
        <v>7.6139999999999999</v>
      </c>
      <c r="E86" s="12">
        <f t="shared" si="29"/>
        <v>11.03230890464933</v>
      </c>
      <c r="F86" s="13">
        <v>1.41</v>
      </c>
      <c r="G86" s="14">
        <v>9.5166666666666663E-4</v>
      </c>
      <c r="H86" s="15">
        <f t="shared" si="30"/>
        <v>29.663497362905179</v>
      </c>
      <c r="I86" s="13">
        <v>4.5</v>
      </c>
      <c r="J86" s="13">
        <v>23.82</v>
      </c>
      <c r="K86" s="20">
        <f t="shared" si="28"/>
        <v>-6.2975266947202053</v>
      </c>
      <c r="M86" s="4">
        <f t="shared" si="31"/>
        <v>-49.162440366972476</v>
      </c>
    </row>
    <row r="87" spans="2:13" x14ac:dyDescent="0.3">
      <c r="B87" s="29" t="s">
        <v>12</v>
      </c>
      <c r="C87" s="13">
        <v>9.8000000000000007</v>
      </c>
      <c r="D87" s="8">
        <v>7.6139999999999999</v>
      </c>
      <c r="E87" s="12">
        <f t="shared" si="29"/>
        <v>12.87102705542422</v>
      </c>
      <c r="F87" s="13">
        <v>1.41</v>
      </c>
      <c r="G87" s="14">
        <v>9.5166666666666663E-4</v>
      </c>
      <c r="H87" s="15">
        <f t="shared" si="30"/>
        <v>34.607413590056048</v>
      </c>
      <c r="I87" s="13">
        <v>4.5</v>
      </c>
      <c r="J87" s="13">
        <v>26.46</v>
      </c>
      <c r="K87" s="20">
        <f t="shared" si="28"/>
        <v>-5.988894194714617</v>
      </c>
      <c r="M87" s="4">
        <f t="shared" si="31"/>
        <v>-60.663798165137607</v>
      </c>
    </row>
    <row r="88" spans="2:13" x14ac:dyDescent="0.3">
      <c r="B88" s="30"/>
      <c r="C88" s="17"/>
      <c r="D88" s="18"/>
      <c r="E88" s="19"/>
      <c r="F88" s="17"/>
      <c r="G88" s="17"/>
      <c r="H88" s="18"/>
      <c r="I88" s="17"/>
      <c r="J88" s="17"/>
      <c r="K88" s="14"/>
    </row>
    <row r="89" spans="2:13" x14ac:dyDescent="0.3">
      <c r="B89" s="3" t="s">
        <v>34</v>
      </c>
      <c r="C89" s="3"/>
      <c r="D89" s="3"/>
      <c r="E89" s="3"/>
      <c r="F89" s="3"/>
      <c r="G89" s="3"/>
      <c r="H89" s="3"/>
      <c r="I89" s="3"/>
      <c r="J89" s="3"/>
      <c r="K89" s="3"/>
    </row>
    <row r="90" spans="2:13" ht="18" x14ac:dyDescent="0.3">
      <c r="B90" s="29"/>
      <c r="C90" s="7" t="s">
        <v>18</v>
      </c>
      <c r="D90" s="8" t="s">
        <v>19</v>
      </c>
      <c r="E90" s="9" t="s">
        <v>20</v>
      </c>
      <c r="F90" s="10" t="s">
        <v>21</v>
      </c>
      <c r="G90" s="10" t="s">
        <v>16</v>
      </c>
      <c r="H90" s="8" t="s">
        <v>0</v>
      </c>
      <c r="I90" s="10" t="s">
        <v>22</v>
      </c>
      <c r="J90" s="10" t="s">
        <v>23</v>
      </c>
      <c r="K90" s="11" t="s">
        <v>14</v>
      </c>
      <c r="M90" s="4" t="s">
        <v>24</v>
      </c>
    </row>
    <row r="91" spans="2:13" ht="16.8" x14ac:dyDescent="0.3">
      <c r="B91" s="29" t="s">
        <v>1</v>
      </c>
      <c r="C91" s="7"/>
      <c r="D91" s="8" t="s">
        <v>25</v>
      </c>
      <c r="E91" s="9" t="s">
        <v>2</v>
      </c>
      <c r="F91" s="10" t="s">
        <v>3</v>
      </c>
      <c r="G91" s="10" t="s">
        <v>4</v>
      </c>
      <c r="H91" s="8" t="s">
        <v>4</v>
      </c>
      <c r="I91" s="10" t="s">
        <v>5</v>
      </c>
      <c r="J91" s="10" t="s">
        <v>2</v>
      </c>
      <c r="K91" s="11" t="s">
        <v>4</v>
      </c>
      <c r="M91" s="4" t="s">
        <v>15</v>
      </c>
    </row>
    <row r="92" spans="2:13" x14ac:dyDescent="0.3">
      <c r="B92" s="29" t="s">
        <v>6</v>
      </c>
      <c r="C92" s="10">
        <v>1.8</v>
      </c>
      <c r="D92" s="8">
        <v>10.151999999999999</v>
      </c>
      <c r="E92" s="12">
        <f>(C92*10^-3)/(D92*10^-4)</f>
        <v>1.7730496453900713</v>
      </c>
      <c r="F92" s="13">
        <v>1.88</v>
      </c>
      <c r="G92" s="14">
        <v>6.9699999999999996E-3</v>
      </c>
      <c r="H92" s="15">
        <f>(E92)/((9.81*F92*10^-2))^(1/2)</f>
        <v>4.1286442952199529</v>
      </c>
      <c r="I92" s="13">
        <v>3</v>
      </c>
      <c r="J92" s="13">
        <v>0</v>
      </c>
      <c r="K92" s="20">
        <f t="shared" ref="K92:K98" si="32">(10.33+M92-0.234)/((E92^2)/19.62)</f>
        <v>63.00957537791998</v>
      </c>
      <c r="M92" s="4">
        <f>-(1.7*J92^2)/19.62</f>
        <v>0</v>
      </c>
    </row>
    <row r="93" spans="2:13" x14ac:dyDescent="0.3">
      <c r="B93" s="29" t="s">
        <v>7</v>
      </c>
      <c r="C93" s="10">
        <v>3.6</v>
      </c>
      <c r="D93" s="8">
        <v>10.151999999999999</v>
      </c>
      <c r="E93" s="12">
        <f t="shared" ref="E93:E98" si="33">(C93*10^-3)/(D93*10^-4)</f>
        <v>3.5460992907801425</v>
      </c>
      <c r="F93" s="13">
        <v>1.88</v>
      </c>
      <c r="G93" s="14">
        <v>6.9699999999999996E-3</v>
      </c>
      <c r="H93" s="15">
        <f t="shared" ref="H93:H98" si="34">(E93)/((9.81*F93*10^-2))^(1/2)</f>
        <v>8.2572885904399058</v>
      </c>
      <c r="I93" s="13">
        <v>4.5</v>
      </c>
      <c r="J93" s="13">
        <v>2.1</v>
      </c>
      <c r="K93" s="20">
        <f t="shared" si="32"/>
        <v>15.156202416479996</v>
      </c>
      <c r="M93" s="4">
        <f t="shared" ref="M93:M98" si="35">-(1.7*J93^2)/19.62</f>
        <v>-0.38211009174311922</v>
      </c>
    </row>
    <row r="94" spans="2:13" x14ac:dyDescent="0.3">
      <c r="B94" s="29" t="s">
        <v>8</v>
      </c>
      <c r="C94" s="10">
        <v>5.4</v>
      </c>
      <c r="D94" s="8">
        <v>10.151999999999999</v>
      </c>
      <c r="E94" s="12">
        <f t="shared" si="33"/>
        <v>5.3191489361702136</v>
      </c>
      <c r="F94" s="13">
        <v>1.88</v>
      </c>
      <c r="G94" s="14">
        <v>6.9699999999999996E-3</v>
      </c>
      <c r="H94" s="15">
        <f t="shared" si="34"/>
        <v>12.385932885659859</v>
      </c>
      <c r="I94" s="13">
        <v>4.5</v>
      </c>
      <c r="J94" s="13">
        <v>7.02</v>
      </c>
      <c r="K94" s="20">
        <f t="shared" si="32"/>
        <v>4.0400609529600002</v>
      </c>
      <c r="M94" s="4">
        <f t="shared" si="35"/>
        <v>-4.2699633027522923</v>
      </c>
    </row>
    <row r="95" spans="2:13" x14ac:dyDescent="0.3">
      <c r="B95" s="29" t="s">
        <v>9</v>
      </c>
      <c r="C95" s="10">
        <v>7.2</v>
      </c>
      <c r="D95" s="8">
        <v>10.151999999999999</v>
      </c>
      <c r="E95" s="12">
        <f t="shared" si="33"/>
        <v>7.092198581560285</v>
      </c>
      <c r="F95" s="13">
        <v>1.88</v>
      </c>
      <c r="G95" s="14">
        <v>6.9699999999999996E-3</v>
      </c>
      <c r="H95" s="15">
        <f t="shared" si="34"/>
        <v>16.514577180879812</v>
      </c>
      <c r="I95" s="13">
        <v>4.5</v>
      </c>
      <c r="J95" s="13">
        <v>11.72</v>
      </c>
      <c r="K95" s="20">
        <f t="shared" si="32"/>
        <v>-0.70429953455999961</v>
      </c>
      <c r="M95" s="4">
        <f t="shared" si="35"/>
        <v>-11.901594291539245</v>
      </c>
    </row>
    <row r="96" spans="2:13" x14ac:dyDescent="0.3">
      <c r="B96" s="29" t="s">
        <v>10</v>
      </c>
      <c r="C96" s="10">
        <v>9</v>
      </c>
      <c r="D96" s="8">
        <v>10.151999999999999</v>
      </c>
      <c r="E96" s="12">
        <f t="shared" si="33"/>
        <v>8.8652482269503565</v>
      </c>
      <c r="F96" s="13">
        <v>1.88</v>
      </c>
      <c r="G96" s="14">
        <v>6.9699999999999996E-3</v>
      </c>
      <c r="H96" s="15">
        <f t="shared" si="34"/>
        <v>20.643221476099765</v>
      </c>
      <c r="I96" s="13">
        <v>4.5</v>
      </c>
      <c r="J96" s="13">
        <v>15.68</v>
      </c>
      <c r="K96" s="20">
        <f t="shared" si="32"/>
        <v>-2.7977505122303983</v>
      </c>
      <c r="M96" s="4">
        <f t="shared" si="35"/>
        <v>-21.303062181447501</v>
      </c>
    </row>
    <row r="97" spans="2:13" x14ac:dyDescent="0.3">
      <c r="B97" s="29" t="s">
        <v>11</v>
      </c>
      <c r="C97" s="10">
        <v>10.8</v>
      </c>
      <c r="D97" s="8">
        <v>10.151999999999999</v>
      </c>
      <c r="E97" s="12">
        <f t="shared" si="33"/>
        <v>10.638297872340427</v>
      </c>
      <c r="F97" s="13">
        <v>1.88</v>
      </c>
      <c r="G97" s="14">
        <v>6.9699999999999996E-3</v>
      </c>
      <c r="H97" s="15">
        <f t="shared" si="34"/>
        <v>24.771865771319717</v>
      </c>
      <c r="I97" s="13">
        <v>4.5</v>
      </c>
      <c r="J97" s="13">
        <v>19.38</v>
      </c>
      <c r="K97" s="20">
        <f t="shared" si="32"/>
        <v>-3.8914624065599983</v>
      </c>
      <c r="M97" s="4">
        <f t="shared" si="35"/>
        <v>-32.542990825688065</v>
      </c>
    </row>
    <row r="98" spans="2:13" x14ac:dyDescent="0.3">
      <c r="B98" s="29" t="s">
        <v>12</v>
      </c>
      <c r="C98" s="10">
        <v>13.1</v>
      </c>
      <c r="D98" s="8">
        <v>10.151999999999999</v>
      </c>
      <c r="E98" s="12">
        <f t="shared" si="33"/>
        <v>12.903861308116628</v>
      </c>
      <c r="F98" s="13">
        <v>1.88</v>
      </c>
      <c r="G98" s="14">
        <v>6.9699999999999996E-3</v>
      </c>
      <c r="H98" s="15">
        <f t="shared" si="34"/>
        <v>30.047355704100763</v>
      </c>
      <c r="I98" s="13">
        <v>4.5</v>
      </c>
      <c r="J98" s="13">
        <v>23.77</v>
      </c>
      <c r="K98" s="20">
        <f t="shared" si="32"/>
        <v>-4.5789446502782249</v>
      </c>
      <c r="M98" s="4">
        <f t="shared" si="35"/>
        <v>-48.956265545361866</v>
      </c>
    </row>
    <row r="99" spans="2:13" x14ac:dyDescent="0.3">
      <c r="B99" s="30"/>
      <c r="C99" s="17"/>
      <c r="D99" s="18"/>
      <c r="E99" s="19"/>
      <c r="F99" s="17"/>
      <c r="G99" s="17"/>
      <c r="H99" s="18"/>
      <c r="I99" s="17"/>
      <c r="J99" s="17"/>
      <c r="K99" s="14"/>
    </row>
    <row r="100" spans="2:13" x14ac:dyDescent="0.3">
      <c r="B100" s="3" t="s">
        <v>35</v>
      </c>
      <c r="C100" s="3"/>
      <c r="D100" s="3"/>
      <c r="E100" s="3"/>
      <c r="F100" s="3"/>
      <c r="G100" s="3"/>
      <c r="H100" s="3"/>
      <c r="I100" s="3"/>
      <c r="J100" s="3"/>
      <c r="K100" s="3"/>
    </row>
    <row r="101" spans="2:13" ht="18" x14ac:dyDescent="0.3">
      <c r="B101" s="29"/>
      <c r="C101" s="7" t="s">
        <v>18</v>
      </c>
      <c r="D101" s="8" t="s">
        <v>19</v>
      </c>
      <c r="E101" s="9" t="s">
        <v>20</v>
      </c>
      <c r="F101" s="10" t="s">
        <v>21</v>
      </c>
      <c r="G101" s="10" t="s">
        <v>16</v>
      </c>
      <c r="H101" s="8" t="s">
        <v>0</v>
      </c>
      <c r="I101" s="10" t="s">
        <v>22</v>
      </c>
      <c r="J101" s="10" t="s">
        <v>23</v>
      </c>
      <c r="K101" s="11" t="s">
        <v>14</v>
      </c>
      <c r="M101" s="4" t="s">
        <v>24</v>
      </c>
    </row>
    <row r="102" spans="2:13" ht="16.8" x14ac:dyDescent="0.3">
      <c r="B102" s="29" t="s">
        <v>1</v>
      </c>
      <c r="C102" s="7"/>
      <c r="D102" s="8" t="s">
        <v>25</v>
      </c>
      <c r="E102" s="9" t="s">
        <v>2</v>
      </c>
      <c r="F102" s="10" t="s">
        <v>3</v>
      </c>
      <c r="G102" s="10" t="s">
        <v>4</v>
      </c>
      <c r="H102" s="8" t="s">
        <v>4</v>
      </c>
      <c r="I102" s="10" t="s">
        <v>5</v>
      </c>
      <c r="J102" s="10" t="s">
        <v>2</v>
      </c>
      <c r="K102" s="11" t="s">
        <v>4</v>
      </c>
      <c r="M102" s="4" t="s">
        <v>15</v>
      </c>
    </row>
    <row r="103" spans="2:13" x14ac:dyDescent="0.3">
      <c r="B103" s="29" t="s">
        <v>6</v>
      </c>
      <c r="C103" s="10">
        <v>1.8</v>
      </c>
      <c r="D103" s="8">
        <v>10.151999999999999</v>
      </c>
      <c r="E103" s="12">
        <f>(C103*10^-3)/(D103*10^-4)</f>
        <v>1.7730496453900713</v>
      </c>
      <c r="F103" s="13">
        <v>1.88</v>
      </c>
      <c r="G103" s="14">
        <v>3.4849999999999998E-3</v>
      </c>
      <c r="H103" s="15">
        <f>(E103)/((9.81*F103*10^-2))^(1/2)</f>
        <v>4.1286442952199529</v>
      </c>
      <c r="I103" s="13">
        <v>3</v>
      </c>
      <c r="J103" s="13">
        <v>0</v>
      </c>
      <c r="K103" s="20">
        <f t="shared" ref="K103:K109" si="36">(10.33+M103-0.234)/((E103^2)/19.62)</f>
        <v>63.00957537791998</v>
      </c>
      <c r="M103" s="4">
        <f>-(1.7*J103^2)/19.62</f>
        <v>0</v>
      </c>
    </row>
    <row r="104" spans="2:13" x14ac:dyDescent="0.3">
      <c r="B104" s="29" t="s">
        <v>7</v>
      </c>
      <c r="C104" s="10">
        <v>3.6</v>
      </c>
      <c r="D104" s="8">
        <v>10.151999999999999</v>
      </c>
      <c r="E104" s="12">
        <f t="shared" ref="E104:E109" si="37">(C104*10^-3)/(D104*10^-4)</f>
        <v>3.5460992907801425</v>
      </c>
      <c r="F104" s="13">
        <v>1.88</v>
      </c>
      <c r="G104" s="14">
        <v>3.4849999999999998E-3</v>
      </c>
      <c r="H104" s="15">
        <f t="shared" ref="H104:H109" si="38">(E104)/((9.81*F104*10^-2))^(1/2)</f>
        <v>8.2572885904399058</v>
      </c>
      <c r="I104" s="13">
        <v>4.5</v>
      </c>
      <c r="J104" s="13">
        <v>0</v>
      </c>
      <c r="K104" s="20">
        <f t="shared" si="36"/>
        <v>15.752393844479995</v>
      </c>
      <c r="M104" s="4">
        <f t="shared" ref="M104:M109" si="39">-(1.7*J104^2)/19.62</f>
        <v>0</v>
      </c>
    </row>
    <row r="105" spans="2:13" x14ac:dyDescent="0.3">
      <c r="B105" s="29" t="s">
        <v>8</v>
      </c>
      <c r="C105" s="10">
        <v>5.4</v>
      </c>
      <c r="D105" s="8">
        <v>10.151999999999999</v>
      </c>
      <c r="E105" s="12">
        <f t="shared" si="37"/>
        <v>5.3191489361702136</v>
      </c>
      <c r="F105" s="13">
        <v>1.88</v>
      </c>
      <c r="G105" s="14">
        <v>3.4849999999999998E-3</v>
      </c>
      <c r="H105" s="15">
        <f t="shared" si="38"/>
        <v>12.385932885659859</v>
      </c>
      <c r="I105" s="13">
        <v>4.5</v>
      </c>
      <c r="J105" s="13">
        <v>7.65</v>
      </c>
      <c r="K105" s="20">
        <f t="shared" si="36"/>
        <v>3.4847512228799995</v>
      </c>
      <c r="M105" s="4">
        <f t="shared" si="39"/>
        <v>-5.0707568807339447</v>
      </c>
    </row>
    <row r="106" spans="2:13" x14ac:dyDescent="0.3">
      <c r="B106" s="29" t="s">
        <v>9</v>
      </c>
      <c r="C106" s="10">
        <v>7.2</v>
      </c>
      <c r="D106" s="8">
        <v>10.151999999999999</v>
      </c>
      <c r="E106" s="12">
        <f t="shared" si="37"/>
        <v>7.092198581560285</v>
      </c>
      <c r="F106" s="13">
        <v>1.88</v>
      </c>
      <c r="G106" s="14">
        <v>3.4849999999999998E-3</v>
      </c>
      <c r="H106" s="15">
        <f t="shared" si="38"/>
        <v>16.514577180879812</v>
      </c>
      <c r="I106" s="13">
        <v>4.5</v>
      </c>
      <c r="J106" s="13">
        <v>11.27</v>
      </c>
      <c r="K106" s="20">
        <f t="shared" si="36"/>
        <v>-0.35464542920999897</v>
      </c>
      <c r="M106" s="4">
        <f t="shared" si="39"/>
        <v>-11.005195208970436</v>
      </c>
    </row>
    <row r="107" spans="2:13" x14ac:dyDescent="0.3">
      <c r="B107" s="29" t="s">
        <v>10</v>
      </c>
      <c r="C107" s="10">
        <v>9</v>
      </c>
      <c r="D107" s="8">
        <v>10.151999999999999</v>
      </c>
      <c r="E107" s="12">
        <f t="shared" si="37"/>
        <v>8.8652482269503565</v>
      </c>
      <c r="F107" s="13">
        <v>1.88</v>
      </c>
      <c r="G107" s="14">
        <v>3.4849999999999998E-3</v>
      </c>
      <c r="H107" s="15">
        <f t="shared" si="38"/>
        <v>20.643221476099765</v>
      </c>
      <c r="I107" s="13">
        <v>4.5</v>
      </c>
      <c r="J107" s="13">
        <v>16.53</v>
      </c>
      <c r="K107" s="20">
        <f t="shared" si="36"/>
        <v>-3.3899619230783977</v>
      </c>
      <c r="M107" s="4">
        <f t="shared" si="39"/>
        <v>-23.675307339449539</v>
      </c>
    </row>
    <row r="108" spans="2:13" x14ac:dyDescent="0.3">
      <c r="B108" s="29" t="s">
        <v>11</v>
      </c>
      <c r="C108" s="10">
        <v>10.8</v>
      </c>
      <c r="D108" s="8">
        <v>10.151999999999999</v>
      </c>
      <c r="E108" s="12">
        <f t="shared" si="37"/>
        <v>10.638297872340427</v>
      </c>
      <c r="F108" s="13">
        <v>1.88</v>
      </c>
      <c r="G108" s="14">
        <v>3.4849999999999998E-3</v>
      </c>
      <c r="H108" s="15">
        <f t="shared" si="38"/>
        <v>24.771865771319717</v>
      </c>
      <c r="I108" s="13">
        <v>4.5</v>
      </c>
      <c r="J108" s="13">
        <v>21.78</v>
      </c>
      <c r="K108" s="20">
        <f t="shared" si="36"/>
        <v>-5.3753166273599993</v>
      </c>
      <c r="M108" s="4">
        <f t="shared" si="39"/>
        <v>-41.102256880733947</v>
      </c>
    </row>
    <row r="109" spans="2:13" x14ac:dyDescent="0.3">
      <c r="B109" s="29" t="s">
        <v>12</v>
      </c>
      <c r="C109" s="10">
        <v>13.1</v>
      </c>
      <c r="D109" s="8">
        <v>10.151999999999999</v>
      </c>
      <c r="E109" s="12">
        <f t="shared" si="37"/>
        <v>12.903861308116628</v>
      </c>
      <c r="F109" s="13">
        <v>1.88</v>
      </c>
      <c r="G109" s="14">
        <v>3.4849999999999998E-3</v>
      </c>
      <c r="H109" s="15">
        <f t="shared" si="38"/>
        <v>30.047355704100763</v>
      </c>
      <c r="I109" s="13">
        <v>4.5</v>
      </c>
      <c r="J109" s="13">
        <v>28.62</v>
      </c>
      <c r="K109" s="20">
        <f t="shared" si="36"/>
        <v>-7.1731221325360899</v>
      </c>
      <c r="M109" s="4">
        <f t="shared" si="39"/>
        <v>-70.972348623853208</v>
      </c>
    </row>
    <row r="110" spans="2:13" x14ac:dyDescent="0.3">
      <c r="B110" s="31"/>
      <c r="C110" s="17"/>
      <c r="D110" s="18"/>
      <c r="E110" s="19"/>
      <c r="F110" s="17"/>
      <c r="G110" s="17"/>
      <c r="H110" s="18"/>
      <c r="I110" s="17"/>
      <c r="J110" s="17"/>
      <c r="K110" s="14"/>
    </row>
    <row r="111" spans="2:13" x14ac:dyDescent="0.3">
      <c r="B111" s="3" t="s">
        <v>36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2:13" ht="18" x14ac:dyDescent="0.3">
      <c r="B112" s="29"/>
      <c r="C112" s="7" t="s">
        <v>18</v>
      </c>
      <c r="D112" s="8" t="s">
        <v>19</v>
      </c>
      <c r="E112" s="9" t="s">
        <v>20</v>
      </c>
      <c r="F112" s="10" t="s">
        <v>21</v>
      </c>
      <c r="G112" s="10" t="s">
        <v>16</v>
      </c>
      <c r="H112" s="8" t="s">
        <v>0</v>
      </c>
      <c r="I112" s="10" t="s">
        <v>22</v>
      </c>
      <c r="J112" s="10" t="s">
        <v>23</v>
      </c>
      <c r="K112" s="11" t="s">
        <v>14</v>
      </c>
      <c r="M112" s="4" t="s">
        <v>24</v>
      </c>
    </row>
    <row r="113" spans="2:13" ht="16.8" x14ac:dyDescent="0.3">
      <c r="B113" s="29" t="s">
        <v>1</v>
      </c>
      <c r="C113" s="7"/>
      <c r="D113" s="8" t="s">
        <v>25</v>
      </c>
      <c r="E113" s="9" t="s">
        <v>2</v>
      </c>
      <c r="F113" s="10" t="s">
        <v>3</v>
      </c>
      <c r="G113" s="10" t="s">
        <v>4</v>
      </c>
      <c r="H113" s="8" t="s">
        <v>4</v>
      </c>
      <c r="I113" s="10" t="s">
        <v>5</v>
      </c>
      <c r="J113" s="10" t="s">
        <v>2</v>
      </c>
      <c r="K113" s="11" t="s">
        <v>4</v>
      </c>
      <c r="M113" s="4" t="s">
        <v>15</v>
      </c>
    </row>
    <row r="114" spans="2:13" x14ac:dyDescent="0.3">
      <c r="B114" s="29" t="s">
        <v>6</v>
      </c>
      <c r="C114" s="10">
        <v>1.8</v>
      </c>
      <c r="D114" s="8">
        <v>10.151999999999999</v>
      </c>
      <c r="E114" s="12">
        <f>(C114*10^-3)/(D114*10^-4)</f>
        <v>1.7730496453900713</v>
      </c>
      <c r="F114" s="13">
        <v>1.88</v>
      </c>
      <c r="G114" s="14">
        <v>1.7424999999999999E-3</v>
      </c>
      <c r="H114" s="15">
        <f>(E114)/((9.81*F114*10^-2))^(1/2)</f>
        <v>4.1286442952199529</v>
      </c>
      <c r="I114" s="13">
        <v>3</v>
      </c>
      <c r="J114" s="13">
        <v>0</v>
      </c>
      <c r="K114" s="20">
        <f t="shared" ref="K114:K120" si="40">(10.33+M114-0.234)/((E114^2)/19.62)</f>
        <v>63.00957537791998</v>
      </c>
      <c r="M114" s="4">
        <f>-(1.7*J114^2)/19.62</f>
        <v>0</v>
      </c>
    </row>
    <row r="115" spans="2:13" x14ac:dyDescent="0.3">
      <c r="B115" s="29" t="s">
        <v>7</v>
      </c>
      <c r="C115" s="10">
        <v>3.6</v>
      </c>
      <c r="D115" s="8">
        <v>10.151999999999999</v>
      </c>
      <c r="E115" s="12">
        <f t="shared" ref="E115:E120" si="41">(C115*10^-3)/(D115*10^-4)</f>
        <v>3.5460992907801425</v>
      </c>
      <c r="F115" s="13">
        <v>1.88</v>
      </c>
      <c r="G115" s="14">
        <v>1.7424999999999999E-3</v>
      </c>
      <c r="H115" s="15">
        <f t="shared" ref="H115:H120" si="42">(E115)/((9.81*F115*10^-2))^(1/2)</f>
        <v>8.2572885904399058</v>
      </c>
      <c r="I115" s="13">
        <v>4.5</v>
      </c>
      <c r="J115" s="13">
        <v>0</v>
      </c>
      <c r="K115" s="20">
        <f t="shared" si="40"/>
        <v>15.752393844479995</v>
      </c>
      <c r="M115" s="4">
        <f t="shared" ref="M115:M120" si="43">-(1.7*J115^2)/19.62</f>
        <v>0</v>
      </c>
    </row>
    <row r="116" spans="2:13" x14ac:dyDescent="0.3">
      <c r="B116" s="29" t="s">
        <v>8</v>
      </c>
      <c r="C116" s="10">
        <v>5.4</v>
      </c>
      <c r="D116" s="8">
        <v>10.151999999999999</v>
      </c>
      <c r="E116" s="12">
        <f t="shared" si="41"/>
        <v>5.3191489361702136</v>
      </c>
      <c r="F116" s="13">
        <v>1.88</v>
      </c>
      <c r="G116" s="14">
        <v>1.7424999999999999E-3</v>
      </c>
      <c r="H116" s="15">
        <f t="shared" si="42"/>
        <v>12.385932885659859</v>
      </c>
      <c r="I116" s="13">
        <v>4.5</v>
      </c>
      <c r="J116" s="13">
        <v>7.71</v>
      </c>
      <c r="K116" s="20">
        <f t="shared" si="40"/>
        <v>3.4293770711999993</v>
      </c>
      <c r="M116" s="4">
        <f t="shared" si="43"/>
        <v>-5.1506100917431192</v>
      </c>
    </row>
    <row r="117" spans="2:13" x14ac:dyDescent="0.3">
      <c r="B117" s="29" t="s">
        <v>9</v>
      </c>
      <c r="C117" s="10">
        <v>7.2</v>
      </c>
      <c r="D117" s="8">
        <v>10.151999999999999</v>
      </c>
      <c r="E117" s="12">
        <f t="shared" si="41"/>
        <v>7.092198581560285</v>
      </c>
      <c r="F117" s="13">
        <v>1.88</v>
      </c>
      <c r="G117" s="14">
        <v>1.7424999999999999E-3</v>
      </c>
      <c r="H117" s="15">
        <f t="shared" si="42"/>
        <v>16.514577180879812</v>
      </c>
      <c r="I117" s="13">
        <v>4.5</v>
      </c>
      <c r="J117" s="13">
        <v>11.48</v>
      </c>
      <c r="K117" s="20">
        <f t="shared" si="40"/>
        <v>-0.51611394095999952</v>
      </c>
      <c r="M117" s="4">
        <f t="shared" si="43"/>
        <v>-11.419147808358817</v>
      </c>
    </row>
    <row r="118" spans="2:13" x14ac:dyDescent="0.3">
      <c r="B118" s="29" t="s">
        <v>10</v>
      </c>
      <c r="C118" s="10">
        <v>9</v>
      </c>
      <c r="D118" s="8">
        <v>10.151999999999999</v>
      </c>
      <c r="E118" s="12">
        <f t="shared" si="41"/>
        <v>8.8652482269503565</v>
      </c>
      <c r="F118" s="13">
        <v>1.88</v>
      </c>
      <c r="G118" s="14">
        <v>1.7424999999999999E-3</v>
      </c>
      <c r="H118" s="15">
        <f t="shared" si="42"/>
        <v>20.643221476099765</v>
      </c>
      <c r="I118" s="13">
        <v>4.5</v>
      </c>
      <c r="J118" s="13">
        <v>17.010000000000002</v>
      </c>
      <c r="K118" s="20">
        <f t="shared" si="40"/>
        <v>-3.7381961194559987</v>
      </c>
      <c r="M118" s="4">
        <f t="shared" si="43"/>
        <v>-25.070243119266056</v>
      </c>
    </row>
    <row r="119" spans="2:13" x14ac:dyDescent="0.3">
      <c r="B119" s="29" t="s">
        <v>11</v>
      </c>
      <c r="C119" s="10">
        <v>10.8</v>
      </c>
      <c r="D119" s="8">
        <v>10.151999999999999</v>
      </c>
      <c r="E119" s="12">
        <f t="shared" si="41"/>
        <v>10.638297872340427</v>
      </c>
      <c r="F119" s="13">
        <v>1.88</v>
      </c>
      <c r="G119" s="14">
        <v>1.7424999999999999E-3</v>
      </c>
      <c r="H119" s="15">
        <f t="shared" si="42"/>
        <v>24.771865771319717</v>
      </c>
      <c r="I119" s="13">
        <v>4.5</v>
      </c>
      <c r="J119" s="13">
        <v>23.64</v>
      </c>
      <c r="K119" s="20">
        <f t="shared" si="40"/>
        <v>-6.6443256287999981</v>
      </c>
      <c r="M119" s="4">
        <f t="shared" si="43"/>
        <v>-48.422238532110086</v>
      </c>
    </row>
    <row r="120" spans="2:13" x14ac:dyDescent="0.3">
      <c r="B120" s="29" t="s">
        <v>12</v>
      </c>
      <c r="C120" s="10">
        <v>13.1</v>
      </c>
      <c r="D120" s="8">
        <v>10.151999999999999</v>
      </c>
      <c r="E120" s="12">
        <f t="shared" si="41"/>
        <v>12.903861308116628</v>
      </c>
      <c r="F120" s="13">
        <v>1.88</v>
      </c>
      <c r="G120" s="14">
        <v>1.7424999999999999E-3</v>
      </c>
      <c r="H120" s="15">
        <f t="shared" si="42"/>
        <v>30.047355704100763</v>
      </c>
      <c r="I120" s="13">
        <v>4.5</v>
      </c>
      <c r="J120" s="13">
        <v>29.12</v>
      </c>
      <c r="K120" s="20">
        <f t="shared" si="40"/>
        <v>-7.4678738417148081</v>
      </c>
      <c r="M120" s="4">
        <f t="shared" si="43"/>
        <v>-73.473826707441376</v>
      </c>
    </row>
    <row r="121" spans="2:13" x14ac:dyDescent="0.3">
      <c r="B121" s="31"/>
      <c r="C121" s="17"/>
      <c r="D121" s="18"/>
      <c r="E121" s="19"/>
      <c r="F121" s="17"/>
      <c r="G121" s="17"/>
      <c r="H121" s="18"/>
      <c r="I121" s="17"/>
      <c r="J121" s="17"/>
      <c r="K121" s="14"/>
    </row>
    <row r="122" spans="2:13" x14ac:dyDescent="0.3">
      <c r="B122" s="3" t="s">
        <v>37</v>
      </c>
      <c r="C122" s="3"/>
      <c r="D122" s="3"/>
      <c r="E122" s="3"/>
      <c r="F122" s="3"/>
      <c r="G122" s="3"/>
      <c r="H122" s="3"/>
      <c r="I122" s="3"/>
      <c r="J122" s="3"/>
      <c r="K122" s="3"/>
    </row>
    <row r="123" spans="2:13" ht="18" x14ac:dyDescent="0.3">
      <c r="B123" s="29"/>
      <c r="C123" s="7" t="s">
        <v>18</v>
      </c>
      <c r="D123" s="8" t="s">
        <v>19</v>
      </c>
      <c r="E123" s="9" t="s">
        <v>20</v>
      </c>
      <c r="F123" s="10" t="s">
        <v>21</v>
      </c>
      <c r="G123" s="10" t="s">
        <v>16</v>
      </c>
      <c r="H123" s="8" t="s">
        <v>0</v>
      </c>
      <c r="I123" s="10" t="s">
        <v>22</v>
      </c>
      <c r="J123" s="10" t="s">
        <v>23</v>
      </c>
      <c r="K123" s="11" t="s">
        <v>14</v>
      </c>
      <c r="M123" s="4" t="s">
        <v>24</v>
      </c>
    </row>
    <row r="124" spans="2:13" ht="16.8" x14ac:dyDescent="0.3">
      <c r="B124" s="29" t="s">
        <v>1</v>
      </c>
      <c r="C124" s="7"/>
      <c r="D124" s="8" t="s">
        <v>25</v>
      </c>
      <c r="E124" s="9" t="s">
        <v>2</v>
      </c>
      <c r="F124" s="10" t="s">
        <v>3</v>
      </c>
      <c r="G124" s="10" t="s">
        <v>4</v>
      </c>
      <c r="H124" s="8" t="s">
        <v>4</v>
      </c>
      <c r="I124" s="10" t="s">
        <v>5</v>
      </c>
      <c r="J124" s="10" t="s">
        <v>2</v>
      </c>
      <c r="K124" s="11" t="s">
        <v>4</v>
      </c>
      <c r="M124" s="4" t="s">
        <v>15</v>
      </c>
    </row>
    <row r="125" spans="2:13" x14ac:dyDescent="0.3">
      <c r="B125" s="29" t="s">
        <v>6</v>
      </c>
      <c r="C125" s="10">
        <v>1.8</v>
      </c>
      <c r="D125" s="8">
        <v>10.151999999999999</v>
      </c>
      <c r="E125" s="12">
        <f>(C125*10^-3)/(D125*10^-4)</f>
        <v>1.7730496453900713</v>
      </c>
      <c r="F125" s="13">
        <v>1.88</v>
      </c>
      <c r="G125" s="14">
        <v>1.1616666666666665E-3</v>
      </c>
      <c r="H125" s="15">
        <f>(E125)/((9.81*F125*10^-2))^(1/2)</f>
        <v>4.1286442952199529</v>
      </c>
      <c r="I125" s="13">
        <v>3</v>
      </c>
      <c r="J125" s="13">
        <v>0</v>
      </c>
      <c r="K125" s="20">
        <f t="shared" ref="K125:K131" si="44">(10.33+M125-0.234)/((E125^2)/19.62)</f>
        <v>63.00957537791998</v>
      </c>
      <c r="M125" s="4">
        <f>-(1.7*J125^2)/19.62</f>
        <v>0</v>
      </c>
    </row>
    <row r="126" spans="2:13" x14ac:dyDescent="0.3">
      <c r="B126" s="29" t="s">
        <v>7</v>
      </c>
      <c r="C126" s="10">
        <v>3.6</v>
      </c>
      <c r="D126" s="8">
        <v>10.151999999999999</v>
      </c>
      <c r="E126" s="12">
        <f t="shared" ref="E126:E131" si="45">(C126*10^-3)/(D126*10^-4)</f>
        <v>3.5460992907801425</v>
      </c>
      <c r="F126" s="13">
        <v>1.88</v>
      </c>
      <c r="G126" s="14">
        <v>1.1616666666666665E-3</v>
      </c>
      <c r="H126" s="15">
        <f t="shared" ref="H126:H131" si="46">(E126)/((9.81*F126*10^-2))^(1/2)</f>
        <v>8.2572885904399058</v>
      </c>
      <c r="I126" s="13">
        <v>4.5</v>
      </c>
      <c r="J126" s="13">
        <v>0</v>
      </c>
      <c r="K126" s="20">
        <f t="shared" si="44"/>
        <v>15.752393844479995</v>
      </c>
      <c r="M126" s="4">
        <f t="shared" ref="M126:M131" si="47">-(1.7*J126^2)/19.62</f>
        <v>0</v>
      </c>
    </row>
    <row r="127" spans="2:13" x14ac:dyDescent="0.3">
      <c r="B127" s="29" t="s">
        <v>8</v>
      </c>
      <c r="C127" s="10">
        <v>5.4</v>
      </c>
      <c r="D127" s="8">
        <v>10.151999999999999</v>
      </c>
      <c r="E127" s="12">
        <f t="shared" si="45"/>
        <v>5.3191489361702136</v>
      </c>
      <c r="F127" s="13">
        <v>1.88</v>
      </c>
      <c r="G127" s="14">
        <v>1.1616666666666665E-3</v>
      </c>
      <c r="H127" s="15">
        <f t="shared" si="46"/>
        <v>12.385932885659859</v>
      </c>
      <c r="I127" s="13">
        <v>4.5</v>
      </c>
      <c r="J127" s="13">
        <v>2.7</v>
      </c>
      <c r="K127" s="20">
        <f t="shared" si="44"/>
        <v>6.5630457388799979</v>
      </c>
      <c r="M127" s="4">
        <f t="shared" si="47"/>
        <v>-0.63165137614678901</v>
      </c>
    </row>
    <row r="128" spans="2:13" x14ac:dyDescent="0.3">
      <c r="B128" s="29" t="s">
        <v>9</v>
      </c>
      <c r="C128" s="10">
        <v>7.2</v>
      </c>
      <c r="D128" s="8">
        <v>10.151999999999999</v>
      </c>
      <c r="E128" s="12">
        <f t="shared" si="45"/>
        <v>7.092198581560285</v>
      </c>
      <c r="F128" s="13">
        <v>1.88</v>
      </c>
      <c r="G128" s="14">
        <v>1.1616666666666665E-3</v>
      </c>
      <c r="H128" s="15">
        <f t="shared" si="46"/>
        <v>16.514577180879812</v>
      </c>
      <c r="I128" s="13">
        <v>4.5</v>
      </c>
      <c r="J128" s="13">
        <v>8.1199999999999992</v>
      </c>
      <c r="K128" s="20">
        <f t="shared" si="44"/>
        <v>1.7096673902400004</v>
      </c>
      <c r="M128" s="4">
        <f t="shared" si="47"/>
        <v>-5.7129704383282345</v>
      </c>
    </row>
    <row r="129" spans="2:13" x14ac:dyDescent="0.3">
      <c r="B129" s="29" t="s">
        <v>10</v>
      </c>
      <c r="C129" s="10">
        <v>9</v>
      </c>
      <c r="D129" s="8">
        <v>10.151999999999999</v>
      </c>
      <c r="E129" s="12">
        <f t="shared" si="45"/>
        <v>8.8652482269503565</v>
      </c>
      <c r="F129" s="13">
        <v>1.88</v>
      </c>
      <c r="G129" s="14">
        <v>1.1616666666666665E-3</v>
      </c>
      <c r="H129" s="15">
        <f t="shared" si="46"/>
        <v>20.643221476099765</v>
      </c>
      <c r="I129" s="13">
        <v>4.5</v>
      </c>
      <c r="J129" s="13">
        <v>14.72</v>
      </c>
      <c r="K129" s="20">
        <f t="shared" si="44"/>
        <v>-2.1664851830783984</v>
      </c>
      <c r="M129" s="4">
        <f t="shared" si="47"/>
        <v>-18.774377166156981</v>
      </c>
    </row>
    <row r="130" spans="2:13" x14ac:dyDescent="0.3">
      <c r="B130" s="29" t="s">
        <v>11</v>
      </c>
      <c r="C130" s="10">
        <v>10.8</v>
      </c>
      <c r="D130" s="8">
        <v>10.151999999999999</v>
      </c>
      <c r="E130" s="12">
        <f t="shared" si="45"/>
        <v>10.638297872340427</v>
      </c>
      <c r="F130" s="13">
        <v>1.88</v>
      </c>
      <c r="G130" s="14">
        <v>1.1616666666666665E-3</v>
      </c>
      <c r="H130" s="15">
        <f t="shared" si="46"/>
        <v>24.771865771319717</v>
      </c>
      <c r="I130" s="13">
        <v>4.5</v>
      </c>
      <c r="J130" s="13">
        <v>18.18</v>
      </c>
      <c r="K130" s="20">
        <f t="shared" si="44"/>
        <v>-3.2144268801599991</v>
      </c>
      <c r="M130" s="4">
        <f t="shared" si="47"/>
        <v>-28.637669724770642</v>
      </c>
    </row>
    <row r="131" spans="2:13" x14ac:dyDescent="0.3">
      <c r="B131" s="29" t="s">
        <v>12</v>
      </c>
      <c r="C131" s="10">
        <v>13.1</v>
      </c>
      <c r="D131" s="8">
        <v>10.151999999999999</v>
      </c>
      <c r="E131" s="12">
        <f t="shared" si="45"/>
        <v>12.903861308116628</v>
      </c>
      <c r="F131" s="13">
        <v>1.88</v>
      </c>
      <c r="G131" s="14">
        <v>1.1616666666666665E-3</v>
      </c>
      <c r="H131" s="15">
        <f t="shared" si="46"/>
        <v>30.047355704100763</v>
      </c>
      <c r="I131" s="13">
        <v>4.5</v>
      </c>
      <c r="J131" s="13">
        <v>22.16</v>
      </c>
      <c r="K131" s="20">
        <f t="shared" si="44"/>
        <v>-3.823970869046792</v>
      </c>
      <c r="M131" s="4">
        <f t="shared" si="47"/>
        <v>-42.549007135575941</v>
      </c>
    </row>
    <row r="132" spans="2:13" x14ac:dyDescent="0.3">
      <c r="B132" s="30"/>
      <c r="C132" s="17"/>
      <c r="D132" s="18"/>
      <c r="E132" s="19"/>
      <c r="F132" s="17"/>
      <c r="G132" s="17"/>
      <c r="H132" s="18"/>
      <c r="I132" s="17"/>
      <c r="J132" s="17"/>
      <c r="K132" s="14"/>
    </row>
    <row r="133" spans="2:13" x14ac:dyDescent="0.3">
      <c r="B133" s="3" t="s">
        <v>38</v>
      </c>
      <c r="C133" s="3"/>
      <c r="D133" s="3"/>
      <c r="E133" s="3"/>
      <c r="F133" s="3"/>
      <c r="G133" s="3"/>
      <c r="H133" s="3"/>
      <c r="I133" s="3"/>
      <c r="J133" s="3"/>
      <c r="K133" s="3"/>
    </row>
    <row r="134" spans="2:13" ht="18" x14ac:dyDescent="0.3">
      <c r="B134" s="29"/>
      <c r="C134" s="7" t="s">
        <v>18</v>
      </c>
      <c r="D134" s="8" t="s">
        <v>19</v>
      </c>
      <c r="E134" s="9" t="s">
        <v>20</v>
      </c>
      <c r="F134" s="10" t="s">
        <v>21</v>
      </c>
      <c r="G134" s="10" t="s">
        <v>16</v>
      </c>
      <c r="H134" s="8" t="s">
        <v>0</v>
      </c>
      <c r="I134" s="10" t="s">
        <v>22</v>
      </c>
      <c r="J134" s="10" t="s">
        <v>23</v>
      </c>
      <c r="K134" s="11" t="s">
        <v>14</v>
      </c>
      <c r="M134" s="4" t="s">
        <v>24</v>
      </c>
    </row>
    <row r="135" spans="2:13" ht="16.8" x14ac:dyDescent="0.3">
      <c r="B135" s="29" t="s">
        <v>1</v>
      </c>
      <c r="C135" s="7"/>
      <c r="D135" s="8" t="s">
        <v>25</v>
      </c>
      <c r="E135" s="9" t="s">
        <v>2</v>
      </c>
      <c r="F135" s="10" t="s">
        <v>3</v>
      </c>
      <c r="G135" s="10" t="s">
        <v>4</v>
      </c>
      <c r="H135" s="8" t="s">
        <v>4</v>
      </c>
      <c r="I135" s="10" t="s">
        <v>5</v>
      </c>
      <c r="J135" s="10" t="s">
        <v>2</v>
      </c>
      <c r="K135" s="11" t="s">
        <v>4</v>
      </c>
      <c r="M135" s="4" t="s">
        <v>15</v>
      </c>
    </row>
    <row r="136" spans="2:13" x14ac:dyDescent="0.3">
      <c r="B136" s="29" t="s">
        <v>6</v>
      </c>
      <c r="C136" s="10">
        <v>2.5</v>
      </c>
      <c r="D136" s="8">
        <v>15.228</v>
      </c>
      <c r="E136" s="12">
        <f>(C136*10^-3)/(D136*10^-4)</f>
        <v>1.6417126346204358</v>
      </c>
      <c r="F136" s="13">
        <v>2.82</v>
      </c>
      <c r="G136" s="14">
        <v>9.2599999999999991E-3</v>
      </c>
      <c r="H136" s="15">
        <f>(E136)/((9.81*F136*10^-2))^(1/2)</f>
        <v>3.1213184730683809</v>
      </c>
      <c r="I136" s="13">
        <v>3</v>
      </c>
      <c r="J136" s="13">
        <v>0</v>
      </c>
      <c r="K136" s="20">
        <f t="shared" ref="K136:K142" si="48">(10.33+M136-0.234)/((E136^2)/19.62)</f>
        <v>73.494368720805909</v>
      </c>
      <c r="M136" s="4">
        <f>-(1.7*J136^2)/19.62</f>
        <v>0</v>
      </c>
    </row>
    <row r="137" spans="2:13" x14ac:dyDescent="0.3">
      <c r="B137" s="29" t="s">
        <v>7</v>
      </c>
      <c r="C137" s="10">
        <v>5</v>
      </c>
      <c r="D137" s="8">
        <v>15.228</v>
      </c>
      <c r="E137" s="12">
        <f t="shared" ref="E137:E142" si="49">(C137*10^-3)/(D137*10^-4)</f>
        <v>3.2834252692408716</v>
      </c>
      <c r="F137" s="13">
        <v>2.82</v>
      </c>
      <c r="G137" s="14">
        <v>9.2599999999999991E-3</v>
      </c>
      <c r="H137" s="15">
        <f t="shared" ref="H137:H142" si="50">(E137)/((9.81*F137*10^-2))^(1/2)</f>
        <v>6.2426369461367619</v>
      </c>
      <c r="I137" s="13">
        <v>4.5</v>
      </c>
      <c r="J137" s="13">
        <v>0</v>
      </c>
      <c r="K137" s="20">
        <f t="shared" si="48"/>
        <v>18.373592180201477</v>
      </c>
      <c r="M137" s="4">
        <f t="shared" ref="M137:M142" si="51">-(1.7*J137^2)/19.62</f>
        <v>0</v>
      </c>
    </row>
    <row r="138" spans="2:13" x14ac:dyDescent="0.3">
      <c r="B138" s="29" t="s">
        <v>8</v>
      </c>
      <c r="C138" s="10">
        <v>7.5</v>
      </c>
      <c r="D138" s="8">
        <v>15.228</v>
      </c>
      <c r="E138" s="12">
        <f t="shared" si="49"/>
        <v>4.925137903861307</v>
      </c>
      <c r="F138" s="13">
        <v>2.82</v>
      </c>
      <c r="G138" s="14">
        <v>9.2599999999999991E-3</v>
      </c>
      <c r="H138" s="15">
        <f t="shared" si="50"/>
        <v>9.3639554192051406</v>
      </c>
      <c r="I138" s="13">
        <v>4.5</v>
      </c>
      <c r="J138" s="13">
        <v>2.36</v>
      </c>
      <c r="K138" s="20">
        <f t="shared" si="48"/>
        <v>7.7757071894323238</v>
      </c>
      <c r="M138" s="4">
        <f t="shared" si="51"/>
        <v>-0.48258511722731895</v>
      </c>
    </row>
    <row r="139" spans="2:13" x14ac:dyDescent="0.3">
      <c r="B139" s="29" t="s">
        <v>9</v>
      </c>
      <c r="C139" s="10">
        <v>10</v>
      </c>
      <c r="D139" s="8">
        <v>15.228</v>
      </c>
      <c r="E139" s="12">
        <f t="shared" si="49"/>
        <v>6.5668505384817433</v>
      </c>
      <c r="F139" s="13">
        <v>2.82</v>
      </c>
      <c r="G139" s="14">
        <v>9.2599999999999991E-3</v>
      </c>
      <c r="H139" s="15">
        <f t="shared" si="50"/>
        <v>12.485273892273524</v>
      </c>
      <c r="I139" s="13">
        <v>4.5</v>
      </c>
      <c r="J139" s="13">
        <v>13.75</v>
      </c>
      <c r="K139" s="20">
        <f t="shared" si="48"/>
        <v>-2.8597552531996331</v>
      </c>
      <c r="M139" s="4">
        <f t="shared" si="51"/>
        <v>-16.381562181447503</v>
      </c>
    </row>
    <row r="140" spans="2:13" x14ac:dyDescent="0.3">
      <c r="B140" s="29" t="s">
        <v>10</v>
      </c>
      <c r="C140" s="10">
        <v>12.5</v>
      </c>
      <c r="D140" s="8">
        <v>15.228</v>
      </c>
      <c r="E140" s="12">
        <f t="shared" si="49"/>
        <v>8.2085631731021795</v>
      </c>
      <c r="F140" s="13">
        <v>2.82</v>
      </c>
      <c r="G140" s="14">
        <v>9.2599999999999991E-3</v>
      </c>
      <c r="H140" s="15">
        <f t="shared" si="50"/>
        <v>15.606592365341905</v>
      </c>
      <c r="I140" s="13">
        <v>4.5</v>
      </c>
      <c r="J140" s="13">
        <v>20.43</v>
      </c>
      <c r="K140" s="20">
        <f t="shared" si="48"/>
        <v>-7.590782776895173</v>
      </c>
      <c r="M140" s="4">
        <f t="shared" si="51"/>
        <v>-36.16484862385321</v>
      </c>
    </row>
    <row r="141" spans="2:13" x14ac:dyDescent="0.3">
      <c r="B141" s="29" t="s">
        <v>11</v>
      </c>
      <c r="C141" s="10">
        <v>15</v>
      </c>
      <c r="D141" s="8">
        <v>15.228</v>
      </c>
      <c r="E141" s="12">
        <f t="shared" si="49"/>
        <v>9.850275807722614</v>
      </c>
      <c r="F141" s="13">
        <v>2.82</v>
      </c>
      <c r="G141" s="14">
        <v>9.2599999999999991E-3</v>
      </c>
      <c r="H141" s="15">
        <f t="shared" si="50"/>
        <v>18.727910838410281</v>
      </c>
      <c r="I141" s="13">
        <v>4.5</v>
      </c>
      <c r="J141" s="13">
        <v>23.48</v>
      </c>
      <c r="K141" s="20">
        <f t="shared" si="48"/>
        <v>-7.6178491433072688</v>
      </c>
      <c r="M141" s="4">
        <f t="shared" si="51"/>
        <v>-47.768994903160042</v>
      </c>
    </row>
    <row r="142" spans="2:13" x14ac:dyDescent="0.3">
      <c r="B142" s="29" t="s">
        <v>12</v>
      </c>
      <c r="C142" s="10">
        <v>17.600000000000001</v>
      </c>
      <c r="D142" s="8">
        <v>15.228</v>
      </c>
      <c r="E142" s="12">
        <f t="shared" si="49"/>
        <v>11.557656947727869</v>
      </c>
      <c r="F142" s="13">
        <v>2.82</v>
      </c>
      <c r="G142" s="14">
        <v>9.2599999999999991E-3</v>
      </c>
      <c r="H142" s="15">
        <f t="shared" si="50"/>
        <v>21.974082050401403</v>
      </c>
      <c r="I142" s="13">
        <v>4.5</v>
      </c>
      <c r="J142" s="13">
        <v>29.15</v>
      </c>
      <c r="K142" s="20">
        <f t="shared" si="48"/>
        <v>-9.3311125189193014</v>
      </c>
      <c r="M142" s="4">
        <f t="shared" si="51"/>
        <v>-73.625293068297637</v>
      </c>
    </row>
    <row r="143" spans="2:13" x14ac:dyDescent="0.3">
      <c r="B143" s="30"/>
      <c r="C143" s="17"/>
      <c r="D143" s="18"/>
      <c r="E143" s="19"/>
      <c r="F143" s="17"/>
      <c r="G143" s="17"/>
      <c r="H143" s="18"/>
      <c r="I143" s="17"/>
      <c r="J143" s="17"/>
      <c r="K143" s="14"/>
    </row>
    <row r="144" spans="2:13" x14ac:dyDescent="0.3">
      <c r="B144" s="3" t="s">
        <v>39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2:13" ht="18" x14ac:dyDescent="0.3">
      <c r="B145" s="29"/>
      <c r="C145" s="7" t="s">
        <v>18</v>
      </c>
      <c r="D145" s="8" t="s">
        <v>19</v>
      </c>
      <c r="E145" s="9" t="s">
        <v>20</v>
      </c>
      <c r="F145" s="10" t="s">
        <v>21</v>
      </c>
      <c r="G145" s="10" t="s">
        <v>16</v>
      </c>
      <c r="H145" s="8" t="s">
        <v>0</v>
      </c>
      <c r="I145" s="10" t="s">
        <v>22</v>
      </c>
      <c r="J145" s="10" t="s">
        <v>23</v>
      </c>
      <c r="K145" s="11" t="s">
        <v>14</v>
      </c>
      <c r="M145" s="4" t="s">
        <v>24</v>
      </c>
    </row>
    <row r="146" spans="2:13" ht="16.8" x14ac:dyDescent="0.3">
      <c r="B146" s="29" t="s">
        <v>1</v>
      </c>
      <c r="C146" s="7"/>
      <c r="D146" s="8" t="s">
        <v>25</v>
      </c>
      <c r="E146" s="9" t="s">
        <v>2</v>
      </c>
      <c r="F146" s="10" t="s">
        <v>3</v>
      </c>
      <c r="G146" s="10" t="s">
        <v>4</v>
      </c>
      <c r="H146" s="8" t="s">
        <v>4</v>
      </c>
      <c r="I146" s="10" t="s">
        <v>5</v>
      </c>
      <c r="J146" s="10" t="s">
        <v>2</v>
      </c>
      <c r="K146" s="11" t="s">
        <v>4</v>
      </c>
      <c r="M146" s="4" t="s">
        <v>15</v>
      </c>
    </row>
    <row r="147" spans="2:13" x14ac:dyDescent="0.3">
      <c r="B147" s="29" t="s">
        <v>6</v>
      </c>
      <c r="C147" s="10">
        <v>2.5</v>
      </c>
      <c r="D147" s="8">
        <v>15.228</v>
      </c>
      <c r="E147" s="12">
        <f>(C147*10^-3)/(D147*10^-4)</f>
        <v>1.6417126346204358</v>
      </c>
      <c r="F147" s="13">
        <v>2.82</v>
      </c>
      <c r="G147" s="14">
        <v>4.6299999999999996E-3</v>
      </c>
      <c r="H147" s="15">
        <f>(E147)/((9.81*F147*10^-2))^(1/2)</f>
        <v>3.1213184730683809</v>
      </c>
      <c r="I147" s="13">
        <v>3</v>
      </c>
      <c r="J147" s="13">
        <v>0</v>
      </c>
      <c r="K147" s="20">
        <f t="shared" ref="K147:K153" si="52">(10.33+M147-0.234)/((E147^2)/19.62)</f>
        <v>73.494368720805909</v>
      </c>
      <c r="M147" s="4">
        <f>-(1.7*J147^2)/19.62</f>
        <v>0</v>
      </c>
    </row>
    <row r="148" spans="2:13" x14ac:dyDescent="0.3">
      <c r="B148" s="29" t="s">
        <v>7</v>
      </c>
      <c r="C148" s="10">
        <v>5</v>
      </c>
      <c r="D148" s="8">
        <v>15.228</v>
      </c>
      <c r="E148" s="12">
        <f t="shared" ref="E148:E153" si="53">(C148*10^-3)/(D148*10^-4)</f>
        <v>3.2834252692408716</v>
      </c>
      <c r="F148" s="13">
        <v>2.82</v>
      </c>
      <c r="G148" s="14">
        <v>4.6299999999999996E-3</v>
      </c>
      <c r="H148" s="15">
        <f t="shared" ref="H148:H153" si="54">(E148)/((9.81*F148*10^-2))^(1/2)</f>
        <v>6.2426369461367619</v>
      </c>
      <c r="I148" s="13">
        <v>4.5</v>
      </c>
      <c r="J148" s="13">
        <v>0.6</v>
      </c>
      <c r="K148" s="20">
        <f t="shared" si="52"/>
        <v>18.316825022518277</v>
      </c>
      <c r="M148" s="4">
        <f t="shared" ref="M148:M153" si="55">-(1.7*J148^2)/19.62</f>
        <v>-3.1192660550458714E-2</v>
      </c>
    </row>
    <row r="149" spans="2:13" x14ac:dyDescent="0.3">
      <c r="B149" s="29" t="s">
        <v>8</v>
      </c>
      <c r="C149" s="10">
        <v>7.5</v>
      </c>
      <c r="D149" s="8">
        <v>15.228</v>
      </c>
      <c r="E149" s="12">
        <f t="shared" si="53"/>
        <v>4.925137903861307</v>
      </c>
      <c r="F149" s="13">
        <v>2.82</v>
      </c>
      <c r="G149" s="14">
        <v>4.6299999999999996E-3</v>
      </c>
      <c r="H149" s="15">
        <f t="shared" si="54"/>
        <v>9.3639554192051406</v>
      </c>
      <c r="I149" s="13">
        <v>4.5</v>
      </c>
      <c r="J149" s="13">
        <v>3.34</v>
      </c>
      <c r="K149" s="20">
        <f t="shared" si="52"/>
        <v>7.3842240501504035</v>
      </c>
      <c r="M149" s="4">
        <f t="shared" si="55"/>
        <v>-0.96659123343527009</v>
      </c>
    </row>
    <row r="150" spans="2:13" x14ac:dyDescent="0.3">
      <c r="B150" s="29" t="s">
        <v>9</v>
      </c>
      <c r="C150" s="10">
        <v>10</v>
      </c>
      <c r="D150" s="8">
        <v>15.228</v>
      </c>
      <c r="E150" s="12">
        <f t="shared" si="53"/>
        <v>6.5668505384817433</v>
      </c>
      <c r="F150" s="13">
        <v>2.82</v>
      </c>
      <c r="G150" s="14">
        <v>4.6299999999999996E-3</v>
      </c>
      <c r="H150" s="15">
        <f t="shared" si="54"/>
        <v>12.485273892273524</v>
      </c>
      <c r="I150" s="13">
        <v>4.5</v>
      </c>
      <c r="J150" s="13">
        <v>13.06</v>
      </c>
      <c r="K150" s="20">
        <f t="shared" si="52"/>
        <v>-2.1304983273206406</v>
      </c>
      <c r="M150" s="4">
        <f t="shared" si="55"/>
        <v>-14.778701325178389</v>
      </c>
    </row>
    <row r="151" spans="2:13" x14ac:dyDescent="0.3">
      <c r="B151" s="29" t="s">
        <v>10</v>
      </c>
      <c r="C151" s="10">
        <v>12.5</v>
      </c>
      <c r="D151" s="8">
        <v>15.228</v>
      </c>
      <c r="E151" s="12">
        <f t="shared" si="53"/>
        <v>8.2085631731021795</v>
      </c>
      <c r="F151" s="13">
        <v>2.82</v>
      </c>
      <c r="G151" s="14">
        <v>4.6299999999999996E-3</v>
      </c>
      <c r="H151" s="15">
        <f t="shared" si="54"/>
        <v>15.606592365341905</v>
      </c>
      <c r="I151" s="13">
        <v>4.5</v>
      </c>
      <c r="J151" s="13">
        <v>20.5</v>
      </c>
      <c r="K151" s="20">
        <f t="shared" si="52"/>
        <v>-7.6630688139965653</v>
      </c>
      <c r="M151" s="4">
        <f t="shared" si="55"/>
        <v>-36.413098878695202</v>
      </c>
    </row>
    <row r="152" spans="2:13" x14ac:dyDescent="0.3">
      <c r="B152" s="29" t="s">
        <v>11</v>
      </c>
      <c r="C152" s="10">
        <v>15</v>
      </c>
      <c r="D152" s="8">
        <v>15.228</v>
      </c>
      <c r="E152" s="12">
        <f t="shared" si="53"/>
        <v>9.850275807722614</v>
      </c>
      <c r="F152" s="13">
        <v>2.82</v>
      </c>
      <c r="G152" s="14">
        <v>4.6299999999999996E-3</v>
      </c>
      <c r="H152" s="15">
        <f t="shared" si="54"/>
        <v>18.727910838410281</v>
      </c>
      <c r="I152" s="13">
        <v>4.5</v>
      </c>
      <c r="J152" s="13">
        <v>23.93</v>
      </c>
      <c r="K152" s="20">
        <f t="shared" si="52"/>
        <v>-7.9916451079962281</v>
      </c>
      <c r="M152" s="4">
        <f t="shared" si="55"/>
        <v>-49.617549949031599</v>
      </c>
    </row>
    <row r="153" spans="2:13" x14ac:dyDescent="0.3">
      <c r="B153" s="29" t="s">
        <v>12</v>
      </c>
      <c r="C153" s="10">
        <v>17.600000000000001</v>
      </c>
      <c r="D153" s="8">
        <v>15.228</v>
      </c>
      <c r="E153" s="12">
        <f t="shared" si="53"/>
        <v>11.557656947727869</v>
      </c>
      <c r="F153" s="13">
        <v>2.82</v>
      </c>
      <c r="G153" s="14">
        <v>4.6299999999999996E-3</v>
      </c>
      <c r="H153" s="15">
        <f t="shared" si="54"/>
        <v>21.974082050401403</v>
      </c>
      <c r="I153" s="13">
        <v>4.5</v>
      </c>
      <c r="J153" s="13">
        <v>31.99</v>
      </c>
      <c r="K153" s="20">
        <f t="shared" si="52"/>
        <v>-11.540913166313972</v>
      </c>
      <c r="M153" s="4">
        <f t="shared" si="55"/>
        <v>-88.67034505606523</v>
      </c>
    </row>
    <row r="154" spans="2:13" x14ac:dyDescent="0.3">
      <c r="B154" s="31"/>
      <c r="C154" s="17"/>
      <c r="D154" s="18"/>
      <c r="E154" s="19"/>
      <c r="F154" s="17"/>
      <c r="G154" s="17"/>
      <c r="H154" s="18"/>
      <c r="I154" s="17"/>
      <c r="J154" s="17"/>
      <c r="K154" s="14"/>
    </row>
    <row r="155" spans="2:13" x14ac:dyDescent="0.3">
      <c r="B155" s="3" t="s">
        <v>40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2:13" ht="18" x14ac:dyDescent="0.3">
      <c r="B156" s="29"/>
      <c r="C156" s="7" t="s">
        <v>18</v>
      </c>
      <c r="D156" s="8" t="s">
        <v>19</v>
      </c>
      <c r="E156" s="9" t="s">
        <v>20</v>
      </c>
      <c r="F156" s="10" t="s">
        <v>21</v>
      </c>
      <c r="G156" s="10" t="s">
        <v>16</v>
      </c>
      <c r="H156" s="8" t="s">
        <v>0</v>
      </c>
      <c r="I156" s="10" t="s">
        <v>22</v>
      </c>
      <c r="J156" s="10" t="s">
        <v>23</v>
      </c>
      <c r="K156" s="11" t="s">
        <v>14</v>
      </c>
      <c r="M156" s="4" t="s">
        <v>24</v>
      </c>
    </row>
    <row r="157" spans="2:13" ht="16.8" x14ac:dyDescent="0.3">
      <c r="B157" s="29" t="s">
        <v>1</v>
      </c>
      <c r="C157" s="7"/>
      <c r="D157" s="8" t="s">
        <v>25</v>
      </c>
      <c r="E157" s="9" t="s">
        <v>2</v>
      </c>
      <c r="F157" s="10" t="s">
        <v>3</v>
      </c>
      <c r="G157" s="10" t="s">
        <v>4</v>
      </c>
      <c r="H157" s="8" t="s">
        <v>4</v>
      </c>
      <c r="I157" s="10" t="s">
        <v>5</v>
      </c>
      <c r="J157" s="10" t="s">
        <v>2</v>
      </c>
      <c r="K157" s="11" t="s">
        <v>4</v>
      </c>
      <c r="M157" s="4" t="s">
        <v>15</v>
      </c>
    </row>
    <row r="158" spans="2:13" x14ac:dyDescent="0.3">
      <c r="B158" s="29" t="s">
        <v>6</v>
      </c>
      <c r="C158" s="10">
        <v>2.5</v>
      </c>
      <c r="D158" s="8">
        <v>15.228</v>
      </c>
      <c r="E158" s="12">
        <f>(C158*10^-3)/(D158*10^-4)</f>
        <v>1.6417126346204358</v>
      </c>
      <c r="F158" s="13">
        <v>2.82</v>
      </c>
      <c r="G158" s="14">
        <v>2.3149999999999998E-3</v>
      </c>
      <c r="H158" s="15">
        <f>(E158)/((9.81*F158*10^-2))^(1/2)</f>
        <v>3.1213184730683809</v>
      </c>
      <c r="I158" s="13">
        <v>3</v>
      </c>
      <c r="J158" s="13">
        <v>0</v>
      </c>
      <c r="K158" s="20">
        <f t="shared" ref="K158:K164" si="56">(10.33+M158-0.234)/((E158^2)/19.62)</f>
        <v>73.494368720805909</v>
      </c>
      <c r="M158" s="4">
        <f>-(1.7*J158^2)/19.62</f>
        <v>0</v>
      </c>
    </row>
    <row r="159" spans="2:13" x14ac:dyDescent="0.3">
      <c r="B159" s="29" t="s">
        <v>7</v>
      </c>
      <c r="C159" s="10">
        <v>5</v>
      </c>
      <c r="D159" s="8">
        <v>15.228</v>
      </c>
      <c r="E159" s="12">
        <f t="shared" ref="E159:E164" si="57">(C159*10^-3)/(D159*10^-4)</f>
        <v>3.2834252692408716</v>
      </c>
      <c r="F159" s="13">
        <v>2.82</v>
      </c>
      <c r="G159" s="14">
        <v>2.3149999999999998E-3</v>
      </c>
      <c r="H159" s="15">
        <f t="shared" ref="H159:H164" si="58">(E159)/((9.81*F159*10^-2))^(1/2)</f>
        <v>6.2426369461367619</v>
      </c>
      <c r="I159" s="13">
        <v>4.5</v>
      </c>
      <c r="J159" s="13">
        <v>0</v>
      </c>
      <c r="K159" s="20">
        <f t="shared" si="56"/>
        <v>18.373592180201477</v>
      </c>
      <c r="M159" s="4">
        <f t="shared" ref="M159:M164" si="59">-(1.7*J159^2)/19.62</f>
        <v>0</v>
      </c>
    </row>
    <row r="160" spans="2:13" x14ac:dyDescent="0.3">
      <c r="B160" s="29" t="s">
        <v>8</v>
      </c>
      <c r="C160" s="10">
        <v>7.5</v>
      </c>
      <c r="D160" s="8">
        <v>15.228</v>
      </c>
      <c r="E160" s="12">
        <f t="shared" si="57"/>
        <v>4.925137903861307</v>
      </c>
      <c r="F160" s="13">
        <v>2.82</v>
      </c>
      <c r="G160" s="14">
        <v>2.3149999999999998E-3</v>
      </c>
      <c r="H160" s="15">
        <f t="shared" si="58"/>
        <v>9.3639554192051406</v>
      </c>
      <c r="I160" s="13">
        <v>4.5</v>
      </c>
      <c r="J160" s="13">
        <v>3.66</v>
      </c>
      <c r="K160" s="20">
        <f t="shared" si="56"/>
        <v>7.2272383301376033</v>
      </c>
      <c r="M160" s="4">
        <f t="shared" si="59"/>
        <v>-1.1606788990825689</v>
      </c>
    </row>
    <row r="161" spans="2:13" x14ac:dyDescent="0.3">
      <c r="B161" s="29" t="s">
        <v>9</v>
      </c>
      <c r="C161" s="10">
        <v>10</v>
      </c>
      <c r="D161" s="8">
        <v>15.228</v>
      </c>
      <c r="E161" s="12">
        <f t="shared" si="57"/>
        <v>6.5668505384817433</v>
      </c>
      <c r="F161" s="13">
        <v>2.82</v>
      </c>
      <c r="G161" s="14">
        <v>2.3149999999999998E-3</v>
      </c>
      <c r="H161" s="15">
        <f t="shared" si="58"/>
        <v>12.485273892273524</v>
      </c>
      <c r="I161" s="13">
        <v>4.5</v>
      </c>
      <c r="J161" s="13">
        <v>14.59</v>
      </c>
      <c r="K161" s="20">
        <f t="shared" si="56"/>
        <v>-3.7982109816324008</v>
      </c>
      <c r="M161" s="4">
        <f t="shared" si="59"/>
        <v>-18.444228848114168</v>
      </c>
    </row>
    <row r="162" spans="2:13" x14ac:dyDescent="0.3">
      <c r="B162" s="29" t="s">
        <v>10</v>
      </c>
      <c r="C162" s="10">
        <v>12.5</v>
      </c>
      <c r="D162" s="8">
        <v>15.228</v>
      </c>
      <c r="E162" s="12">
        <f t="shared" si="57"/>
        <v>8.2085631731021795</v>
      </c>
      <c r="F162" s="13">
        <v>2.82</v>
      </c>
      <c r="G162" s="14">
        <v>2.3149999999999998E-3</v>
      </c>
      <c r="H162" s="15">
        <f t="shared" si="58"/>
        <v>15.606592365341905</v>
      </c>
      <c r="I162" s="13">
        <v>4.5</v>
      </c>
      <c r="J162" s="13">
        <v>20.83</v>
      </c>
      <c r="K162" s="20">
        <f t="shared" si="56"/>
        <v>-8.0071761859634076</v>
      </c>
      <c r="M162" s="4">
        <f t="shared" si="59"/>
        <v>-37.594858817533122</v>
      </c>
    </row>
    <row r="163" spans="2:13" x14ac:dyDescent="0.3">
      <c r="B163" s="29" t="s">
        <v>11</v>
      </c>
      <c r="C163" s="10">
        <v>15</v>
      </c>
      <c r="D163" s="8">
        <v>15.228</v>
      </c>
      <c r="E163" s="12">
        <f t="shared" si="57"/>
        <v>9.850275807722614</v>
      </c>
      <c r="F163" s="13">
        <v>2.82</v>
      </c>
      <c r="G163" s="14">
        <v>2.3149999999999998E-3</v>
      </c>
      <c r="H163" s="15">
        <f t="shared" si="58"/>
        <v>18.727910838410281</v>
      </c>
      <c r="I163" s="13">
        <v>4.5</v>
      </c>
      <c r="J163" s="13">
        <v>21.55</v>
      </c>
      <c r="K163" s="20">
        <f t="shared" si="56"/>
        <v>-6.0951594941665954</v>
      </c>
      <c r="M163" s="4">
        <f t="shared" si="59"/>
        <v>-40.23874872579001</v>
      </c>
    </row>
    <row r="164" spans="2:13" x14ac:dyDescent="0.3">
      <c r="B164" s="29" t="s">
        <v>12</v>
      </c>
      <c r="C164" s="10">
        <v>17.600000000000001</v>
      </c>
      <c r="D164" s="8">
        <v>15.228</v>
      </c>
      <c r="E164" s="12">
        <f t="shared" si="57"/>
        <v>11.557656947727869</v>
      </c>
      <c r="F164" s="13">
        <v>2.82</v>
      </c>
      <c r="G164" s="14">
        <v>2.3149999999999998E-3</v>
      </c>
      <c r="H164" s="15">
        <f t="shared" si="58"/>
        <v>21.974082050401403</v>
      </c>
      <c r="I164" s="13">
        <v>4.5</v>
      </c>
      <c r="J164" s="13">
        <v>26.43</v>
      </c>
      <c r="K164" s="20">
        <f t="shared" si="56"/>
        <v>-7.4071492854285594</v>
      </c>
      <c r="M164" s="4">
        <f t="shared" si="59"/>
        <v>-60.526316513761458</v>
      </c>
    </row>
    <row r="165" spans="2:13" x14ac:dyDescent="0.3">
      <c r="B165" s="31"/>
      <c r="C165" s="17"/>
      <c r="D165" s="18"/>
      <c r="E165" s="19"/>
      <c r="F165" s="17"/>
      <c r="G165" s="17"/>
      <c r="H165" s="18"/>
      <c r="I165" s="17"/>
      <c r="J165" s="17"/>
      <c r="K165" s="14"/>
    </row>
    <row r="166" spans="2:13" x14ac:dyDescent="0.3">
      <c r="B166" s="3" t="s">
        <v>41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2:13" ht="18" x14ac:dyDescent="0.3">
      <c r="B167" s="29"/>
      <c r="C167" s="7" t="s">
        <v>18</v>
      </c>
      <c r="D167" s="8" t="s">
        <v>19</v>
      </c>
      <c r="E167" s="9" t="s">
        <v>20</v>
      </c>
      <c r="F167" s="10" t="s">
        <v>21</v>
      </c>
      <c r="G167" s="10" t="s">
        <v>16</v>
      </c>
      <c r="H167" s="8" t="s">
        <v>0</v>
      </c>
      <c r="I167" s="10" t="s">
        <v>22</v>
      </c>
      <c r="J167" s="10" t="s">
        <v>23</v>
      </c>
      <c r="K167" s="11" t="s">
        <v>14</v>
      </c>
      <c r="M167" s="4" t="s">
        <v>24</v>
      </c>
    </row>
    <row r="168" spans="2:13" ht="16.8" x14ac:dyDescent="0.3">
      <c r="B168" s="29" t="s">
        <v>1</v>
      </c>
      <c r="C168" s="7"/>
      <c r="D168" s="8" t="s">
        <v>25</v>
      </c>
      <c r="E168" s="9" t="s">
        <v>2</v>
      </c>
      <c r="F168" s="10" t="s">
        <v>3</v>
      </c>
      <c r="G168" s="10" t="s">
        <v>4</v>
      </c>
      <c r="H168" s="8" t="s">
        <v>4</v>
      </c>
      <c r="I168" s="10" t="s">
        <v>5</v>
      </c>
      <c r="J168" s="10" t="s">
        <v>2</v>
      </c>
      <c r="K168" s="11" t="s">
        <v>4</v>
      </c>
      <c r="M168" s="4" t="s">
        <v>15</v>
      </c>
    </row>
    <row r="169" spans="2:13" x14ac:dyDescent="0.3">
      <c r="B169" s="29" t="s">
        <v>6</v>
      </c>
      <c r="C169" s="10">
        <v>2.5</v>
      </c>
      <c r="D169" s="8">
        <v>15.228</v>
      </c>
      <c r="E169" s="12">
        <f>(C169*10^-3)/(D169*10^-4)</f>
        <v>1.6417126346204358</v>
      </c>
      <c r="F169" s="13">
        <v>2.82</v>
      </c>
      <c r="G169" s="14">
        <v>1.5433333333333332E-3</v>
      </c>
      <c r="H169" s="15">
        <f>(E169)/((9.81*F169*10^-2))^(1/2)</f>
        <v>3.1213184730683809</v>
      </c>
      <c r="I169" s="13">
        <v>3</v>
      </c>
      <c r="J169" s="13">
        <v>0</v>
      </c>
      <c r="K169" s="20">
        <f t="shared" ref="K169:K175" si="60">(10.33+M169-0.234)/((E169^2)/19.62)</f>
        <v>73.494368720805909</v>
      </c>
      <c r="M169" s="4">
        <f>-(1.7*J169^2)/19.62</f>
        <v>0</v>
      </c>
    </row>
    <row r="170" spans="2:13" x14ac:dyDescent="0.3">
      <c r="B170" s="29" t="s">
        <v>7</v>
      </c>
      <c r="C170" s="10">
        <v>5</v>
      </c>
      <c r="D170" s="8">
        <v>15.228</v>
      </c>
      <c r="E170" s="12">
        <f t="shared" ref="E170:E175" si="61">(C170*10^-3)/(D170*10^-4)</f>
        <v>3.2834252692408716</v>
      </c>
      <c r="F170" s="13">
        <v>2.82</v>
      </c>
      <c r="G170" s="14">
        <v>1.5433333333333332E-3</v>
      </c>
      <c r="H170" s="15">
        <f t="shared" ref="H170:H175" si="62">(E170)/((9.81*F170*10^-2))^(1/2)</f>
        <v>6.2426369461367619</v>
      </c>
      <c r="I170" s="13">
        <v>4.5</v>
      </c>
      <c r="J170" s="13">
        <v>0.4</v>
      </c>
      <c r="K170" s="20">
        <f t="shared" si="60"/>
        <v>18.348362332342276</v>
      </c>
      <c r="M170" s="4">
        <f t="shared" ref="M170:M175" si="63">-(1.7*J170^2)/19.62</f>
        <v>-1.3863404689092763E-2</v>
      </c>
    </row>
    <row r="171" spans="2:13" x14ac:dyDescent="0.3">
      <c r="B171" s="29" t="s">
        <v>8</v>
      </c>
      <c r="C171" s="10">
        <v>7.5</v>
      </c>
      <c r="D171" s="8">
        <v>15.228</v>
      </c>
      <c r="E171" s="12">
        <f t="shared" si="61"/>
        <v>4.925137903861307</v>
      </c>
      <c r="F171" s="13">
        <v>2.82</v>
      </c>
      <c r="G171" s="14">
        <v>1.5433333333333332E-3</v>
      </c>
      <c r="H171" s="15">
        <f t="shared" si="62"/>
        <v>9.3639554192051406</v>
      </c>
      <c r="I171" s="13">
        <v>4.5</v>
      </c>
      <c r="J171" s="13">
        <v>2.98</v>
      </c>
      <c r="K171" s="20">
        <f t="shared" si="60"/>
        <v>7.5436766886205477</v>
      </c>
      <c r="M171" s="4">
        <f t="shared" si="63"/>
        <v>-0.76945361875637097</v>
      </c>
    </row>
    <row r="172" spans="2:13" x14ac:dyDescent="0.3">
      <c r="B172" s="29" t="s">
        <v>9</v>
      </c>
      <c r="C172" s="10">
        <v>10</v>
      </c>
      <c r="D172" s="8">
        <v>15.228</v>
      </c>
      <c r="E172" s="12">
        <f t="shared" si="61"/>
        <v>6.5668505384817433</v>
      </c>
      <c r="F172" s="13">
        <v>2.82</v>
      </c>
      <c r="G172" s="14">
        <v>1.5433333333333332E-3</v>
      </c>
      <c r="H172" s="15">
        <f t="shared" si="62"/>
        <v>12.485273892273524</v>
      </c>
      <c r="I172" s="13">
        <v>4.5</v>
      </c>
      <c r="J172" s="13">
        <v>12.31</v>
      </c>
      <c r="K172" s="20">
        <f t="shared" si="60"/>
        <v>-1.3804031239754408</v>
      </c>
      <c r="M172" s="4">
        <f t="shared" si="63"/>
        <v>-13.130039245667687</v>
      </c>
    </row>
    <row r="173" spans="2:13" x14ac:dyDescent="0.3">
      <c r="B173" s="29" t="s">
        <v>10</v>
      </c>
      <c r="C173" s="10">
        <v>12.5</v>
      </c>
      <c r="D173" s="8">
        <v>15.228</v>
      </c>
      <c r="E173" s="12">
        <f t="shared" si="61"/>
        <v>8.2085631731021795</v>
      </c>
      <c r="F173" s="13">
        <v>2.82</v>
      </c>
      <c r="G173" s="14">
        <v>1.5433333333333332E-3</v>
      </c>
      <c r="H173" s="15">
        <f t="shared" si="62"/>
        <v>15.606592365341905</v>
      </c>
      <c r="I173" s="13">
        <v>4.5</v>
      </c>
      <c r="J173" s="13">
        <v>13</v>
      </c>
      <c r="K173" s="20">
        <f t="shared" si="60"/>
        <v>-1.3240695393725646</v>
      </c>
      <c r="M173" s="4">
        <f t="shared" si="63"/>
        <v>-14.64322120285423</v>
      </c>
    </row>
    <row r="174" spans="2:13" x14ac:dyDescent="0.3">
      <c r="B174" s="29" t="s">
        <v>11</v>
      </c>
      <c r="C174" s="10">
        <v>15</v>
      </c>
      <c r="D174" s="8">
        <v>15.228</v>
      </c>
      <c r="E174" s="12">
        <f t="shared" si="61"/>
        <v>9.850275807722614</v>
      </c>
      <c r="F174" s="13">
        <v>2.82</v>
      </c>
      <c r="G174" s="14">
        <v>1.5433333333333332E-3</v>
      </c>
      <c r="H174" s="15">
        <f t="shared" si="62"/>
        <v>18.727910838410281</v>
      </c>
      <c r="I174" s="13">
        <v>4.5</v>
      </c>
      <c r="J174" s="13">
        <v>16.45</v>
      </c>
      <c r="K174" s="20">
        <f t="shared" si="60"/>
        <v>-2.6996424697825923</v>
      </c>
      <c r="M174" s="4">
        <f t="shared" si="63"/>
        <v>-23.446699796126396</v>
      </c>
    </row>
    <row r="175" spans="2:13" x14ac:dyDescent="0.3">
      <c r="B175" s="29" t="s">
        <v>12</v>
      </c>
      <c r="C175" s="10">
        <v>17.600000000000001</v>
      </c>
      <c r="D175" s="8">
        <v>15.228</v>
      </c>
      <c r="E175" s="12">
        <f t="shared" si="61"/>
        <v>11.557656947727869</v>
      </c>
      <c r="F175" s="13">
        <v>2.82</v>
      </c>
      <c r="G175" s="14">
        <v>1.5433333333333332E-3</v>
      </c>
      <c r="H175" s="15">
        <f t="shared" si="62"/>
        <v>21.974082050401403</v>
      </c>
      <c r="I175" s="13">
        <v>4.5</v>
      </c>
      <c r="J175" s="13">
        <v>20.32</v>
      </c>
      <c r="K175" s="20">
        <f t="shared" si="60"/>
        <v>-3.7719171616061162</v>
      </c>
      <c r="M175" s="4">
        <f t="shared" si="63"/>
        <v>-35.776456676860342</v>
      </c>
    </row>
    <row r="176" spans="2:13" x14ac:dyDescent="0.3">
      <c r="B176" s="30"/>
      <c r="C176" s="17"/>
      <c r="D176" s="18"/>
      <c r="E176" s="19"/>
      <c r="F176" s="17"/>
      <c r="G176" s="17"/>
      <c r="H176" s="18"/>
      <c r="I176" s="17"/>
      <c r="J176" s="17"/>
      <c r="K176" s="14"/>
    </row>
    <row r="177" spans="2:13" x14ac:dyDescent="0.3">
      <c r="B177" s="3" t="s">
        <v>42</v>
      </c>
      <c r="C177" s="3"/>
      <c r="D177" s="3"/>
      <c r="E177" s="3"/>
      <c r="F177" s="3"/>
      <c r="G177" s="3"/>
      <c r="H177" s="3"/>
      <c r="I177" s="3"/>
      <c r="J177" s="3"/>
      <c r="K177" s="3"/>
    </row>
    <row r="178" spans="2:13" ht="18" x14ac:dyDescent="0.3">
      <c r="B178" s="29"/>
      <c r="C178" s="7" t="s">
        <v>18</v>
      </c>
      <c r="D178" s="8" t="s">
        <v>19</v>
      </c>
      <c r="E178" s="9" t="s">
        <v>20</v>
      </c>
      <c r="F178" s="10" t="s">
        <v>21</v>
      </c>
      <c r="G178" s="10" t="s">
        <v>16</v>
      </c>
      <c r="H178" s="8" t="s">
        <v>0</v>
      </c>
      <c r="I178" s="10" t="s">
        <v>22</v>
      </c>
      <c r="J178" s="10" t="s">
        <v>23</v>
      </c>
      <c r="K178" s="11" t="s">
        <v>14</v>
      </c>
      <c r="M178" s="4" t="s">
        <v>24</v>
      </c>
    </row>
    <row r="179" spans="2:13" ht="16.8" x14ac:dyDescent="0.3">
      <c r="B179" s="29" t="s">
        <v>1</v>
      </c>
      <c r="C179" s="7"/>
      <c r="D179" s="8" t="s">
        <v>25</v>
      </c>
      <c r="E179" s="9" t="s">
        <v>2</v>
      </c>
      <c r="F179" s="10" t="s">
        <v>3</v>
      </c>
      <c r="G179" s="10" t="s">
        <v>4</v>
      </c>
      <c r="H179" s="8" t="s">
        <v>4</v>
      </c>
      <c r="I179" s="10" t="s">
        <v>5</v>
      </c>
      <c r="J179" s="10" t="s">
        <v>2</v>
      </c>
      <c r="K179" s="11" t="s">
        <v>4</v>
      </c>
      <c r="M179" s="4" t="s">
        <v>15</v>
      </c>
    </row>
    <row r="180" spans="2:13" x14ac:dyDescent="0.3">
      <c r="B180" s="29" t="s">
        <v>6</v>
      </c>
      <c r="C180" s="10">
        <v>3.2</v>
      </c>
      <c r="D180" s="8">
        <v>20.303999999999998</v>
      </c>
      <c r="E180" s="12">
        <f>(C180*10^-3)/(D180*10^-4)</f>
        <v>1.5760441292356187</v>
      </c>
      <c r="F180" s="13">
        <v>3.76</v>
      </c>
      <c r="G180" s="14">
        <v>9.2599999999999991E-3</v>
      </c>
      <c r="H180" s="15">
        <f>(E180)/((9.81*F180*10^-2))^(1/2)</f>
        <v>2.5950154473397178</v>
      </c>
      <c r="I180" s="13">
        <v>3</v>
      </c>
      <c r="J180" s="13">
        <v>0</v>
      </c>
      <c r="K180" s="20">
        <f t="shared" ref="K180:K186" si="64">(10.33+M180-0.234)/((E180^2)/19.62)</f>
        <v>79.746493837680006</v>
      </c>
      <c r="M180" s="4">
        <f>-(1.7*J180^2)/19.62</f>
        <v>0</v>
      </c>
    </row>
    <row r="181" spans="2:13" x14ac:dyDescent="0.3">
      <c r="B181" s="29" t="s">
        <v>7</v>
      </c>
      <c r="C181" s="10">
        <v>6.4</v>
      </c>
      <c r="D181" s="8">
        <v>20.303999999999998</v>
      </c>
      <c r="E181" s="12">
        <f t="shared" ref="E181:E186" si="65">(C181*10^-3)/(D181*10^-4)</f>
        <v>3.1520882584712373</v>
      </c>
      <c r="F181" s="13">
        <v>3.76</v>
      </c>
      <c r="G181" s="14">
        <v>9.2599999999999991E-3</v>
      </c>
      <c r="H181" s="15">
        <f t="shared" ref="H181:H186" si="66">(E181)/((9.81*F181*10^-2))^(1/2)</f>
        <v>5.1900308946794356</v>
      </c>
      <c r="I181" s="13">
        <v>3</v>
      </c>
      <c r="J181" s="13">
        <v>0</v>
      </c>
      <c r="K181" s="20">
        <f t="shared" si="64"/>
        <v>19.936623459420002</v>
      </c>
      <c r="M181" s="4">
        <f t="shared" ref="M181:M186" si="67">-(1.7*J181^2)/19.62</f>
        <v>0</v>
      </c>
    </row>
    <row r="182" spans="2:13" x14ac:dyDescent="0.3">
      <c r="B182" s="29" t="s">
        <v>8</v>
      </c>
      <c r="C182" s="10">
        <v>9.6</v>
      </c>
      <c r="D182" s="8">
        <v>20.303999999999998</v>
      </c>
      <c r="E182" s="12">
        <f t="shared" si="65"/>
        <v>4.7281323877068555</v>
      </c>
      <c r="F182" s="13">
        <v>3.76</v>
      </c>
      <c r="G182" s="14">
        <v>9.2599999999999991E-3</v>
      </c>
      <c r="H182" s="15">
        <f t="shared" si="66"/>
        <v>7.7850463420191529</v>
      </c>
      <c r="I182" s="13">
        <v>4.5</v>
      </c>
      <c r="J182" s="13">
        <v>1.02</v>
      </c>
      <c r="K182" s="20">
        <f t="shared" si="64"/>
        <v>8.7816045015900031</v>
      </c>
      <c r="M182" s="4">
        <f t="shared" si="67"/>
        <v>-9.0146788990825691E-2</v>
      </c>
    </row>
    <row r="183" spans="2:13" x14ac:dyDescent="0.3">
      <c r="B183" s="29" t="s">
        <v>9</v>
      </c>
      <c r="C183" s="10">
        <v>12.8</v>
      </c>
      <c r="D183" s="8">
        <v>20.303999999999998</v>
      </c>
      <c r="E183" s="12">
        <f t="shared" si="65"/>
        <v>6.3041765169424746</v>
      </c>
      <c r="F183" s="13">
        <v>3.76</v>
      </c>
      <c r="G183" s="14">
        <v>9.2599999999999991E-3</v>
      </c>
      <c r="H183" s="15">
        <f t="shared" si="66"/>
        <v>10.380061789358871</v>
      </c>
      <c r="I183" s="13">
        <v>4.5</v>
      </c>
      <c r="J183" s="13">
        <v>3.76</v>
      </c>
      <c r="K183" s="20">
        <f t="shared" si="64"/>
        <v>4.3794169985250004</v>
      </c>
      <c r="M183" s="4">
        <f t="shared" si="67"/>
        <v>-1.2249704383282363</v>
      </c>
    </row>
    <row r="184" spans="2:13" x14ac:dyDescent="0.3">
      <c r="B184" s="29" t="s">
        <v>10</v>
      </c>
      <c r="C184" s="10">
        <v>16</v>
      </c>
      <c r="D184" s="8">
        <v>20.303999999999998</v>
      </c>
      <c r="E184" s="12">
        <f t="shared" si="65"/>
        <v>7.8802206461780937</v>
      </c>
      <c r="F184" s="13">
        <v>3.76</v>
      </c>
      <c r="G184" s="14">
        <v>9.2599999999999991E-3</v>
      </c>
      <c r="H184" s="15">
        <f t="shared" si="66"/>
        <v>12.97507723669859</v>
      </c>
      <c r="I184" s="13">
        <v>4.5</v>
      </c>
      <c r="J184" s="13">
        <v>6.82</v>
      </c>
      <c r="K184" s="20">
        <f t="shared" si="64"/>
        <v>1.9165299189083997</v>
      </c>
      <c r="M184" s="4">
        <f t="shared" si="67"/>
        <v>-4.030126401630989</v>
      </c>
    </row>
    <row r="185" spans="2:13" x14ac:dyDescent="0.3">
      <c r="B185" s="29" t="s">
        <v>11</v>
      </c>
      <c r="C185" s="10">
        <v>19.2</v>
      </c>
      <c r="D185" s="8">
        <v>20.303999999999998</v>
      </c>
      <c r="E185" s="12">
        <f t="shared" si="65"/>
        <v>9.456264775413711</v>
      </c>
      <c r="F185" s="13">
        <v>3.76</v>
      </c>
      <c r="G185" s="14">
        <v>9.2599999999999991E-3</v>
      </c>
      <c r="H185" s="15">
        <f t="shared" si="66"/>
        <v>15.570092684038306</v>
      </c>
      <c r="I185" s="13">
        <v>4.5</v>
      </c>
      <c r="J185" s="13">
        <v>11.92</v>
      </c>
      <c r="K185" s="20">
        <f t="shared" si="64"/>
        <v>-0.48605347133999982</v>
      </c>
      <c r="M185" s="4">
        <f t="shared" si="67"/>
        <v>-12.311257900101936</v>
      </c>
    </row>
    <row r="186" spans="2:13" x14ac:dyDescent="0.3">
      <c r="B186" s="29" t="s">
        <v>12</v>
      </c>
      <c r="C186" s="10">
        <v>22.3</v>
      </c>
      <c r="D186" s="8">
        <v>20.303999999999998</v>
      </c>
      <c r="E186" s="12">
        <f t="shared" si="65"/>
        <v>10.983057525610718</v>
      </c>
      <c r="F186" s="13">
        <v>3.76</v>
      </c>
      <c r="G186" s="14">
        <v>9.2599999999999991E-3</v>
      </c>
      <c r="H186" s="15">
        <f t="shared" si="66"/>
        <v>18.08401389864866</v>
      </c>
      <c r="I186" s="13">
        <v>4.5</v>
      </c>
      <c r="J186" s="13">
        <v>17.190000000000001</v>
      </c>
      <c r="K186" s="20">
        <f t="shared" si="64"/>
        <v>-2.5223080748516482</v>
      </c>
      <c r="M186" s="4">
        <f t="shared" si="67"/>
        <v>-25.603637614678902</v>
      </c>
    </row>
    <row r="187" spans="2:13" x14ac:dyDescent="0.3">
      <c r="B187" s="30"/>
      <c r="C187" s="17"/>
      <c r="D187" s="18"/>
      <c r="E187" s="19"/>
      <c r="F187" s="17"/>
      <c r="G187" s="17"/>
      <c r="H187" s="18"/>
      <c r="I187" s="17"/>
      <c r="J187" s="17"/>
      <c r="K187" s="14"/>
    </row>
    <row r="188" spans="2:13" x14ac:dyDescent="0.3">
      <c r="B188" s="3" t="s">
        <v>43</v>
      </c>
      <c r="C188" s="3"/>
      <c r="D188" s="3"/>
      <c r="E188" s="3"/>
      <c r="F188" s="3"/>
      <c r="G188" s="3"/>
      <c r="H188" s="3"/>
      <c r="I188" s="3"/>
      <c r="J188" s="3"/>
      <c r="K188" s="3"/>
    </row>
    <row r="189" spans="2:13" ht="18" x14ac:dyDescent="0.3">
      <c r="B189" s="29"/>
      <c r="C189" s="7" t="s">
        <v>18</v>
      </c>
      <c r="D189" s="8" t="s">
        <v>19</v>
      </c>
      <c r="E189" s="9" t="s">
        <v>20</v>
      </c>
      <c r="F189" s="10" t="s">
        <v>21</v>
      </c>
      <c r="G189" s="10" t="s">
        <v>16</v>
      </c>
      <c r="H189" s="8" t="s">
        <v>0</v>
      </c>
      <c r="I189" s="10" t="s">
        <v>22</v>
      </c>
      <c r="J189" s="10" t="s">
        <v>23</v>
      </c>
      <c r="K189" s="11" t="s">
        <v>14</v>
      </c>
      <c r="M189" s="4" t="s">
        <v>24</v>
      </c>
    </row>
    <row r="190" spans="2:13" ht="16.8" x14ac:dyDescent="0.3">
      <c r="B190" s="29" t="s">
        <v>1</v>
      </c>
      <c r="C190" s="7"/>
      <c r="D190" s="8" t="s">
        <v>25</v>
      </c>
      <c r="E190" s="9" t="s">
        <v>2</v>
      </c>
      <c r="F190" s="10" t="s">
        <v>3</v>
      </c>
      <c r="G190" s="10" t="s">
        <v>4</v>
      </c>
      <c r="H190" s="8" t="s">
        <v>4</v>
      </c>
      <c r="I190" s="10" t="s">
        <v>5</v>
      </c>
      <c r="J190" s="10" t="s">
        <v>2</v>
      </c>
      <c r="K190" s="11" t="s">
        <v>4</v>
      </c>
      <c r="M190" s="4" t="s">
        <v>15</v>
      </c>
    </row>
    <row r="191" spans="2:13" x14ac:dyDescent="0.3">
      <c r="B191" s="29" t="s">
        <v>6</v>
      </c>
      <c r="C191" s="10">
        <v>3.2</v>
      </c>
      <c r="D191" s="8">
        <v>20.303999999999998</v>
      </c>
      <c r="E191" s="12">
        <f>(C191*10^-3)/(D191*10^-4)</f>
        <v>1.5760441292356187</v>
      </c>
      <c r="F191" s="13">
        <v>3.76</v>
      </c>
      <c r="G191" s="14">
        <v>4.6299999999999996E-3</v>
      </c>
      <c r="H191" s="15">
        <f>(E191)/((9.81*F191*10^-2))^(1/2)</f>
        <v>2.5950154473397178</v>
      </c>
      <c r="I191" s="13">
        <v>3</v>
      </c>
      <c r="J191" s="13">
        <v>0</v>
      </c>
      <c r="K191" s="20">
        <f t="shared" ref="K191:K197" si="68">(10.33+M191-0.234)/((E191^2)/19.62)</f>
        <v>79.746493837680006</v>
      </c>
      <c r="M191" s="4">
        <f>-(1.7*J191^2)/19.62</f>
        <v>0</v>
      </c>
    </row>
    <row r="192" spans="2:13" x14ac:dyDescent="0.3">
      <c r="B192" s="29" t="s">
        <v>7</v>
      </c>
      <c r="C192" s="10">
        <v>6.4</v>
      </c>
      <c r="D192" s="8">
        <v>20.303999999999998</v>
      </c>
      <c r="E192" s="12">
        <f t="shared" ref="E192:E197" si="69">(C192*10^-3)/(D192*10^-4)</f>
        <v>3.1520882584712373</v>
      </c>
      <c r="F192" s="13">
        <v>3.76</v>
      </c>
      <c r="G192" s="14">
        <v>4.6299999999999996E-3</v>
      </c>
      <c r="H192" s="15">
        <f t="shared" ref="H192:H197" si="70">(E192)/((9.81*F192*10^-2))^(1/2)</f>
        <v>5.1900308946794356</v>
      </c>
      <c r="I192" s="13">
        <v>4.5</v>
      </c>
      <c r="J192" s="13">
        <v>0.6</v>
      </c>
      <c r="K192" s="20">
        <f t="shared" si="68"/>
        <v>19.875027151169999</v>
      </c>
      <c r="M192" s="4">
        <f t="shared" ref="M192:M197" si="71">-(1.7*J192^2)/19.62</f>
        <v>-3.1192660550458714E-2</v>
      </c>
    </row>
    <row r="193" spans="2:13" x14ac:dyDescent="0.3">
      <c r="B193" s="29" t="s">
        <v>8</v>
      </c>
      <c r="C193" s="10">
        <v>9.6</v>
      </c>
      <c r="D193" s="8">
        <v>20.303999999999998</v>
      </c>
      <c r="E193" s="12">
        <f t="shared" si="69"/>
        <v>4.7281323877068555</v>
      </c>
      <c r="F193" s="13">
        <v>3.76</v>
      </c>
      <c r="G193" s="14">
        <v>4.6299999999999996E-3</v>
      </c>
      <c r="H193" s="15">
        <f t="shared" si="70"/>
        <v>7.7850463420191529</v>
      </c>
      <c r="I193" s="13">
        <v>4.5</v>
      </c>
      <c r="J193" s="13">
        <v>3.23</v>
      </c>
      <c r="K193" s="20">
        <f t="shared" si="68"/>
        <v>8.0673534827775022</v>
      </c>
      <c r="M193" s="4">
        <f t="shared" si="71"/>
        <v>-0.90397196738022423</v>
      </c>
    </row>
    <row r="194" spans="2:13" x14ac:dyDescent="0.3">
      <c r="B194" s="29" t="s">
        <v>9</v>
      </c>
      <c r="C194" s="10">
        <v>12.8</v>
      </c>
      <c r="D194" s="8">
        <v>20.303999999999998</v>
      </c>
      <c r="E194" s="12">
        <f t="shared" si="69"/>
        <v>6.3041765169424746</v>
      </c>
      <c r="F194" s="13">
        <v>3.76</v>
      </c>
      <c r="G194" s="14">
        <v>4.6299999999999996E-3</v>
      </c>
      <c r="H194" s="15">
        <f t="shared" si="70"/>
        <v>10.380061789358871</v>
      </c>
      <c r="I194" s="13">
        <v>4.5</v>
      </c>
      <c r="J194" s="13">
        <v>8.25</v>
      </c>
      <c r="K194" s="20">
        <f t="shared" si="68"/>
        <v>2.072767857726094</v>
      </c>
      <c r="M194" s="4">
        <f t="shared" si="71"/>
        <v>-5.8973623853211006</v>
      </c>
    </row>
    <row r="195" spans="2:13" x14ac:dyDescent="0.3">
      <c r="B195" s="29" t="s">
        <v>10</v>
      </c>
      <c r="C195" s="10">
        <v>16</v>
      </c>
      <c r="D195" s="8">
        <v>20.303999999999998</v>
      </c>
      <c r="E195" s="12">
        <f t="shared" si="69"/>
        <v>7.8802206461780937</v>
      </c>
      <c r="F195" s="13">
        <v>3.76</v>
      </c>
      <c r="G195" s="14">
        <v>4.6299999999999996E-3</v>
      </c>
      <c r="H195" s="15">
        <f t="shared" si="70"/>
        <v>12.97507723669859</v>
      </c>
      <c r="I195" s="13">
        <v>4.5</v>
      </c>
      <c r="J195" s="13">
        <v>13.69</v>
      </c>
      <c r="K195" s="20">
        <f t="shared" si="68"/>
        <v>-1.9408690760984997</v>
      </c>
      <c r="M195" s="4">
        <f t="shared" si="71"/>
        <v>-16.238907747196738</v>
      </c>
    </row>
    <row r="196" spans="2:13" x14ac:dyDescent="0.3">
      <c r="B196" s="29" t="s">
        <v>11</v>
      </c>
      <c r="C196" s="10">
        <v>19.2</v>
      </c>
      <c r="D196" s="8">
        <v>20.303999999999998</v>
      </c>
      <c r="E196" s="12">
        <f t="shared" si="69"/>
        <v>9.456264775413711</v>
      </c>
      <c r="F196" s="13">
        <v>3.76</v>
      </c>
      <c r="G196" s="14">
        <v>4.6299999999999996E-3</v>
      </c>
      <c r="H196" s="15">
        <f t="shared" si="70"/>
        <v>15.570092684038306</v>
      </c>
      <c r="I196" s="13">
        <v>4.5</v>
      </c>
      <c r="J196" s="13">
        <v>17.260000000000002</v>
      </c>
      <c r="K196" s="20">
        <f t="shared" si="68"/>
        <v>-3.4484024426625011</v>
      </c>
      <c r="M196" s="4">
        <f t="shared" si="71"/>
        <v>-25.812585117227322</v>
      </c>
    </row>
    <row r="197" spans="2:13" x14ac:dyDescent="0.3">
      <c r="B197" s="29" t="s">
        <v>12</v>
      </c>
      <c r="C197" s="10">
        <v>22.3</v>
      </c>
      <c r="D197" s="8">
        <v>20.303999999999998</v>
      </c>
      <c r="E197" s="12">
        <f t="shared" si="69"/>
        <v>10.983057525610718</v>
      </c>
      <c r="F197" s="13">
        <v>3.76</v>
      </c>
      <c r="G197" s="14">
        <v>4.6299999999999996E-3</v>
      </c>
      <c r="H197" s="15">
        <f t="shared" si="70"/>
        <v>18.08401389864866</v>
      </c>
      <c r="I197" s="13">
        <v>4.5</v>
      </c>
      <c r="J197" s="17">
        <v>24.4</v>
      </c>
      <c r="K197" s="20">
        <f t="shared" si="68"/>
        <v>-6.7482798281245868</v>
      </c>
      <c r="M197" s="4">
        <f t="shared" si="71"/>
        <v>-51.585728848114158</v>
      </c>
    </row>
    <row r="198" spans="2:13" x14ac:dyDescent="0.3">
      <c r="B198" s="31"/>
      <c r="C198" s="17"/>
      <c r="D198" s="18"/>
      <c r="E198" s="19"/>
      <c r="F198" s="17"/>
      <c r="G198" s="17"/>
      <c r="H198" s="18"/>
      <c r="I198" s="17"/>
      <c r="J198" s="17"/>
      <c r="K198" s="14"/>
    </row>
    <row r="199" spans="2:13" x14ac:dyDescent="0.3">
      <c r="B199" s="3" t="s">
        <v>44</v>
      </c>
      <c r="C199" s="3"/>
      <c r="D199" s="3"/>
      <c r="E199" s="3"/>
      <c r="F199" s="3"/>
      <c r="G199" s="3"/>
      <c r="H199" s="3"/>
      <c r="I199" s="3"/>
      <c r="J199" s="3"/>
      <c r="K199" s="3"/>
    </row>
    <row r="200" spans="2:13" ht="18" x14ac:dyDescent="0.3">
      <c r="B200" s="29"/>
      <c r="C200" s="7" t="s">
        <v>18</v>
      </c>
      <c r="D200" s="8" t="s">
        <v>19</v>
      </c>
      <c r="E200" s="9" t="s">
        <v>20</v>
      </c>
      <c r="F200" s="10" t="s">
        <v>21</v>
      </c>
      <c r="G200" s="10" t="s">
        <v>16</v>
      </c>
      <c r="H200" s="8" t="s">
        <v>0</v>
      </c>
      <c r="I200" s="10" t="s">
        <v>22</v>
      </c>
      <c r="J200" s="10" t="s">
        <v>23</v>
      </c>
      <c r="K200" s="11" t="s">
        <v>14</v>
      </c>
      <c r="M200" s="4" t="s">
        <v>24</v>
      </c>
    </row>
    <row r="201" spans="2:13" ht="16.8" x14ac:dyDescent="0.3">
      <c r="B201" s="29" t="s">
        <v>1</v>
      </c>
      <c r="C201" s="7"/>
      <c r="D201" s="8" t="s">
        <v>25</v>
      </c>
      <c r="E201" s="9" t="s">
        <v>2</v>
      </c>
      <c r="F201" s="10" t="s">
        <v>3</v>
      </c>
      <c r="G201" s="10" t="s">
        <v>4</v>
      </c>
      <c r="H201" s="8" t="s">
        <v>4</v>
      </c>
      <c r="I201" s="10" t="s">
        <v>5</v>
      </c>
      <c r="J201" s="10" t="s">
        <v>2</v>
      </c>
      <c r="K201" s="11" t="s">
        <v>4</v>
      </c>
      <c r="M201" s="4" t="s">
        <v>15</v>
      </c>
    </row>
    <row r="202" spans="2:13" x14ac:dyDescent="0.3">
      <c r="B202" s="29" t="s">
        <v>6</v>
      </c>
      <c r="C202" s="10">
        <v>3.2</v>
      </c>
      <c r="D202" s="8">
        <v>20.303999999999998</v>
      </c>
      <c r="E202" s="12">
        <f>(C202*10^-3)/(D202*10^-4)</f>
        <v>1.5760441292356187</v>
      </c>
      <c r="F202" s="13">
        <v>3.76</v>
      </c>
      <c r="G202" s="14">
        <v>2.3149999999999998E-3</v>
      </c>
      <c r="H202" s="15">
        <f>(E202)/((9.81*F202*10^-2))^(1/2)</f>
        <v>2.5950154473397178</v>
      </c>
      <c r="I202" s="13">
        <v>3</v>
      </c>
      <c r="J202" s="13">
        <v>0</v>
      </c>
      <c r="K202" s="20">
        <f t="shared" ref="K202:K208" si="72">(10.33+M202-0.234)/((E202^2)/19.62)</f>
        <v>79.746493837680006</v>
      </c>
      <c r="M202" s="4">
        <f>-(1.7*J202^2)/19.62</f>
        <v>0</v>
      </c>
    </row>
    <row r="203" spans="2:13" x14ac:dyDescent="0.3">
      <c r="B203" s="29" t="s">
        <v>7</v>
      </c>
      <c r="C203" s="10">
        <v>6.4</v>
      </c>
      <c r="D203" s="8">
        <v>20.303999999999998</v>
      </c>
      <c r="E203" s="12">
        <f t="shared" ref="E203:E208" si="73">(C203*10^-3)/(D203*10^-4)</f>
        <v>3.1520882584712373</v>
      </c>
      <c r="F203" s="13">
        <v>3.76</v>
      </c>
      <c r="G203" s="14">
        <v>2.3149999999999998E-3</v>
      </c>
      <c r="H203" s="15">
        <f t="shared" ref="H203:H208" si="74">(E203)/((9.81*F203*10^-2))^(1/2)</f>
        <v>5.1900308946794356</v>
      </c>
      <c r="I203" s="13">
        <v>4.5</v>
      </c>
      <c r="J203" s="13">
        <v>0</v>
      </c>
      <c r="K203" s="20">
        <f t="shared" si="72"/>
        <v>19.936623459420002</v>
      </c>
      <c r="M203" s="4">
        <f t="shared" ref="M203:M208" si="75">-(1.7*J203^2)/19.62</f>
        <v>0</v>
      </c>
    </row>
    <row r="204" spans="2:13" x14ac:dyDescent="0.3">
      <c r="B204" s="29" t="s">
        <v>8</v>
      </c>
      <c r="C204" s="10">
        <v>9.6</v>
      </c>
      <c r="D204" s="8">
        <v>20.303999999999998</v>
      </c>
      <c r="E204" s="12">
        <f t="shared" si="73"/>
        <v>4.7281323877068555</v>
      </c>
      <c r="F204" s="13">
        <v>3.76</v>
      </c>
      <c r="G204" s="14">
        <v>2.3149999999999998E-3</v>
      </c>
      <c r="H204" s="15">
        <f t="shared" si="74"/>
        <v>7.7850463420191529</v>
      </c>
      <c r="I204" s="13">
        <v>4.5</v>
      </c>
      <c r="J204" s="13">
        <v>3.69</v>
      </c>
      <c r="K204" s="20">
        <f t="shared" si="72"/>
        <v>7.8252875958375014</v>
      </c>
      <c r="M204" s="4">
        <f t="shared" si="75"/>
        <v>-1.1797844036697247</v>
      </c>
    </row>
    <row r="205" spans="2:13" x14ac:dyDescent="0.3">
      <c r="B205" s="29" t="s">
        <v>9</v>
      </c>
      <c r="C205" s="10">
        <v>12.8</v>
      </c>
      <c r="D205" s="8">
        <v>20.303999999999998</v>
      </c>
      <c r="E205" s="12">
        <f t="shared" si="73"/>
        <v>6.3041765169424746</v>
      </c>
      <c r="F205" s="13">
        <v>3.76</v>
      </c>
      <c r="G205" s="14">
        <v>2.3149999999999998E-3</v>
      </c>
      <c r="H205" s="15">
        <f t="shared" si="74"/>
        <v>10.380061789358871</v>
      </c>
      <c r="I205" s="13">
        <v>4.5</v>
      </c>
      <c r="J205" s="13">
        <v>8.57</v>
      </c>
      <c r="K205" s="20">
        <f t="shared" si="72"/>
        <v>1.842534545556094</v>
      </c>
      <c r="M205" s="4">
        <f t="shared" si="75"/>
        <v>-6.363727319062181</v>
      </c>
    </row>
    <row r="206" spans="2:13" x14ac:dyDescent="0.3">
      <c r="B206" s="29" t="s">
        <v>10</v>
      </c>
      <c r="C206" s="10">
        <v>16</v>
      </c>
      <c r="D206" s="8">
        <v>20.303999999999998</v>
      </c>
      <c r="E206" s="12">
        <f t="shared" si="73"/>
        <v>7.8802206461780937</v>
      </c>
      <c r="F206" s="13">
        <v>3.76</v>
      </c>
      <c r="G206" s="14">
        <v>2.3149999999999998E-3</v>
      </c>
      <c r="H206" s="15">
        <f t="shared" si="74"/>
        <v>12.97507723669859</v>
      </c>
      <c r="I206" s="13">
        <v>4.5</v>
      </c>
      <c r="J206" s="13">
        <v>13.22</v>
      </c>
      <c r="K206" s="20">
        <f t="shared" si="72"/>
        <v>-1.5946239081635998</v>
      </c>
      <c r="M206" s="4">
        <f t="shared" si="75"/>
        <v>-15.143031600407747</v>
      </c>
    </row>
    <row r="207" spans="2:13" x14ac:dyDescent="0.3">
      <c r="B207" s="29" t="s">
        <v>11</v>
      </c>
      <c r="C207" s="10">
        <v>19.2</v>
      </c>
      <c r="D207" s="8">
        <v>20.303999999999998</v>
      </c>
      <c r="E207" s="12">
        <f t="shared" si="73"/>
        <v>9.456264775413711</v>
      </c>
      <c r="F207" s="13">
        <v>3.76</v>
      </c>
      <c r="G207" s="14">
        <v>2.3149999999999998E-3</v>
      </c>
      <c r="H207" s="15">
        <f t="shared" si="74"/>
        <v>15.570092684038306</v>
      </c>
      <c r="I207" s="13">
        <v>4.5</v>
      </c>
      <c r="J207" s="13">
        <v>15.81</v>
      </c>
      <c r="K207" s="20">
        <f t="shared" si="72"/>
        <v>-2.5367865861656256</v>
      </c>
      <c r="M207" s="4">
        <f t="shared" si="75"/>
        <v>-21.657766055045872</v>
      </c>
    </row>
    <row r="208" spans="2:13" x14ac:dyDescent="0.3">
      <c r="B208" s="29" t="s">
        <v>12</v>
      </c>
      <c r="C208" s="10">
        <v>22.3</v>
      </c>
      <c r="D208" s="8">
        <v>20.303999999999998</v>
      </c>
      <c r="E208" s="12">
        <f t="shared" si="73"/>
        <v>10.983057525610718</v>
      </c>
      <c r="F208" s="13">
        <v>3.76</v>
      </c>
      <c r="G208" s="14">
        <v>2.3149999999999998E-3</v>
      </c>
      <c r="H208" s="15">
        <f t="shared" si="74"/>
        <v>18.08401389864866</v>
      </c>
      <c r="I208" s="13">
        <v>4.5</v>
      </c>
      <c r="J208" s="13">
        <v>18.62</v>
      </c>
      <c r="K208" s="20">
        <f t="shared" si="72"/>
        <v>-3.2439849066847786</v>
      </c>
      <c r="M208" s="4">
        <f t="shared" si="75"/>
        <v>-30.040646279306827</v>
      </c>
    </row>
    <row r="209" spans="2:13" x14ac:dyDescent="0.3">
      <c r="B209" s="31"/>
      <c r="C209" s="17"/>
      <c r="D209" s="18"/>
      <c r="E209" s="19"/>
      <c r="F209" s="17"/>
      <c r="G209" s="17"/>
      <c r="H209" s="18"/>
      <c r="I209" s="17"/>
      <c r="J209" s="17"/>
      <c r="K209" s="14"/>
    </row>
    <row r="210" spans="2:13" x14ac:dyDescent="0.3">
      <c r="B210" s="3" t="s">
        <v>45</v>
      </c>
      <c r="C210" s="3"/>
      <c r="D210" s="3"/>
      <c r="E210" s="3"/>
      <c r="F210" s="3"/>
      <c r="G210" s="3"/>
      <c r="H210" s="3"/>
      <c r="I210" s="3"/>
      <c r="J210" s="3"/>
      <c r="K210" s="3"/>
    </row>
    <row r="211" spans="2:13" ht="18" x14ac:dyDescent="0.3">
      <c r="B211" s="29"/>
      <c r="C211" s="7" t="s">
        <v>18</v>
      </c>
      <c r="D211" s="8" t="s">
        <v>19</v>
      </c>
      <c r="E211" s="9" t="s">
        <v>20</v>
      </c>
      <c r="F211" s="10" t="s">
        <v>21</v>
      </c>
      <c r="G211" s="10" t="s">
        <v>16</v>
      </c>
      <c r="H211" s="8" t="s">
        <v>0</v>
      </c>
      <c r="I211" s="10" t="s">
        <v>22</v>
      </c>
      <c r="J211" s="10" t="s">
        <v>23</v>
      </c>
      <c r="K211" s="11" t="s">
        <v>14</v>
      </c>
      <c r="M211" s="4" t="s">
        <v>24</v>
      </c>
    </row>
    <row r="212" spans="2:13" ht="16.8" x14ac:dyDescent="0.3">
      <c r="B212" s="29" t="s">
        <v>1</v>
      </c>
      <c r="C212" s="7"/>
      <c r="D212" s="8" t="s">
        <v>25</v>
      </c>
      <c r="E212" s="9" t="s">
        <v>2</v>
      </c>
      <c r="F212" s="10" t="s">
        <v>3</v>
      </c>
      <c r="G212" s="10" t="s">
        <v>4</v>
      </c>
      <c r="H212" s="8" t="s">
        <v>4</v>
      </c>
      <c r="I212" s="10" t="s">
        <v>5</v>
      </c>
      <c r="J212" s="10" t="s">
        <v>2</v>
      </c>
      <c r="K212" s="11" t="s">
        <v>4</v>
      </c>
      <c r="M212" s="4" t="s">
        <v>15</v>
      </c>
    </row>
    <row r="213" spans="2:13" x14ac:dyDescent="0.3">
      <c r="B213" s="29" t="s">
        <v>6</v>
      </c>
      <c r="C213" s="10">
        <v>3.2</v>
      </c>
      <c r="D213" s="8">
        <v>20.303999999999998</v>
      </c>
      <c r="E213" s="12">
        <f>(C213*10^-3)/(D213*10^-4)</f>
        <v>1.5760441292356187</v>
      </c>
      <c r="F213" s="13">
        <v>3.76</v>
      </c>
      <c r="G213" s="14">
        <v>1.5433333333333332E-3</v>
      </c>
      <c r="H213" s="15">
        <f>(E213)/((9.81*F213*10^-2))^(1/2)</f>
        <v>2.5950154473397178</v>
      </c>
      <c r="I213" s="13">
        <v>3</v>
      </c>
      <c r="J213" s="13">
        <v>0</v>
      </c>
      <c r="K213" s="20">
        <f t="shared" ref="K213:K219" si="76">(10.33+M213-0.234)/((E213^2)/19.62)</f>
        <v>79.746493837680006</v>
      </c>
      <c r="M213" s="4">
        <f>-(1.7*J213^2)/19.62</f>
        <v>0</v>
      </c>
    </row>
    <row r="214" spans="2:13" x14ac:dyDescent="0.3">
      <c r="B214" s="29" t="s">
        <v>7</v>
      </c>
      <c r="C214" s="10">
        <v>6.4</v>
      </c>
      <c r="D214" s="8">
        <v>20.303999999999998</v>
      </c>
      <c r="E214" s="12">
        <f t="shared" ref="E214:E219" si="77">(C214*10^-3)/(D214*10^-4)</f>
        <v>3.1520882584712373</v>
      </c>
      <c r="F214" s="13">
        <v>3.76</v>
      </c>
      <c r="G214" s="14">
        <v>1.5433333333333332E-3</v>
      </c>
      <c r="H214" s="15">
        <f t="shared" ref="H214:H219" si="78">(E214)/((9.81*F214*10^-2))^(1/2)</f>
        <v>5.1900308946794356</v>
      </c>
      <c r="I214" s="13">
        <v>4.5</v>
      </c>
      <c r="J214" s="13">
        <v>0.45</v>
      </c>
      <c r="K214" s="20">
        <f t="shared" si="76"/>
        <v>19.901975536029376</v>
      </c>
      <c r="M214" s="4">
        <f t="shared" ref="M214:M219" si="79">-(1.7*J214^2)/19.62</f>
        <v>-1.7545871559633025E-2</v>
      </c>
    </row>
    <row r="215" spans="2:13" x14ac:dyDescent="0.3">
      <c r="B215" s="29" t="s">
        <v>8</v>
      </c>
      <c r="C215" s="10">
        <v>9.6</v>
      </c>
      <c r="D215" s="8">
        <v>20.303999999999998</v>
      </c>
      <c r="E215" s="12">
        <f t="shared" si="77"/>
        <v>4.7281323877068555</v>
      </c>
      <c r="F215" s="13">
        <v>3.76</v>
      </c>
      <c r="G215" s="14">
        <v>1.5433333333333332E-3</v>
      </c>
      <c r="H215" s="15">
        <f t="shared" si="78"/>
        <v>7.7850463420191529</v>
      </c>
      <c r="I215" s="13">
        <v>4.5</v>
      </c>
      <c r="J215" s="13">
        <v>2.23</v>
      </c>
      <c r="K215" s="20">
        <f t="shared" si="76"/>
        <v>8.4825582272775026</v>
      </c>
      <c r="M215" s="4">
        <f t="shared" si="79"/>
        <v>-0.43088328236493373</v>
      </c>
    </row>
    <row r="216" spans="2:13" x14ac:dyDescent="0.3">
      <c r="B216" s="29" t="s">
        <v>9</v>
      </c>
      <c r="C216" s="10">
        <v>12.8</v>
      </c>
      <c r="D216" s="8">
        <v>20.303999999999998</v>
      </c>
      <c r="E216" s="12">
        <f t="shared" si="77"/>
        <v>6.3041765169424746</v>
      </c>
      <c r="F216" s="13">
        <v>3.76</v>
      </c>
      <c r="G216" s="14">
        <v>1.5433333333333332E-3</v>
      </c>
      <c r="H216" s="15">
        <f t="shared" si="78"/>
        <v>10.380061789358871</v>
      </c>
      <c r="I216" s="13">
        <v>4.5</v>
      </c>
      <c r="J216" s="13">
        <v>5.37</v>
      </c>
      <c r="K216" s="20">
        <f t="shared" si="76"/>
        <v>3.7506512944560941</v>
      </c>
      <c r="M216" s="4">
        <f t="shared" si="79"/>
        <v>-2.4986100917431191</v>
      </c>
    </row>
    <row r="217" spans="2:13" x14ac:dyDescent="0.3">
      <c r="B217" s="29" t="s">
        <v>10</v>
      </c>
      <c r="C217" s="10">
        <v>16</v>
      </c>
      <c r="D217" s="8">
        <v>20.303999999999998</v>
      </c>
      <c r="E217" s="12">
        <f t="shared" si="77"/>
        <v>7.8802206461780937</v>
      </c>
      <c r="F217" s="13">
        <v>3.76</v>
      </c>
      <c r="G217" s="14">
        <v>1.5433333333333332E-3</v>
      </c>
      <c r="H217" s="15">
        <f t="shared" si="78"/>
        <v>12.97507723669859</v>
      </c>
      <c r="I217" s="13">
        <v>4.5</v>
      </c>
      <c r="J217" s="13">
        <v>6.96</v>
      </c>
      <c r="K217" s="20">
        <f t="shared" si="76"/>
        <v>1.8637158754080001</v>
      </c>
      <c r="M217" s="4">
        <f t="shared" si="79"/>
        <v>-4.1972844036697241</v>
      </c>
    </row>
    <row r="218" spans="2:13" x14ac:dyDescent="0.3">
      <c r="B218" s="29" t="s">
        <v>11</v>
      </c>
      <c r="C218" s="10">
        <v>19.2</v>
      </c>
      <c r="D218" s="8">
        <v>20.303999999999998</v>
      </c>
      <c r="E218" s="12">
        <f t="shared" si="77"/>
        <v>9.456264775413711</v>
      </c>
      <c r="F218" s="13">
        <v>3.76</v>
      </c>
      <c r="G218" s="14">
        <v>1.5433333333333332E-3</v>
      </c>
      <c r="H218" s="15">
        <f t="shared" si="78"/>
        <v>15.570092684038306</v>
      </c>
      <c r="I218" s="13">
        <v>4.5</v>
      </c>
      <c r="J218" s="13">
        <v>9.08</v>
      </c>
      <c r="K218" s="20">
        <f t="shared" si="76"/>
        <v>0.64777486941000051</v>
      </c>
      <c r="M218" s="4">
        <f t="shared" si="79"/>
        <v>-7.1436738022426081</v>
      </c>
    </row>
    <row r="219" spans="2:13" x14ac:dyDescent="0.3">
      <c r="B219" s="29" t="s">
        <v>12</v>
      </c>
      <c r="C219" s="10">
        <v>22.3</v>
      </c>
      <c r="D219" s="8">
        <v>20.303999999999998</v>
      </c>
      <c r="E219" s="12">
        <f t="shared" si="77"/>
        <v>10.983057525610718</v>
      </c>
      <c r="F219" s="13">
        <v>3.76</v>
      </c>
      <c r="G219" s="14">
        <v>1.5433333333333332E-3</v>
      </c>
      <c r="H219" s="15">
        <f t="shared" si="78"/>
        <v>18.08401389864866</v>
      </c>
      <c r="I219" s="13">
        <v>4.5</v>
      </c>
      <c r="J219" s="13">
        <v>11.39</v>
      </c>
      <c r="K219" s="20">
        <f t="shared" si="76"/>
        <v>-0.18620165554096771</v>
      </c>
      <c r="M219" s="4">
        <f t="shared" si="79"/>
        <v>-11.240803771661568</v>
      </c>
    </row>
    <row r="220" spans="2:13" x14ac:dyDescent="0.3">
      <c r="B220" s="30"/>
      <c r="C220" s="17"/>
      <c r="D220" s="18"/>
      <c r="E220" s="19"/>
      <c r="F220" s="17"/>
      <c r="G220" s="17"/>
      <c r="H220" s="18"/>
      <c r="I220" s="17"/>
      <c r="J220" s="17"/>
      <c r="K220" s="14"/>
    </row>
    <row r="221" spans="2:13" x14ac:dyDescent="0.3">
      <c r="B221" s="3" t="s">
        <v>46</v>
      </c>
      <c r="C221" s="3"/>
      <c r="D221" s="3"/>
      <c r="E221" s="3"/>
      <c r="F221" s="3"/>
      <c r="G221" s="3"/>
      <c r="H221" s="3"/>
      <c r="I221" s="3"/>
      <c r="J221" s="3"/>
      <c r="K221" s="3"/>
    </row>
    <row r="222" spans="2:13" ht="18" x14ac:dyDescent="0.3">
      <c r="B222" s="29"/>
      <c r="C222" s="7" t="s">
        <v>18</v>
      </c>
      <c r="D222" s="8" t="s">
        <v>19</v>
      </c>
      <c r="E222" s="9" t="s">
        <v>20</v>
      </c>
      <c r="F222" s="10" t="s">
        <v>21</v>
      </c>
      <c r="G222" s="10" t="s">
        <v>16</v>
      </c>
      <c r="H222" s="8" t="s">
        <v>0</v>
      </c>
      <c r="I222" s="10" t="s">
        <v>22</v>
      </c>
      <c r="J222" s="10" t="s">
        <v>23</v>
      </c>
      <c r="K222" s="11" t="s">
        <v>14</v>
      </c>
      <c r="M222" s="4" t="s">
        <v>24</v>
      </c>
    </row>
    <row r="223" spans="2:13" ht="16.8" x14ac:dyDescent="0.3">
      <c r="B223" s="29" t="s">
        <v>1</v>
      </c>
      <c r="C223" s="7"/>
      <c r="D223" s="8" t="s">
        <v>25</v>
      </c>
      <c r="E223" s="9" t="s">
        <v>2</v>
      </c>
      <c r="F223" s="10" t="s">
        <v>3</v>
      </c>
      <c r="G223" s="10" t="s">
        <v>4</v>
      </c>
      <c r="H223" s="8" t="s">
        <v>4</v>
      </c>
      <c r="I223" s="10" t="s">
        <v>5</v>
      </c>
      <c r="J223" s="10" t="s">
        <v>2</v>
      </c>
      <c r="K223" s="11" t="s">
        <v>4</v>
      </c>
      <c r="M223" s="4" t="s">
        <v>15</v>
      </c>
    </row>
    <row r="224" spans="2:13" x14ac:dyDescent="0.3">
      <c r="B224" s="29" t="s">
        <v>6</v>
      </c>
      <c r="C224" s="10">
        <v>4.2</v>
      </c>
      <c r="D224" s="8">
        <v>30.456</v>
      </c>
      <c r="E224" s="12">
        <f>(C224*10^-3)/(D224*10^-4)</f>
        <v>1.3790386130811663</v>
      </c>
      <c r="F224" s="13">
        <v>5.64</v>
      </c>
      <c r="G224" s="14">
        <v>1.3789999999999998E-2</v>
      </c>
      <c r="H224" s="15">
        <f>(E224)/((9.81*F224*10^-2))^(1/2)</f>
        <v>1.8539685851815737</v>
      </c>
      <c r="I224" s="13">
        <v>3</v>
      </c>
      <c r="J224" s="13">
        <v>0</v>
      </c>
      <c r="K224" s="20">
        <f t="shared" ref="K224:K230" si="80">(10.33+M224-0.234)/((E224^2)/19.62)</f>
        <v>104.15868582880654</v>
      </c>
      <c r="M224" s="4">
        <f>-(1.7*J224^2)/19.62</f>
        <v>0</v>
      </c>
    </row>
    <row r="225" spans="2:13" x14ac:dyDescent="0.3">
      <c r="B225" s="29" t="s">
        <v>7</v>
      </c>
      <c r="C225" s="10">
        <v>8.4</v>
      </c>
      <c r="D225" s="8">
        <v>30.456</v>
      </c>
      <c r="E225" s="12">
        <f t="shared" ref="E225:E230" si="81">(C225*10^-3)/(D225*10^-4)</f>
        <v>2.7580772261623325</v>
      </c>
      <c r="F225" s="13">
        <v>5.64</v>
      </c>
      <c r="G225" s="14">
        <v>1.3789999999999998E-2</v>
      </c>
      <c r="H225" s="15">
        <f t="shared" ref="H225:H230" si="82">(E225)/((9.81*F225*10^-2))^(1/2)</f>
        <v>3.7079371703631474</v>
      </c>
      <c r="I225" s="13">
        <v>4.5</v>
      </c>
      <c r="J225" s="13">
        <v>0</v>
      </c>
      <c r="K225" s="20">
        <f t="shared" si="80"/>
        <v>26.039671457201635</v>
      </c>
      <c r="M225" s="4">
        <f t="shared" ref="M225:M230" si="83">-(1.7*J225^2)/19.62</f>
        <v>0</v>
      </c>
    </row>
    <row r="226" spans="2:13" x14ac:dyDescent="0.3">
      <c r="B226" s="29" t="s">
        <v>8</v>
      </c>
      <c r="C226" s="10">
        <v>12.6</v>
      </c>
      <c r="D226" s="8">
        <v>30.456</v>
      </c>
      <c r="E226" s="12">
        <f t="shared" si="81"/>
        <v>4.1371158392434983</v>
      </c>
      <c r="F226" s="13">
        <v>5.64</v>
      </c>
      <c r="G226" s="14">
        <v>1.3789999999999998E-2</v>
      </c>
      <c r="H226" s="15">
        <f t="shared" si="82"/>
        <v>5.5619057555447204</v>
      </c>
      <c r="I226" s="13">
        <v>4.5</v>
      </c>
      <c r="J226" s="13">
        <v>0.52</v>
      </c>
      <c r="K226" s="20">
        <f t="shared" si="80"/>
        <v>11.546330144444084</v>
      </c>
      <c r="M226" s="4">
        <f t="shared" si="83"/>
        <v>-2.3429153924566768E-2</v>
      </c>
    </row>
    <row r="227" spans="2:13" x14ac:dyDescent="0.3">
      <c r="B227" s="29" t="s">
        <v>9</v>
      </c>
      <c r="C227" s="10">
        <v>16.8</v>
      </c>
      <c r="D227" s="8">
        <v>30.456</v>
      </c>
      <c r="E227" s="12">
        <f t="shared" si="81"/>
        <v>5.5161544523246651</v>
      </c>
      <c r="F227" s="13">
        <v>5.64</v>
      </c>
      <c r="G227" s="14">
        <v>1.3789999999999998E-2</v>
      </c>
      <c r="H227" s="15">
        <f t="shared" si="82"/>
        <v>7.4158743407262948</v>
      </c>
      <c r="I227" s="13">
        <v>4.5</v>
      </c>
      <c r="J227" s="13">
        <v>3.03</v>
      </c>
      <c r="K227" s="20">
        <f t="shared" si="80"/>
        <v>5.9969840353548989</v>
      </c>
      <c r="M227" s="4">
        <f t="shared" si="83"/>
        <v>-0.79549082568807328</v>
      </c>
    </row>
    <row r="228" spans="2:13" x14ac:dyDescent="0.3">
      <c r="B228" s="29" t="s">
        <v>10</v>
      </c>
      <c r="C228" s="10">
        <v>21</v>
      </c>
      <c r="D228" s="8">
        <v>30.456</v>
      </c>
      <c r="E228" s="12">
        <f t="shared" si="81"/>
        <v>6.8951930654058309</v>
      </c>
      <c r="F228" s="13">
        <v>5.64</v>
      </c>
      <c r="G228" s="14">
        <v>1.3789999999999998E-2</v>
      </c>
      <c r="H228" s="15">
        <f t="shared" si="82"/>
        <v>9.2698429259078683</v>
      </c>
      <c r="I228" s="13">
        <v>4.5</v>
      </c>
      <c r="J228" s="13">
        <v>6.4</v>
      </c>
      <c r="K228" s="20">
        <f t="shared" si="80"/>
        <v>2.7017576254526694</v>
      </c>
      <c r="M228" s="4">
        <f t="shared" si="83"/>
        <v>-3.5490316004077473</v>
      </c>
    </row>
    <row r="229" spans="2:13" x14ac:dyDescent="0.3">
      <c r="B229" s="29" t="s">
        <v>11</v>
      </c>
      <c r="C229" s="10">
        <v>25.2</v>
      </c>
      <c r="D229" s="8">
        <v>30.456</v>
      </c>
      <c r="E229" s="12">
        <f t="shared" si="81"/>
        <v>8.2742316784869967</v>
      </c>
      <c r="F229" s="13">
        <v>5.64</v>
      </c>
      <c r="G229" s="14">
        <v>1.3789999999999998E-2</v>
      </c>
      <c r="H229" s="15">
        <f t="shared" si="82"/>
        <v>11.123811511089441</v>
      </c>
      <c r="I229" s="13">
        <v>4.5</v>
      </c>
      <c r="J229" s="13">
        <v>9</v>
      </c>
      <c r="K229" s="20">
        <f t="shared" si="80"/>
        <v>0.88198880408816371</v>
      </c>
      <c r="M229" s="4">
        <f t="shared" si="83"/>
        <v>-7.0183486238532105</v>
      </c>
    </row>
    <row r="230" spans="2:13" x14ac:dyDescent="0.3">
      <c r="B230" s="29" t="s">
        <v>12</v>
      </c>
      <c r="C230" s="10">
        <v>29.5</v>
      </c>
      <c r="D230" s="8">
        <v>30.456</v>
      </c>
      <c r="E230" s="12">
        <f t="shared" si="81"/>
        <v>9.6861045442605729</v>
      </c>
      <c r="F230" s="13">
        <v>5.64</v>
      </c>
      <c r="G230" s="14">
        <v>1.3789999999999998E-2</v>
      </c>
      <c r="H230" s="15">
        <f t="shared" si="82"/>
        <v>13.021922205442007</v>
      </c>
      <c r="I230" s="13">
        <v>4.5</v>
      </c>
      <c r="J230" s="13">
        <v>12.79</v>
      </c>
      <c r="K230" s="20">
        <f t="shared" si="80"/>
        <v>-0.85279173107722117</v>
      </c>
      <c r="M230" s="4">
        <f t="shared" si="83"/>
        <v>-14.17395361875637</v>
      </c>
    </row>
    <row r="231" spans="2:13" x14ac:dyDescent="0.3">
      <c r="B231" s="30"/>
      <c r="C231" s="17"/>
      <c r="D231" s="18"/>
      <c r="E231" s="19"/>
      <c r="F231" s="17"/>
      <c r="G231" s="17"/>
      <c r="H231" s="18"/>
      <c r="I231" s="17"/>
      <c r="J231" s="17"/>
      <c r="K231" s="14"/>
    </row>
    <row r="232" spans="2:13" x14ac:dyDescent="0.3">
      <c r="B232" s="3" t="s">
        <v>47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2:13" ht="18" x14ac:dyDescent="0.3">
      <c r="B233" s="29"/>
      <c r="C233" s="7" t="s">
        <v>18</v>
      </c>
      <c r="D233" s="8" t="s">
        <v>19</v>
      </c>
      <c r="E233" s="9" t="s">
        <v>20</v>
      </c>
      <c r="F233" s="10" t="s">
        <v>21</v>
      </c>
      <c r="G233" s="10" t="s">
        <v>16</v>
      </c>
      <c r="H233" s="8" t="s">
        <v>0</v>
      </c>
      <c r="I233" s="10" t="s">
        <v>22</v>
      </c>
      <c r="J233" s="10" t="s">
        <v>23</v>
      </c>
      <c r="K233" s="11" t="s">
        <v>14</v>
      </c>
      <c r="M233" s="4" t="s">
        <v>24</v>
      </c>
    </row>
    <row r="234" spans="2:13" ht="16.8" x14ac:dyDescent="0.3">
      <c r="B234" s="29" t="s">
        <v>1</v>
      </c>
      <c r="C234" s="7"/>
      <c r="D234" s="8" t="s">
        <v>25</v>
      </c>
      <c r="E234" s="9" t="s">
        <v>2</v>
      </c>
      <c r="F234" s="10" t="s">
        <v>3</v>
      </c>
      <c r="G234" s="10" t="s">
        <v>4</v>
      </c>
      <c r="H234" s="8" t="s">
        <v>4</v>
      </c>
      <c r="I234" s="10" t="s">
        <v>5</v>
      </c>
      <c r="J234" s="10" t="s">
        <v>2</v>
      </c>
      <c r="K234" s="11" t="s">
        <v>4</v>
      </c>
      <c r="M234" s="4" t="s">
        <v>15</v>
      </c>
    </row>
    <row r="235" spans="2:13" x14ac:dyDescent="0.3">
      <c r="B235" s="29" t="s">
        <v>6</v>
      </c>
      <c r="C235" s="10">
        <v>4.2</v>
      </c>
      <c r="D235" s="8">
        <v>30.456</v>
      </c>
      <c r="E235" s="12">
        <f>(C235*10^-3)/(D235*10^-4)</f>
        <v>1.3790386130811663</v>
      </c>
      <c r="F235" s="13">
        <v>5.64</v>
      </c>
      <c r="G235" s="14">
        <v>6.8949999999999992E-3</v>
      </c>
      <c r="H235" s="15">
        <f>(E235)/((9.81*F235*10^-2))^(1/2)</f>
        <v>1.8539685851815737</v>
      </c>
      <c r="I235" s="13">
        <v>3</v>
      </c>
      <c r="J235" s="13">
        <v>0</v>
      </c>
      <c r="K235" s="20">
        <f t="shared" ref="K235:K241" si="84">(10.33+M235-0.234)/((E235^2)/19.62)</f>
        <v>104.15868582880654</v>
      </c>
      <c r="M235" s="4">
        <f>-(1.7*J235^2)/19.62</f>
        <v>0</v>
      </c>
    </row>
    <row r="236" spans="2:13" x14ac:dyDescent="0.3">
      <c r="B236" s="29" t="s">
        <v>7</v>
      </c>
      <c r="C236" s="10">
        <v>8.4</v>
      </c>
      <c r="D236" s="8">
        <v>30.456</v>
      </c>
      <c r="E236" s="12">
        <f t="shared" ref="E236:E241" si="85">(C236*10^-3)/(D236*10^-4)</f>
        <v>2.7580772261623325</v>
      </c>
      <c r="F236" s="13">
        <v>5.64</v>
      </c>
      <c r="G236" s="14">
        <v>6.8949999999999992E-3</v>
      </c>
      <c r="H236" s="15">
        <f t="shared" ref="H236:H241" si="86">(E236)/((9.81*F236*10^-2))^(1/2)</f>
        <v>3.7079371703631474</v>
      </c>
      <c r="I236" s="13">
        <v>4.5</v>
      </c>
      <c r="J236" s="13">
        <v>0</v>
      </c>
      <c r="K236" s="20">
        <f t="shared" si="84"/>
        <v>26.039671457201635</v>
      </c>
      <c r="M236" s="4">
        <f t="shared" ref="M236:M241" si="87">-(1.7*J236^2)/19.62</f>
        <v>0</v>
      </c>
    </row>
    <row r="237" spans="2:13" x14ac:dyDescent="0.3">
      <c r="B237" s="29" t="s">
        <v>8</v>
      </c>
      <c r="C237" s="10">
        <v>12.6</v>
      </c>
      <c r="D237" s="8">
        <v>30.456</v>
      </c>
      <c r="E237" s="12">
        <f t="shared" si="85"/>
        <v>4.1371158392434983</v>
      </c>
      <c r="F237" s="13">
        <v>5.64</v>
      </c>
      <c r="G237" s="14">
        <v>6.8949999999999992E-3</v>
      </c>
      <c r="H237" s="15">
        <f t="shared" si="86"/>
        <v>5.5619057555447204</v>
      </c>
      <c r="I237" s="13">
        <v>4.5</v>
      </c>
      <c r="J237" s="13">
        <v>2.44</v>
      </c>
      <c r="K237" s="20">
        <f t="shared" si="84"/>
        <v>10.981852822726534</v>
      </c>
      <c r="M237" s="4">
        <f t="shared" si="87"/>
        <v>-0.51585728848114165</v>
      </c>
    </row>
    <row r="238" spans="2:13" x14ac:dyDescent="0.3">
      <c r="B238" s="29" t="s">
        <v>9</v>
      </c>
      <c r="C238" s="10">
        <v>16.8</v>
      </c>
      <c r="D238" s="8">
        <v>30.456</v>
      </c>
      <c r="E238" s="12">
        <f t="shared" si="85"/>
        <v>5.5161544523246651</v>
      </c>
      <c r="F238" s="13">
        <v>5.64</v>
      </c>
      <c r="G238" s="14">
        <v>6.8949999999999992E-3</v>
      </c>
      <c r="H238" s="15">
        <f t="shared" si="86"/>
        <v>7.4158743407262948</v>
      </c>
      <c r="I238" s="13">
        <v>4.5</v>
      </c>
      <c r="J238" s="13">
        <v>4.8899999999999997</v>
      </c>
      <c r="K238" s="20">
        <f t="shared" si="84"/>
        <v>5.1739567917336746</v>
      </c>
      <c r="M238" s="4">
        <f t="shared" si="87"/>
        <v>-2.0718944954128431</v>
      </c>
    </row>
    <row r="239" spans="2:13" x14ac:dyDescent="0.3">
      <c r="B239" s="29" t="s">
        <v>10</v>
      </c>
      <c r="C239" s="10">
        <v>21</v>
      </c>
      <c r="D239" s="8">
        <v>30.456</v>
      </c>
      <c r="E239" s="12">
        <f t="shared" si="85"/>
        <v>6.8951930654058309</v>
      </c>
      <c r="F239" s="13">
        <v>5.64</v>
      </c>
      <c r="G239" s="14">
        <v>6.8949999999999992E-3</v>
      </c>
      <c r="H239" s="15">
        <f t="shared" si="86"/>
        <v>9.2698429259078683</v>
      </c>
      <c r="I239" s="13">
        <v>4.5</v>
      </c>
      <c r="J239" s="13">
        <v>9.18</v>
      </c>
      <c r="K239" s="20">
        <f t="shared" si="84"/>
        <v>1.1530540222542378</v>
      </c>
      <c r="M239" s="4">
        <f t="shared" si="87"/>
        <v>-7.3018899082568787</v>
      </c>
    </row>
    <row r="240" spans="2:13" x14ac:dyDescent="0.3">
      <c r="B240" s="29" t="s">
        <v>11</v>
      </c>
      <c r="C240" s="10">
        <v>25.2</v>
      </c>
      <c r="D240" s="8">
        <v>30.456</v>
      </c>
      <c r="E240" s="12">
        <f t="shared" si="85"/>
        <v>8.2742316784869967</v>
      </c>
      <c r="F240" s="13">
        <v>5.64</v>
      </c>
      <c r="G240" s="14">
        <v>6.8949999999999992E-3</v>
      </c>
      <c r="H240" s="15">
        <f t="shared" si="86"/>
        <v>11.123811511089441</v>
      </c>
      <c r="I240" s="13">
        <v>4.5</v>
      </c>
      <c r="J240" s="13">
        <v>11.12</v>
      </c>
      <c r="K240" s="20">
        <f t="shared" si="84"/>
        <v>-0.17716103541550965</v>
      </c>
      <c r="M240" s="4">
        <f t="shared" si="87"/>
        <v>-10.714193679918449</v>
      </c>
    </row>
    <row r="241" spans="2:13" x14ac:dyDescent="0.3">
      <c r="B241" s="29" t="s">
        <v>12</v>
      </c>
      <c r="C241" s="10">
        <v>29.5</v>
      </c>
      <c r="D241" s="8">
        <v>30.456</v>
      </c>
      <c r="E241" s="12">
        <f t="shared" si="85"/>
        <v>9.6861045442605729</v>
      </c>
      <c r="F241" s="13">
        <v>5.64</v>
      </c>
      <c r="G241" s="14">
        <v>6.8949999999999992E-3</v>
      </c>
      <c r="H241" s="15">
        <f t="shared" si="86"/>
        <v>13.021922205442007</v>
      </c>
      <c r="I241" s="13">
        <v>4.5</v>
      </c>
      <c r="J241" s="13">
        <v>14.27</v>
      </c>
      <c r="K241" s="20">
        <f t="shared" si="84"/>
        <v>-1.5784633275606514</v>
      </c>
      <c r="M241" s="4">
        <f t="shared" si="87"/>
        <v>-17.644033129459732</v>
      </c>
    </row>
    <row r="242" spans="2:13" x14ac:dyDescent="0.3">
      <c r="B242" s="31"/>
      <c r="C242" s="17"/>
      <c r="D242" s="18"/>
      <c r="E242" s="19"/>
      <c r="F242" s="17"/>
      <c r="G242" s="17"/>
      <c r="H242" s="18"/>
      <c r="I242" s="17"/>
      <c r="J242" s="17"/>
      <c r="K242" s="14"/>
    </row>
    <row r="243" spans="2:13" x14ac:dyDescent="0.3">
      <c r="B243" s="3" t="s">
        <v>48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2:13" ht="18" x14ac:dyDescent="0.3">
      <c r="B244" s="29"/>
      <c r="C244" s="7" t="s">
        <v>18</v>
      </c>
      <c r="D244" s="8" t="s">
        <v>19</v>
      </c>
      <c r="E244" s="9" t="s">
        <v>20</v>
      </c>
      <c r="F244" s="10" t="s">
        <v>21</v>
      </c>
      <c r="G244" s="10" t="s">
        <v>16</v>
      </c>
      <c r="H244" s="8" t="s">
        <v>0</v>
      </c>
      <c r="I244" s="10" t="s">
        <v>22</v>
      </c>
      <c r="J244" s="10" t="s">
        <v>23</v>
      </c>
      <c r="K244" s="11" t="s">
        <v>14</v>
      </c>
      <c r="M244" s="4" t="s">
        <v>24</v>
      </c>
    </row>
    <row r="245" spans="2:13" ht="16.8" x14ac:dyDescent="0.3">
      <c r="B245" s="29" t="s">
        <v>1</v>
      </c>
      <c r="C245" s="7"/>
      <c r="D245" s="8" t="s">
        <v>25</v>
      </c>
      <c r="E245" s="9" t="s">
        <v>2</v>
      </c>
      <c r="F245" s="10" t="s">
        <v>3</v>
      </c>
      <c r="G245" s="10" t="s">
        <v>4</v>
      </c>
      <c r="H245" s="8" t="s">
        <v>4</v>
      </c>
      <c r="I245" s="10" t="s">
        <v>5</v>
      </c>
      <c r="J245" s="10" t="s">
        <v>2</v>
      </c>
      <c r="K245" s="11" t="s">
        <v>4</v>
      </c>
      <c r="M245" s="4" t="s">
        <v>15</v>
      </c>
    </row>
    <row r="246" spans="2:13" x14ac:dyDescent="0.3">
      <c r="B246" s="29" t="s">
        <v>6</v>
      </c>
      <c r="C246" s="10">
        <v>4.2</v>
      </c>
      <c r="D246" s="8">
        <v>30.456</v>
      </c>
      <c r="E246" s="12">
        <f>(C246*10^-3)/(D246*10^-4)</f>
        <v>1.3790386130811663</v>
      </c>
      <c r="F246" s="13">
        <v>5.64</v>
      </c>
      <c r="G246" s="14">
        <v>3.4474999999999996E-3</v>
      </c>
      <c r="H246" s="15">
        <f>(E246)/((9.81*F246*10^-2))^(1/2)</f>
        <v>1.8539685851815737</v>
      </c>
      <c r="I246" s="13">
        <v>3</v>
      </c>
      <c r="J246" s="13">
        <v>0</v>
      </c>
      <c r="K246" s="20">
        <f t="shared" ref="K246:K252" si="88">(10.33+M246-0.234)/((E246^2)/19.62)</f>
        <v>104.15868582880654</v>
      </c>
      <c r="M246" s="4">
        <f>-(1.7*J246^2)/19.62</f>
        <v>0</v>
      </c>
    </row>
    <row r="247" spans="2:13" x14ac:dyDescent="0.3">
      <c r="B247" s="29" t="s">
        <v>7</v>
      </c>
      <c r="C247" s="10">
        <v>8.4</v>
      </c>
      <c r="D247" s="8">
        <v>30.456</v>
      </c>
      <c r="E247" s="12">
        <f t="shared" ref="E247:E252" si="89">(C247*10^-3)/(D247*10^-4)</f>
        <v>2.7580772261623325</v>
      </c>
      <c r="F247" s="13">
        <v>5.64</v>
      </c>
      <c r="G247" s="14">
        <v>3.4474999999999996E-3</v>
      </c>
      <c r="H247" s="15">
        <f t="shared" ref="H247:H252" si="90">(E247)/((9.81*F247*10^-2))^(1/2)</f>
        <v>3.7079371703631474</v>
      </c>
      <c r="I247" s="13">
        <v>3</v>
      </c>
      <c r="J247" s="13">
        <v>0</v>
      </c>
      <c r="K247" s="20">
        <f t="shared" si="88"/>
        <v>26.039671457201635</v>
      </c>
      <c r="M247" s="4">
        <f t="shared" ref="M247:M252" si="91">-(1.7*J247^2)/19.62</f>
        <v>0</v>
      </c>
    </row>
    <row r="248" spans="2:13" x14ac:dyDescent="0.3">
      <c r="B248" s="29" t="s">
        <v>8</v>
      </c>
      <c r="C248" s="10">
        <v>12.6</v>
      </c>
      <c r="D248" s="8">
        <v>30.456</v>
      </c>
      <c r="E248" s="12">
        <f t="shared" si="89"/>
        <v>4.1371158392434983</v>
      </c>
      <c r="F248" s="13">
        <v>5.64</v>
      </c>
      <c r="G248" s="14">
        <v>3.4474999999999996E-3</v>
      </c>
      <c r="H248" s="15">
        <f t="shared" si="90"/>
        <v>5.5619057555447204</v>
      </c>
      <c r="I248" s="13">
        <v>4.5</v>
      </c>
      <c r="J248" s="13">
        <v>1.56</v>
      </c>
      <c r="K248" s="20">
        <f t="shared" si="88"/>
        <v>11.331472785502044</v>
      </c>
      <c r="M248" s="4">
        <f t="shared" si="91"/>
        <v>-0.21086238532110094</v>
      </c>
    </row>
    <row r="249" spans="2:13" x14ac:dyDescent="0.3">
      <c r="B249" s="29" t="s">
        <v>9</v>
      </c>
      <c r="C249" s="10">
        <v>16.8</v>
      </c>
      <c r="D249" s="8">
        <v>30.456</v>
      </c>
      <c r="E249" s="12">
        <f t="shared" si="89"/>
        <v>5.5161544523246651</v>
      </c>
      <c r="F249" s="13">
        <v>5.64</v>
      </c>
      <c r="G249" s="14">
        <v>3.4474999999999996E-3</v>
      </c>
      <c r="H249" s="15">
        <f t="shared" si="90"/>
        <v>7.4158743407262948</v>
      </c>
      <c r="I249" s="13">
        <v>4.5</v>
      </c>
      <c r="J249" s="13">
        <v>4.49</v>
      </c>
      <c r="K249" s="20">
        <f t="shared" si="88"/>
        <v>5.3835797836193882</v>
      </c>
      <c r="M249" s="4">
        <f t="shared" si="91"/>
        <v>-1.7467976554536189</v>
      </c>
    </row>
    <row r="250" spans="2:13" x14ac:dyDescent="0.3">
      <c r="B250" s="29" t="s">
        <v>10</v>
      </c>
      <c r="C250" s="10">
        <v>21</v>
      </c>
      <c r="D250" s="8">
        <v>30.456</v>
      </c>
      <c r="E250" s="12">
        <f t="shared" si="89"/>
        <v>6.8951930654058309</v>
      </c>
      <c r="F250" s="13">
        <v>5.64</v>
      </c>
      <c r="G250" s="14">
        <v>3.4474999999999996E-3</v>
      </c>
      <c r="H250" s="15">
        <f t="shared" si="90"/>
        <v>9.2698429259078683</v>
      </c>
      <c r="I250" s="13">
        <v>4.5</v>
      </c>
      <c r="J250" s="13">
        <v>6.73</v>
      </c>
      <c r="K250" s="20">
        <f t="shared" si="88"/>
        <v>2.5468279091982371</v>
      </c>
      <c r="M250" s="4">
        <f t="shared" si="91"/>
        <v>-3.9244612640163097</v>
      </c>
    </row>
    <row r="251" spans="2:13" x14ac:dyDescent="0.3">
      <c r="B251" s="29" t="s">
        <v>11</v>
      </c>
      <c r="C251" s="10">
        <v>25.2</v>
      </c>
      <c r="D251" s="8">
        <v>30.456</v>
      </c>
      <c r="E251" s="12">
        <f t="shared" si="89"/>
        <v>8.2742316784869967</v>
      </c>
      <c r="F251" s="13">
        <v>5.64</v>
      </c>
      <c r="G251" s="14">
        <v>3.4474999999999996E-3</v>
      </c>
      <c r="H251" s="15">
        <f t="shared" si="90"/>
        <v>11.123811511089441</v>
      </c>
      <c r="I251" s="13">
        <v>4.5</v>
      </c>
      <c r="J251" s="13">
        <v>7.18</v>
      </c>
      <c r="K251" s="20">
        <f t="shared" si="88"/>
        <v>1.6132010779395924</v>
      </c>
      <c r="M251" s="4">
        <f t="shared" si="91"/>
        <v>-4.4668236493374103</v>
      </c>
    </row>
    <row r="252" spans="2:13" x14ac:dyDescent="0.3">
      <c r="B252" s="29" t="s">
        <v>12</v>
      </c>
      <c r="C252" s="10">
        <v>29.5</v>
      </c>
      <c r="D252" s="8">
        <v>30.456</v>
      </c>
      <c r="E252" s="12">
        <f t="shared" si="89"/>
        <v>9.6861045442605729</v>
      </c>
      <c r="F252" s="13">
        <v>5.64</v>
      </c>
      <c r="G252" s="14">
        <v>3.4474999999999996E-3</v>
      </c>
      <c r="H252" s="15">
        <f t="shared" si="90"/>
        <v>13.021922205442007</v>
      </c>
      <c r="I252" s="13">
        <v>4.5</v>
      </c>
      <c r="J252" s="13">
        <v>8.82</v>
      </c>
      <c r="K252" s="20">
        <f t="shared" si="88"/>
        <v>0.70172675397170747</v>
      </c>
      <c r="M252" s="4">
        <f t="shared" si="91"/>
        <v>-6.7404220183486236</v>
      </c>
    </row>
    <row r="253" spans="2:13" x14ac:dyDescent="0.3">
      <c r="B253" s="31"/>
      <c r="C253" s="17"/>
      <c r="D253" s="18"/>
      <c r="E253" s="19"/>
      <c r="F253" s="17"/>
      <c r="G253" s="17"/>
      <c r="H253" s="18"/>
      <c r="I253" s="17"/>
      <c r="J253" s="17"/>
      <c r="K253" s="14"/>
    </row>
    <row r="254" spans="2:13" x14ac:dyDescent="0.3">
      <c r="B254" s="3" t="s">
        <v>49</v>
      </c>
      <c r="C254" s="3"/>
      <c r="D254" s="3"/>
      <c r="E254" s="3"/>
      <c r="F254" s="3"/>
      <c r="G254" s="3"/>
      <c r="H254" s="3"/>
      <c r="I254" s="3"/>
      <c r="J254" s="3"/>
      <c r="K254" s="3"/>
    </row>
    <row r="255" spans="2:13" ht="18" x14ac:dyDescent="0.3">
      <c r="B255" s="29"/>
      <c r="C255" s="7" t="s">
        <v>18</v>
      </c>
      <c r="D255" s="8" t="s">
        <v>19</v>
      </c>
      <c r="E255" s="9" t="s">
        <v>20</v>
      </c>
      <c r="F255" s="10" t="s">
        <v>21</v>
      </c>
      <c r="G255" s="10" t="s">
        <v>16</v>
      </c>
      <c r="H255" s="8" t="s">
        <v>0</v>
      </c>
      <c r="I255" s="10" t="s">
        <v>22</v>
      </c>
      <c r="J255" s="10" t="s">
        <v>23</v>
      </c>
      <c r="K255" s="11" t="s">
        <v>14</v>
      </c>
      <c r="M255" s="4" t="s">
        <v>24</v>
      </c>
    </row>
    <row r="256" spans="2:13" ht="16.8" x14ac:dyDescent="0.3">
      <c r="B256" s="29" t="s">
        <v>1</v>
      </c>
      <c r="C256" s="7"/>
      <c r="D256" s="8" t="s">
        <v>25</v>
      </c>
      <c r="E256" s="9" t="s">
        <v>2</v>
      </c>
      <c r="F256" s="10" t="s">
        <v>3</v>
      </c>
      <c r="G256" s="10" t="s">
        <v>4</v>
      </c>
      <c r="H256" s="8" t="s">
        <v>4</v>
      </c>
      <c r="I256" s="10" t="s">
        <v>5</v>
      </c>
      <c r="J256" s="10" t="s">
        <v>2</v>
      </c>
      <c r="K256" s="11" t="s">
        <v>4</v>
      </c>
      <c r="M256" s="4" t="s">
        <v>15</v>
      </c>
    </row>
    <row r="257" spans="2:13" x14ac:dyDescent="0.3">
      <c r="B257" s="29" t="s">
        <v>6</v>
      </c>
      <c r="C257" s="10">
        <v>4.2</v>
      </c>
      <c r="D257" s="8">
        <v>30.456</v>
      </c>
      <c r="E257" s="12">
        <f>(C257*10^-3)/(D257*10^-4)</f>
        <v>1.3790386130811663</v>
      </c>
      <c r="F257" s="13">
        <v>5.64</v>
      </c>
      <c r="G257" s="14">
        <v>2.2983333333333332E-3</v>
      </c>
      <c r="H257" s="15">
        <f>(E257)/((9.81*F257*10^-2))^(1/2)</f>
        <v>1.8539685851815737</v>
      </c>
      <c r="I257" s="13">
        <v>3</v>
      </c>
      <c r="J257" s="13">
        <v>0</v>
      </c>
      <c r="K257" s="20">
        <f t="shared" ref="K257:K263" si="92">(10.33+M257-0.234)/((E257^2)/19.62)</f>
        <v>104.15868582880654</v>
      </c>
      <c r="M257" s="4">
        <f>-(1.7*J257^2)/19.62</f>
        <v>0</v>
      </c>
    </row>
    <row r="258" spans="2:13" x14ac:dyDescent="0.3">
      <c r="B258" s="29" t="s">
        <v>7</v>
      </c>
      <c r="C258" s="10">
        <v>8.4</v>
      </c>
      <c r="D258" s="8">
        <v>30.456</v>
      </c>
      <c r="E258" s="12">
        <f t="shared" ref="E258:E263" si="93">(C258*10^-3)/(D258*10^-4)</f>
        <v>2.7580772261623325</v>
      </c>
      <c r="F258" s="13">
        <v>5.64</v>
      </c>
      <c r="G258" s="14">
        <v>2.2983333333333332E-3</v>
      </c>
      <c r="H258" s="15">
        <f t="shared" ref="H258:H263" si="94">(E258)/((9.81*F258*10^-2))^(1/2)</f>
        <v>3.7079371703631474</v>
      </c>
      <c r="I258" s="13">
        <v>3</v>
      </c>
      <c r="J258" s="13">
        <v>0</v>
      </c>
      <c r="K258" s="20">
        <f t="shared" si="92"/>
        <v>26.039671457201635</v>
      </c>
      <c r="M258" s="4">
        <f t="shared" ref="M258:M263" si="95">-(1.7*J258^2)/19.62</f>
        <v>0</v>
      </c>
    </row>
    <row r="259" spans="2:13" x14ac:dyDescent="0.3">
      <c r="B259" s="29" t="s">
        <v>8</v>
      </c>
      <c r="C259" s="10">
        <v>12.6</v>
      </c>
      <c r="D259" s="8">
        <v>30.456</v>
      </c>
      <c r="E259" s="12">
        <f t="shared" si="93"/>
        <v>4.1371158392434983</v>
      </c>
      <c r="F259" s="13">
        <v>5.64</v>
      </c>
      <c r="G259" s="14">
        <v>2.2983333333333332E-3</v>
      </c>
      <c r="H259" s="15">
        <f t="shared" si="94"/>
        <v>5.5619057555447204</v>
      </c>
      <c r="I259" s="13">
        <v>1.5</v>
      </c>
      <c r="J259" s="13">
        <v>0</v>
      </c>
      <c r="K259" s="20">
        <f t="shared" si="92"/>
        <v>11.57318731431184</v>
      </c>
      <c r="M259" s="4">
        <f t="shared" si="95"/>
        <v>0</v>
      </c>
    </row>
    <row r="260" spans="2:13" x14ac:dyDescent="0.3">
      <c r="B260" s="29" t="s">
        <v>9</v>
      </c>
      <c r="C260" s="10">
        <v>16.8</v>
      </c>
      <c r="D260" s="8">
        <v>30.456</v>
      </c>
      <c r="E260" s="12">
        <f t="shared" si="93"/>
        <v>5.5161544523246651</v>
      </c>
      <c r="F260" s="13">
        <v>5.64</v>
      </c>
      <c r="G260" s="14">
        <v>2.2983333333333332E-3</v>
      </c>
      <c r="H260" s="15">
        <f t="shared" si="94"/>
        <v>7.4158743407262948</v>
      </c>
      <c r="I260" s="13">
        <v>3</v>
      </c>
      <c r="J260" s="13">
        <v>0</v>
      </c>
      <c r="K260" s="20">
        <f t="shared" si="92"/>
        <v>6.5099178643004088</v>
      </c>
      <c r="M260" s="4">
        <f t="shared" si="95"/>
        <v>0</v>
      </c>
    </row>
    <row r="261" spans="2:13" x14ac:dyDescent="0.3">
      <c r="B261" s="29" t="s">
        <v>10</v>
      </c>
      <c r="C261" s="10">
        <v>21</v>
      </c>
      <c r="D261" s="8">
        <v>30.456</v>
      </c>
      <c r="E261" s="12">
        <f t="shared" si="93"/>
        <v>6.8951930654058309</v>
      </c>
      <c r="F261" s="13">
        <v>5.64</v>
      </c>
      <c r="G261" s="14">
        <v>2.2983333333333332E-3</v>
      </c>
      <c r="H261" s="15">
        <f t="shared" si="94"/>
        <v>9.2698429259078683</v>
      </c>
      <c r="I261" s="13">
        <v>3</v>
      </c>
      <c r="J261" s="13">
        <v>0.75</v>
      </c>
      <c r="K261" s="20">
        <f t="shared" si="92"/>
        <v>4.1462343529073635</v>
      </c>
      <c r="M261" s="4">
        <f t="shared" si="95"/>
        <v>-4.8738532110091735E-2</v>
      </c>
    </row>
    <row r="262" spans="2:13" x14ac:dyDescent="0.3">
      <c r="B262" s="29" t="s">
        <v>11</v>
      </c>
      <c r="C262" s="10">
        <v>25.2</v>
      </c>
      <c r="D262" s="8">
        <v>30.456</v>
      </c>
      <c r="E262" s="12">
        <f t="shared" si="93"/>
        <v>8.2742316784869967</v>
      </c>
      <c r="F262" s="13">
        <v>5.64</v>
      </c>
      <c r="G262" s="14">
        <v>2.2983333333333332E-3</v>
      </c>
      <c r="H262" s="15">
        <f t="shared" si="94"/>
        <v>11.123811511089441</v>
      </c>
      <c r="I262" s="13">
        <v>4.5</v>
      </c>
      <c r="J262" s="13">
        <v>1.06</v>
      </c>
      <c r="K262" s="20">
        <f t="shared" si="92"/>
        <v>2.8653967582530617</v>
      </c>
      <c r="M262" s="4">
        <f t="shared" si="95"/>
        <v>-9.7355759429153935E-2</v>
      </c>
    </row>
    <row r="263" spans="2:13" x14ac:dyDescent="0.3">
      <c r="B263" s="29" t="s">
        <v>12</v>
      </c>
      <c r="C263" s="10">
        <v>29.5</v>
      </c>
      <c r="D263" s="8">
        <v>30.456</v>
      </c>
      <c r="E263" s="12">
        <f t="shared" si="93"/>
        <v>9.6861045442605729</v>
      </c>
      <c r="F263" s="13">
        <v>5.64</v>
      </c>
      <c r="G263" s="14">
        <v>2.2983333333333332E-3</v>
      </c>
      <c r="H263" s="15">
        <f t="shared" si="94"/>
        <v>13.021922205442007</v>
      </c>
      <c r="I263" s="13">
        <v>4.5</v>
      </c>
      <c r="J263" s="13">
        <v>1.64</v>
      </c>
      <c r="K263" s="20">
        <f t="shared" si="92"/>
        <v>2.0625657498061845</v>
      </c>
      <c r="M263" s="4">
        <f t="shared" si="95"/>
        <v>-0.23304383282364929</v>
      </c>
    </row>
  </sheetData>
  <mergeCells count="48">
    <mergeCell ref="B23:K23"/>
    <mergeCell ref="C24:C25"/>
    <mergeCell ref="B34:K34"/>
    <mergeCell ref="C35:C36"/>
    <mergeCell ref="B1:K1"/>
    <mergeCell ref="C2:C3"/>
    <mergeCell ref="B12:K12"/>
    <mergeCell ref="C13:C14"/>
    <mergeCell ref="B67:K67"/>
    <mergeCell ref="C68:C69"/>
    <mergeCell ref="B78:K78"/>
    <mergeCell ref="C79:C80"/>
    <mergeCell ref="B45:K45"/>
    <mergeCell ref="C46:C47"/>
    <mergeCell ref="B56:K56"/>
    <mergeCell ref="C57:C58"/>
    <mergeCell ref="B111:K111"/>
    <mergeCell ref="C112:C113"/>
    <mergeCell ref="B122:K122"/>
    <mergeCell ref="C123:C124"/>
    <mergeCell ref="B89:K89"/>
    <mergeCell ref="C90:C91"/>
    <mergeCell ref="B100:K100"/>
    <mergeCell ref="C101:C102"/>
    <mergeCell ref="B155:K155"/>
    <mergeCell ref="C156:C157"/>
    <mergeCell ref="B166:K166"/>
    <mergeCell ref="C167:C168"/>
    <mergeCell ref="B133:K133"/>
    <mergeCell ref="C134:C135"/>
    <mergeCell ref="B144:K144"/>
    <mergeCell ref="C145:C146"/>
    <mergeCell ref="B199:K199"/>
    <mergeCell ref="C200:C201"/>
    <mergeCell ref="B210:K210"/>
    <mergeCell ref="C211:C212"/>
    <mergeCell ref="B177:K177"/>
    <mergeCell ref="C178:C179"/>
    <mergeCell ref="B188:K188"/>
    <mergeCell ref="C189:C190"/>
    <mergeCell ref="B243:K243"/>
    <mergeCell ref="C244:C245"/>
    <mergeCell ref="B254:K254"/>
    <mergeCell ref="C255:C256"/>
    <mergeCell ref="B221:K221"/>
    <mergeCell ref="C222:C223"/>
    <mergeCell ref="B232:K232"/>
    <mergeCell ref="C233:C2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3"/>
  <sheetViews>
    <sheetView zoomScale="111" zoomScaleNormal="111" workbookViewId="0">
      <selection activeCell="N1" sqref="N1"/>
    </sheetView>
  </sheetViews>
  <sheetFormatPr defaultRowHeight="14.4" x14ac:dyDescent="0.3"/>
  <cols>
    <col min="1" max="1" width="8.88671875" style="2"/>
    <col min="2" max="2" width="8.88671875" style="32"/>
    <col min="3" max="10" width="8.88671875" style="2"/>
    <col min="11" max="11" width="10.44140625" style="20" bestFit="1" customWidth="1"/>
    <col min="12" max="12" width="8.88671875" style="2"/>
    <col min="13" max="13" width="8.88671875" style="4"/>
    <col min="14" max="14" width="8.88671875" style="5"/>
  </cols>
  <sheetData>
    <row r="1" spans="2:13" x14ac:dyDescent="0.3">
      <c r="B1" s="3" t="s">
        <v>17</v>
      </c>
      <c r="C1" s="3"/>
      <c r="D1" s="3"/>
      <c r="E1" s="3"/>
      <c r="F1" s="3"/>
      <c r="G1" s="3"/>
      <c r="H1" s="3"/>
      <c r="I1" s="3"/>
      <c r="J1" s="3"/>
      <c r="K1" s="3"/>
    </row>
    <row r="2" spans="2:13" ht="18" x14ac:dyDescent="0.3">
      <c r="B2" s="29"/>
      <c r="C2" s="22" t="s">
        <v>18</v>
      </c>
      <c r="D2" s="8" t="s">
        <v>19</v>
      </c>
      <c r="E2" s="6" t="s">
        <v>20</v>
      </c>
      <c r="F2" s="8" t="s">
        <v>21</v>
      </c>
      <c r="G2" s="10" t="s">
        <v>16</v>
      </c>
      <c r="H2" s="6" t="s">
        <v>0</v>
      </c>
      <c r="I2" s="6" t="s">
        <v>22</v>
      </c>
      <c r="J2" s="10" t="s">
        <v>23</v>
      </c>
      <c r="K2" s="11" t="s">
        <v>14</v>
      </c>
      <c r="M2" s="4" t="s">
        <v>24</v>
      </c>
    </row>
    <row r="3" spans="2:13" ht="16.8" x14ac:dyDescent="0.3">
      <c r="B3" s="29" t="s">
        <v>1</v>
      </c>
      <c r="C3" s="22"/>
      <c r="D3" s="8" t="s">
        <v>25</v>
      </c>
      <c r="E3" s="6" t="s">
        <v>2</v>
      </c>
      <c r="F3" s="8" t="s">
        <v>3</v>
      </c>
      <c r="G3" s="10" t="s">
        <v>4</v>
      </c>
      <c r="H3" s="6" t="s">
        <v>4</v>
      </c>
      <c r="I3" s="6" t="s">
        <v>5</v>
      </c>
      <c r="J3" s="10" t="s">
        <v>2</v>
      </c>
      <c r="K3" s="11" t="s">
        <v>4</v>
      </c>
      <c r="M3" s="4" t="s">
        <v>15</v>
      </c>
    </row>
    <row r="4" spans="2:13" x14ac:dyDescent="0.3">
      <c r="B4" s="29" t="s">
        <v>6</v>
      </c>
      <c r="C4" s="10">
        <v>0.95</v>
      </c>
      <c r="D4" s="8">
        <v>5.0759999999999996</v>
      </c>
      <c r="E4" s="12">
        <f t="shared" ref="E4:E10" si="0">(C4*10^-3)/(D4*10^-4)</f>
        <v>1.8715524034672972</v>
      </c>
      <c r="F4" s="15">
        <v>0.54</v>
      </c>
      <c r="G4" s="23">
        <v>2.5500000000000002E-3</v>
      </c>
      <c r="H4" s="15">
        <f t="shared" ref="H4:H10" si="1">(E4)/((9.81*F4*10^-2))^(1/2)</f>
        <v>8.131498912699044</v>
      </c>
      <c r="I4" s="24">
        <v>4.5</v>
      </c>
      <c r="J4" s="13">
        <v>0</v>
      </c>
      <c r="K4" s="20">
        <f t="shared" ref="K4:K10" si="2">(10.33+M4-0.234)/((E4^2)/19.62)</f>
        <v>56.551530256083318</v>
      </c>
      <c r="M4" s="4">
        <f>-(1.7*J4^2)/19.62</f>
        <v>0</v>
      </c>
    </row>
    <row r="5" spans="2:13" x14ac:dyDescent="0.3">
      <c r="B5" s="29" t="s">
        <v>7</v>
      </c>
      <c r="C5" s="10">
        <v>1.9</v>
      </c>
      <c r="D5" s="8">
        <v>5.0759999999999996</v>
      </c>
      <c r="E5" s="12">
        <f t="shared" si="0"/>
        <v>3.7431048069345945</v>
      </c>
      <c r="F5" s="15">
        <v>0.54</v>
      </c>
      <c r="G5" s="23">
        <v>2.5500000000000002E-3</v>
      </c>
      <c r="H5" s="15">
        <f t="shared" si="1"/>
        <v>16.262997825398088</v>
      </c>
      <c r="I5" s="24">
        <v>4.5</v>
      </c>
      <c r="J5" s="13">
        <v>0.6</v>
      </c>
      <c r="K5" s="20">
        <f t="shared" si="2"/>
        <v>14.094202079500052</v>
      </c>
      <c r="M5" s="4">
        <f t="shared" ref="M5:M10" si="3">-(1.7*J5^2)/19.62</f>
        <v>-3.1192660550458714E-2</v>
      </c>
    </row>
    <row r="6" spans="2:13" x14ac:dyDescent="0.3">
      <c r="B6" s="29" t="s">
        <v>8</v>
      </c>
      <c r="C6" s="10">
        <v>2.85</v>
      </c>
      <c r="D6" s="8">
        <v>5.0759999999999996</v>
      </c>
      <c r="E6" s="12">
        <f t="shared" si="0"/>
        <v>5.6146572104018917</v>
      </c>
      <c r="F6" s="15">
        <v>0.54</v>
      </c>
      <c r="G6" s="23">
        <v>2.5500000000000002E-3</v>
      </c>
      <c r="H6" s="15">
        <f t="shared" si="1"/>
        <v>24.394496738097136</v>
      </c>
      <c r="I6" s="24">
        <v>4.5</v>
      </c>
      <c r="J6" s="13">
        <v>2.11</v>
      </c>
      <c r="K6" s="20">
        <f t="shared" si="2"/>
        <v>6.0434170838426597</v>
      </c>
      <c r="M6" s="4">
        <f t="shared" si="3"/>
        <v>-0.38575790010193672</v>
      </c>
    </row>
    <row r="7" spans="2:13" x14ac:dyDescent="0.3">
      <c r="B7" s="29" t="s">
        <v>9</v>
      </c>
      <c r="C7" s="10">
        <v>3.8</v>
      </c>
      <c r="D7" s="8">
        <v>5.0759999999999996</v>
      </c>
      <c r="E7" s="12">
        <f t="shared" si="0"/>
        <v>7.4862096138691889</v>
      </c>
      <c r="F7" s="15">
        <v>0.54</v>
      </c>
      <c r="G7" s="23">
        <v>2.5500000000000002E-3</v>
      </c>
      <c r="H7" s="15">
        <f t="shared" si="1"/>
        <v>32.525995650796176</v>
      </c>
      <c r="I7" s="24">
        <v>4.5</v>
      </c>
      <c r="J7" s="13">
        <v>5.12</v>
      </c>
      <c r="K7" s="20">
        <f t="shared" si="2"/>
        <v>2.7392916872403319</v>
      </c>
      <c r="M7" s="4">
        <f t="shared" si="3"/>
        <v>-2.2713802242609584</v>
      </c>
    </row>
    <row r="8" spans="2:13" x14ac:dyDescent="0.3">
      <c r="B8" s="29" t="s">
        <v>10</v>
      </c>
      <c r="C8" s="10">
        <v>4.75</v>
      </c>
      <c r="D8" s="8">
        <v>5.0759999999999996</v>
      </c>
      <c r="E8" s="12">
        <f t="shared" si="0"/>
        <v>9.3577620173364853</v>
      </c>
      <c r="F8" s="15">
        <v>0.54</v>
      </c>
      <c r="G8" s="23">
        <v>2.5500000000000002E-3</v>
      </c>
      <c r="H8" s="15">
        <f t="shared" si="1"/>
        <v>40.65749456349522</v>
      </c>
      <c r="I8" s="24">
        <v>4.5</v>
      </c>
      <c r="J8" s="13">
        <v>9.1999999999999993</v>
      </c>
      <c r="K8" s="20">
        <f t="shared" si="2"/>
        <v>0.61889845031513391</v>
      </c>
      <c r="M8" s="4">
        <f t="shared" si="3"/>
        <v>-7.3337410805300696</v>
      </c>
    </row>
    <row r="9" spans="2:13" x14ac:dyDescent="0.3">
      <c r="B9" s="29" t="s">
        <v>11</v>
      </c>
      <c r="C9" s="10">
        <v>5.7</v>
      </c>
      <c r="D9" s="8">
        <v>5.0759999999999996</v>
      </c>
      <c r="E9" s="12">
        <f t="shared" si="0"/>
        <v>11.229314420803783</v>
      </c>
      <c r="F9" s="15">
        <v>0.54</v>
      </c>
      <c r="G9" s="23">
        <v>2.5500000000000002E-3</v>
      </c>
      <c r="H9" s="15">
        <f t="shared" si="1"/>
        <v>48.788993476194271</v>
      </c>
      <c r="I9" s="24">
        <v>4.5</v>
      </c>
      <c r="J9" s="13">
        <v>15.01</v>
      </c>
      <c r="K9" s="20">
        <f t="shared" si="2"/>
        <v>-1.4665369776332404</v>
      </c>
      <c r="M9" s="4">
        <f t="shared" si="3"/>
        <v>-19.521415392456674</v>
      </c>
    </row>
    <row r="10" spans="2:13" x14ac:dyDescent="0.3">
      <c r="B10" s="29" t="s">
        <v>12</v>
      </c>
      <c r="C10" s="10">
        <v>6.7</v>
      </c>
      <c r="D10" s="8">
        <v>5.0759999999999996</v>
      </c>
      <c r="E10" s="12">
        <f t="shared" si="0"/>
        <v>13.199369582348307</v>
      </c>
      <c r="F10" s="15">
        <v>0.54</v>
      </c>
      <c r="G10" s="23">
        <v>2.5500000000000002E-3</v>
      </c>
      <c r="H10" s="15">
        <f t="shared" si="1"/>
        <v>57.348466015877477</v>
      </c>
      <c r="I10" s="24">
        <v>4.5</v>
      </c>
      <c r="J10" s="13">
        <v>18.13</v>
      </c>
      <c r="K10" s="20">
        <f t="shared" si="2"/>
        <v>-2.0703378435707185</v>
      </c>
      <c r="M10" s="4">
        <f t="shared" si="3"/>
        <v>-28.48036340468909</v>
      </c>
    </row>
    <row r="11" spans="2:13" x14ac:dyDescent="0.3">
      <c r="B11" s="30"/>
      <c r="C11" s="21"/>
      <c r="D11" s="21" t="s">
        <v>13</v>
      </c>
      <c r="E11" s="21"/>
      <c r="F11" s="18"/>
      <c r="G11" s="18"/>
      <c r="H11" s="21"/>
      <c r="I11" s="21"/>
      <c r="J11" s="17"/>
      <c r="K11" s="14"/>
    </row>
    <row r="12" spans="2:13" x14ac:dyDescent="0.3">
      <c r="B12" s="3" t="s">
        <v>27</v>
      </c>
      <c r="C12" s="3"/>
      <c r="D12" s="3"/>
      <c r="E12" s="3"/>
      <c r="F12" s="3"/>
      <c r="G12" s="3"/>
      <c r="H12" s="3"/>
      <c r="I12" s="3"/>
      <c r="J12" s="3"/>
      <c r="K12" s="3"/>
    </row>
    <row r="13" spans="2:13" ht="18" x14ac:dyDescent="0.3">
      <c r="B13" s="29"/>
      <c r="C13" s="22" t="s">
        <v>18</v>
      </c>
      <c r="D13" s="8" t="s">
        <v>19</v>
      </c>
      <c r="E13" s="6" t="s">
        <v>20</v>
      </c>
      <c r="F13" s="8" t="s">
        <v>21</v>
      </c>
      <c r="G13" s="10" t="s">
        <v>16</v>
      </c>
      <c r="H13" s="6" t="s">
        <v>0</v>
      </c>
      <c r="I13" s="6" t="s">
        <v>22</v>
      </c>
      <c r="J13" s="10" t="s">
        <v>23</v>
      </c>
      <c r="K13" s="11" t="s">
        <v>14</v>
      </c>
      <c r="M13" s="4" t="s">
        <v>24</v>
      </c>
    </row>
    <row r="14" spans="2:13" ht="16.8" x14ac:dyDescent="0.3">
      <c r="B14" s="29" t="s">
        <v>1</v>
      </c>
      <c r="C14" s="22"/>
      <c r="D14" s="8" t="s">
        <v>25</v>
      </c>
      <c r="E14" s="6" t="s">
        <v>2</v>
      </c>
      <c r="F14" s="8" t="s">
        <v>3</v>
      </c>
      <c r="G14" s="10" t="s">
        <v>4</v>
      </c>
      <c r="H14" s="6" t="s">
        <v>4</v>
      </c>
      <c r="I14" s="6" t="s">
        <v>5</v>
      </c>
      <c r="J14" s="10" t="s">
        <v>2</v>
      </c>
      <c r="K14" s="11" t="s">
        <v>4</v>
      </c>
      <c r="M14" s="4" t="s">
        <v>15</v>
      </c>
    </row>
    <row r="15" spans="2:13" x14ac:dyDescent="0.3">
      <c r="B15" s="29" t="s">
        <v>6</v>
      </c>
      <c r="C15" s="10">
        <v>0.95</v>
      </c>
      <c r="D15" s="8">
        <v>5.0759999999999996</v>
      </c>
      <c r="E15" s="12">
        <f t="shared" ref="E15:E21" si="4">(C15*10^-3)/(D15*10^-4)</f>
        <v>1.8715524034672972</v>
      </c>
      <c r="F15" s="15">
        <v>0.54</v>
      </c>
      <c r="G15" s="23">
        <v>1.2750000000000001E-3</v>
      </c>
      <c r="H15" s="15">
        <f t="shared" ref="H15:H21" si="5">(E15)/((9.81*F15*10^-2))^(1/2)</f>
        <v>8.131498912699044</v>
      </c>
      <c r="I15" s="24">
        <v>4.5</v>
      </c>
      <c r="J15" s="13">
        <v>0.6</v>
      </c>
      <c r="K15" s="20">
        <f t="shared" ref="K15:K21" si="6">(10.33+M15-0.234)/((E15^2)/19.62)</f>
        <v>56.376808318000208</v>
      </c>
      <c r="M15" s="4">
        <f>-(1.7*J15^2)/19.62</f>
        <v>-3.1192660550458714E-2</v>
      </c>
    </row>
    <row r="16" spans="2:13" x14ac:dyDescent="0.3">
      <c r="B16" s="29" t="s">
        <v>7</v>
      </c>
      <c r="C16" s="10">
        <v>1.9</v>
      </c>
      <c r="D16" s="8">
        <v>5.0759999999999996</v>
      </c>
      <c r="E16" s="12">
        <f t="shared" si="4"/>
        <v>3.7431048069345945</v>
      </c>
      <c r="F16" s="15">
        <v>0.54</v>
      </c>
      <c r="G16" s="23">
        <v>1.2750000000000001E-3</v>
      </c>
      <c r="H16" s="15">
        <f t="shared" si="5"/>
        <v>16.262997825398088</v>
      </c>
      <c r="I16" s="24">
        <v>4.5</v>
      </c>
      <c r="J16" s="13">
        <v>2.1800000000000002</v>
      </c>
      <c r="K16" s="20">
        <f t="shared" si="6"/>
        <v>13.561251634474901</v>
      </c>
      <c r="M16" s="4">
        <f t="shared" ref="M16:M21" si="7">-(1.7*J16^2)/19.62</f>
        <v>-0.4117777777777778</v>
      </c>
    </row>
    <row r="17" spans="2:13" x14ac:dyDescent="0.3">
      <c r="B17" s="29" t="s">
        <v>8</v>
      </c>
      <c r="C17" s="10">
        <v>2.85</v>
      </c>
      <c r="D17" s="8">
        <v>5.0759999999999996</v>
      </c>
      <c r="E17" s="12">
        <f t="shared" si="4"/>
        <v>5.6146572104018917</v>
      </c>
      <c r="F17" s="15">
        <v>0.54</v>
      </c>
      <c r="G17" s="23">
        <v>1.2750000000000001E-3</v>
      </c>
      <c r="H17" s="15">
        <f t="shared" si="5"/>
        <v>24.394496738097136</v>
      </c>
      <c r="I17" s="24">
        <v>4.5</v>
      </c>
      <c r="J17" s="13">
        <v>5.92</v>
      </c>
      <c r="K17" s="20">
        <f t="shared" si="6"/>
        <v>4.3935728275785042</v>
      </c>
      <c r="M17" s="4">
        <f t="shared" si="7"/>
        <v>-3.0366401630988786</v>
      </c>
    </row>
    <row r="18" spans="2:13" x14ac:dyDescent="0.3">
      <c r="B18" s="29" t="s">
        <v>9</v>
      </c>
      <c r="C18" s="10">
        <v>3.8</v>
      </c>
      <c r="D18" s="8">
        <v>5.0759999999999996</v>
      </c>
      <c r="E18" s="12">
        <f t="shared" si="4"/>
        <v>7.4862096138691889</v>
      </c>
      <c r="F18" s="15">
        <v>0.54</v>
      </c>
      <c r="G18" s="23">
        <v>1.2750000000000001E-3</v>
      </c>
      <c r="H18" s="15">
        <f t="shared" si="5"/>
        <v>32.525995650796176</v>
      </c>
      <c r="I18" s="24">
        <v>4.5</v>
      </c>
      <c r="J18" s="13">
        <v>10.45</v>
      </c>
      <c r="K18" s="20">
        <f t="shared" si="6"/>
        <v>0.22195806400520815</v>
      </c>
      <c r="M18" s="4">
        <f t="shared" si="7"/>
        <v>-9.4619903160040764</v>
      </c>
    </row>
    <row r="19" spans="2:13" x14ac:dyDescent="0.3">
      <c r="B19" s="29" t="s">
        <v>10</v>
      </c>
      <c r="C19" s="10">
        <v>4.75</v>
      </c>
      <c r="D19" s="8">
        <v>5.0759999999999996</v>
      </c>
      <c r="E19" s="12">
        <f t="shared" si="4"/>
        <v>9.3577620173364853</v>
      </c>
      <c r="F19" s="15">
        <v>0.54</v>
      </c>
      <c r="G19" s="23">
        <v>1.2750000000000001E-3</v>
      </c>
      <c r="H19" s="15">
        <f t="shared" si="5"/>
        <v>40.65749456349522</v>
      </c>
      <c r="I19" s="24">
        <v>4.5</v>
      </c>
      <c r="J19" s="13">
        <v>17.510000000000002</v>
      </c>
      <c r="K19" s="20">
        <f t="shared" si="6"/>
        <v>-3.6901347551425601</v>
      </c>
      <c r="M19" s="4">
        <f t="shared" si="7"/>
        <v>-26.565757900101939</v>
      </c>
    </row>
    <row r="20" spans="2:13" x14ac:dyDescent="0.3">
      <c r="B20" s="29" t="s">
        <v>11</v>
      </c>
      <c r="C20" s="10">
        <v>5.7</v>
      </c>
      <c r="D20" s="8">
        <v>5.0759999999999996</v>
      </c>
      <c r="E20" s="12">
        <f t="shared" si="4"/>
        <v>11.229314420803783</v>
      </c>
      <c r="F20" s="15">
        <v>0.54</v>
      </c>
      <c r="G20" s="23">
        <v>1.2750000000000001E-3</v>
      </c>
      <c r="H20" s="15">
        <f t="shared" si="5"/>
        <v>48.788993476194271</v>
      </c>
      <c r="I20" s="24">
        <v>4.5</v>
      </c>
      <c r="J20" s="13">
        <v>24.59</v>
      </c>
      <c r="K20" s="20">
        <f t="shared" si="6"/>
        <v>-6.5810363762991688</v>
      </c>
      <c r="M20" s="4">
        <f t="shared" si="7"/>
        <v>-52.39224108053007</v>
      </c>
    </row>
    <row r="21" spans="2:13" x14ac:dyDescent="0.3">
      <c r="B21" s="29" t="s">
        <v>12</v>
      </c>
      <c r="C21" s="10">
        <v>6.6</v>
      </c>
      <c r="D21" s="8">
        <v>5.0759999999999996</v>
      </c>
      <c r="E21" s="12">
        <f t="shared" si="4"/>
        <v>13.002364066193854</v>
      </c>
      <c r="F21" s="15">
        <v>0.54</v>
      </c>
      <c r="G21" s="23">
        <v>1.2750000000000001E-3</v>
      </c>
      <c r="H21" s="15">
        <f t="shared" si="5"/>
        <v>56.492518761909153</v>
      </c>
      <c r="I21" s="24">
        <v>4.5</v>
      </c>
      <c r="J21" s="13">
        <v>28.6</v>
      </c>
      <c r="K21" s="20">
        <f t="shared" si="6"/>
        <v>-7.0533426141461151</v>
      </c>
      <c r="M21" s="4">
        <f t="shared" si="7"/>
        <v>-70.873190621814473</v>
      </c>
    </row>
    <row r="22" spans="2:13" x14ac:dyDescent="0.3">
      <c r="B22" s="31"/>
      <c r="C22" s="21"/>
      <c r="D22" s="21"/>
      <c r="E22" s="21"/>
      <c r="F22" s="18"/>
      <c r="G22" s="18"/>
      <c r="H22" s="21"/>
      <c r="I22" s="21"/>
      <c r="J22" s="17"/>
      <c r="K22" s="14"/>
    </row>
    <row r="23" spans="2:13" x14ac:dyDescent="0.3">
      <c r="B23" s="3" t="s">
        <v>28</v>
      </c>
      <c r="C23" s="3"/>
      <c r="D23" s="3"/>
      <c r="E23" s="3"/>
      <c r="F23" s="3"/>
      <c r="G23" s="3"/>
      <c r="H23" s="3"/>
      <c r="I23" s="3"/>
      <c r="J23" s="3"/>
      <c r="K23" s="3"/>
    </row>
    <row r="24" spans="2:13" ht="18" x14ac:dyDescent="0.3">
      <c r="B24" s="29"/>
      <c r="C24" s="22" t="s">
        <v>18</v>
      </c>
      <c r="D24" s="8" t="s">
        <v>19</v>
      </c>
      <c r="E24" s="6" t="s">
        <v>20</v>
      </c>
      <c r="F24" s="8" t="s">
        <v>21</v>
      </c>
      <c r="G24" s="10" t="s">
        <v>16</v>
      </c>
      <c r="H24" s="6" t="s">
        <v>0</v>
      </c>
      <c r="I24" s="6" t="s">
        <v>22</v>
      </c>
      <c r="J24" s="10" t="s">
        <v>23</v>
      </c>
      <c r="K24" s="11" t="s">
        <v>14</v>
      </c>
      <c r="M24" s="4" t="s">
        <v>24</v>
      </c>
    </row>
    <row r="25" spans="2:13" ht="16.8" x14ac:dyDescent="0.3">
      <c r="B25" s="29" t="s">
        <v>1</v>
      </c>
      <c r="C25" s="22"/>
      <c r="D25" s="8" t="s">
        <v>25</v>
      </c>
      <c r="E25" s="6" t="s">
        <v>2</v>
      </c>
      <c r="F25" s="8" t="s">
        <v>3</v>
      </c>
      <c r="G25" s="10" t="s">
        <v>4</v>
      </c>
      <c r="H25" s="6" t="s">
        <v>4</v>
      </c>
      <c r="I25" s="6" t="s">
        <v>5</v>
      </c>
      <c r="J25" s="10" t="s">
        <v>2</v>
      </c>
      <c r="K25" s="11" t="s">
        <v>4</v>
      </c>
      <c r="M25" s="4" t="s">
        <v>15</v>
      </c>
    </row>
    <row r="26" spans="2:13" x14ac:dyDescent="0.3">
      <c r="B26" s="29" t="s">
        <v>6</v>
      </c>
      <c r="C26" s="10">
        <v>0.95</v>
      </c>
      <c r="D26" s="8">
        <v>5.0759999999999996</v>
      </c>
      <c r="E26" s="12">
        <f t="shared" ref="E26:E32" si="8">(C26*10^-3)/(D26*10^-4)</f>
        <v>1.8715524034672972</v>
      </c>
      <c r="F26" s="15">
        <v>0.54</v>
      </c>
      <c r="G26" s="23">
        <v>6.3750000000000005E-4</v>
      </c>
      <c r="H26" s="15">
        <f t="shared" ref="H26:H32" si="9">(E26)/((9.81*F26*10^-2))^(1/2)</f>
        <v>8.131498912699044</v>
      </c>
      <c r="I26" s="24">
        <v>3</v>
      </c>
      <c r="J26" s="13">
        <v>0</v>
      </c>
      <c r="K26" s="20">
        <f t="shared" ref="K26:K32" si="10">(10.33+M26-0.234)/((E26^2)/19.62)</f>
        <v>56.551530256083318</v>
      </c>
      <c r="M26" s="4">
        <f>-(1.7*J26^2)/19.62</f>
        <v>0</v>
      </c>
    </row>
    <row r="27" spans="2:13" x14ac:dyDescent="0.3">
      <c r="B27" s="29" t="s">
        <v>7</v>
      </c>
      <c r="C27" s="10">
        <v>1.9</v>
      </c>
      <c r="D27" s="8">
        <v>5.0759999999999996</v>
      </c>
      <c r="E27" s="12">
        <f t="shared" si="8"/>
        <v>3.7431048069345945</v>
      </c>
      <c r="F27" s="15">
        <v>0.54</v>
      </c>
      <c r="G27" s="23">
        <v>6.3750000000000005E-4</v>
      </c>
      <c r="H27" s="15">
        <f t="shared" si="9"/>
        <v>16.262997825398088</v>
      </c>
      <c r="I27" s="24">
        <v>4.5</v>
      </c>
      <c r="J27" s="13">
        <v>1.43</v>
      </c>
      <c r="K27" s="20">
        <f t="shared" si="10"/>
        <v>13.889765278474901</v>
      </c>
      <c r="M27" s="4">
        <f t="shared" ref="M27:M32" si="11">-(1.7*J27^2)/19.62</f>
        <v>-0.17718297655453616</v>
      </c>
    </row>
    <row r="28" spans="2:13" x14ac:dyDescent="0.3">
      <c r="B28" s="29" t="s">
        <v>8</v>
      </c>
      <c r="C28" s="10">
        <v>2.85</v>
      </c>
      <c r="D28" s="8">
        <v>5.0759999999999996</v>
      </c>
      <c r="E28" s="12">
        <f t="shared" si="8"/>
        <v>5.6146572104018917</v>
      </c>
      <c r="F28" s="15">
        <v>0.54</v>
      </c>
      <c r="G28" s="23">
        <v>6.3750000000000005E-4</v>
      </c>
      <c r="H28" s="15">
        <f t="shared" si="9"/>
        <v>24.394496738097136</v>
      </c>
      <c r="I28" s="24">
        <v>4.5</v>
      </c>
      <c r="J28" s="13">
        <v>6.63</v>
      </c>
      <c r="K28" s="20">
        <f t="shared" si="10"/>
        <v>3.9130605345879226</v>
      </c>
      <c r="M28" s="4">
        <f t="shared" si="11"/>
        <v>-3.8087018348623847</v>
      </c>
    </row>
    <row r="29" spans="2:13" x14ac:dyDescent="0.3">
      <c r="B29" s="29" t="s">
        <v>9</v>
      </c>
      <c r="C29" s="10">
        <v>3.8</v>
      </c>
      <c r="D29" s="8">
        <v>5.0759999999999996</v>
      </c>
      <c r="E29" s="12">
        <f t="shared" si="8"/>
        <v>7.4862096138691889</v>
      </c>
      <c r="F29" s="15">
        <v>0.54</v>
      </c>
      <c r="G29" s="23">
        <v>6.3750000000000005E-4</v>
      </c>
      <c r="H29" s="15">
        <f t="shared" si="9"/>
        <v>32.525995650796176</v>
      </c>
      <c r="I29" s="24">
        <v>4.5</v>
      </c>
      <c r="J29" s="13">
        <v>10.37</v>
      </c>
      <c r="K29" s="20">
        <f t="shared" si="10"/>
        <v>0.27248182443423874</v>
      </c>
      <c r="M29" s="4">
        <f t="shared" si="11"/>
        <v>-9.3176722731906203</v>
      </c>
    </row>
    <row r="30" spans="2:13" x14ac:dyDescent="0.3">
      <c r="B30" s="29" t="s">
        <v>10</v>
      </c>
      <c r="C30" s="10">
        <v>4.75</v>
      </c>
      <c r="D30" s="8">
        <v>5.0759999999999996</v>
      </c>
      <c r="E30" s="12">
        <f t="shared" si="8"/>
        <v>9.3577620173364853</v>
      </c>
      <c r="F30" s="15">
        <v>0.54</v>
      </c>
      <c r="G30" s="23">
        <v>6.3750000000000005E-4</v>
      </c>
      <c r="H30" s="15">
        <f t="shared" si="9"/>
        <v>40.65749456349522</v>
      </c>
      <c r="I30" s="24">
        <v>4.5</v>
      </c>
      <c r="J30" s="13">
        <v>15.64</v>
      </c>
      <c r="K30" s="20">
        <f t="shared" si="10"/>
        <v>-2.4866791659491634</v>
      </c>
      <c r="M30" s="4">
        <f t="shared" si="11"/>
        <v>-21.194511722731907</v>
      </c>
    </row>
    <row r="31" spans="2:13" x14ac:dyDescent="0.3">
      <c r="B31" s="29" t="s">
        <v>11</v>
      </c>
      <c r="C31" s="10">
        <v>5.7</v>
      </c>
      <c r="D31" s="8">
        <v>5.0759999999999996</v>
      </c>
      <c r="E31" s="12">
        <f t="shared" si="8"/>
        <v>11.229314420803783</v>
      </c>
      <c r="F31" s="15">
        <v>0.54</v>
      </c>
      <c r="G31" s="23">
        <v>6.3750000000000005E-4</v>
      </c>
      <c r="H31" s="15">
        <f t="shared" si="9"/>
        <v>48.788993476194271</v>
      </c>
      <c r="I31" s="24">
        <v>4.5</v>
      </c>
      <c r="J31" s="13">
        <v>19.23</v>
      </c>
      <c r="K31" s="20">
        <f t="shared" si="10"/>
        <v>-3.4145355929923555</v>
      </c>
      <c r="M31" s="4">
        <f t="shared" si="11"/>
        <v>-32.041178899082574</v>
      </c>
    </row>
    <row r="32" spans="2:13" x14ac:dyDescent="0.3">
      <c r="B32" s="29" t="s">
        <v>12</v>
      </c>
      <c r="C32" s="10">
        <v>6.6</v>
      </c>
      <c r="D32" s="8">
        <v>5.0759999999999996</v>
      </c>
      <c r="E32" s="12">
        <f t="shared" si="8"/>
        <v>13.002364066193854</v>
      </c>
      <c r="F32" s="15">
        <v>0.54</v>
      </c>
      <c r="G32" s="23">
        <v>6.3750000000000005E-4</v>
      </c>
      <c r="H32" s="15">
        <f t="shared" si="9"/>
        <v>56.492518761909153</v>
      </c>
      <c r="I32" s="24">
        <v>4.5</v>
      </c>
      <c r="J32" s="13">
        <v>22.67</v>
      </c>
      <c r="K32" s="20">
        <f t="shared" si="10"/>
        <v>-3.996153616584794</v>
      </c>
      <c r="M32" s="4">
        <f t="shared" si="11"/>
        <v>-44.530027013251789</v>
      </c>
    </row>
    <row r="33" spans="2:13" x14ac:dyDescent="0.3">
      <c r="B33" s="31"/>
      <c r="C33" s="21"/>
      <c r="D33" s="21"/>
      <c r="E33" s="21"/>
      <c r="F33" s="18"/>
      <c r="G33" s="18"/>
      <c r="H33" s="21"/>
      <c r="I33" s="21"/>
      <c r="J33" s="17"/>
      <c r="K33" s="14"/>
    </row>
    <row r="34" spans="2:13" x14ac:dyDescent="0.3">
      <c r="B34" s="3" t="s">
        <v>29</v>
      </c>
      <c r="C34" s="3"/>
      <c r="D34" s="3"/>
      <c r="E34" s="3"/>
      <c r="F34" s="3"/>
      <c r="G34" s="3"/>
      <c r="H34" s="3"/>
      <c r="I34" s="3"/>
      <c r="J34" s="3"/>
      <c r="K34" s="3"/>
    </row>
    <row r="35" spans="2:13" ht="18" x14ac:dyDescent="0.3">
      <c r="B35" s="29"/>
      <c r="C35" s="22" t="s">
        <v>18</v>
      </c>
      <c r="D35" s="8" t="s">
        <v>19</v>
      </c>
      <c r="E35" s="6" t="s">
        <v>20</v>
      </c>
      <c r="F35" s="8" t="s">
        <v>21</v>
      </c>
      <c r="G35" s="10" t="s">
        <v>16</v>
      </c>
      <c r="H35" s="6" t="s">
        <v>0</v>
      </c>
      <c r="I35" s="6" t="s">
        <v>22</v>
      </c>
      <c r="J35" s="10" t="s">
        <v>23</v>
      </c>
      <c r="K35" s="11" t="s">
        <v>14</v>
      </c>
      <c r="M35" s="4" t="s">
        <v>24</v>
      </c>
    </row>
    <row r="36" spans="2:13" ht="16.8" x14ac:dyDescent="0.3">
      <c r="B36" s="29" t="s">
        <v>1</v>
      </c>
      <c r="C36" s="22"/>
      <c r="D36" s="8" t="s">
        <v>25</v>
      </c>
      <c r="E36" s="6" t="s">
        <v>2</v>
      </c>
      <c r="F36" s="8" t="s">
        <v>3</v>
      </c>
      <c r="G36" s="10" t="s">
        <v>4</v>
      </c>
      <c r="H36" s="6" t="s">
        <v>4</v>
      </c>
      <c r="I36" s="6" t="s">
        <v>5</v>
      </c>
      <c r="J36" s="10" t="s">
        <v>2</v>
      </c>
      <c r="K36" s="11" t="s">
        <v>4</v>
      </c>
      <c r="M36" s="4" t="s">
        <v>15</v>
      </c>
    </row>
    <row r="37" spans="2:13" x14ac:dyDescent="0.3">
      <c r="B37" s="29" t="s">
        <v>6</v>
      </c>
      <c r="C37" s="10">
        <v>0.95</v>
      </c>
      <c r="D37" s="8">
        <v>5.0759999999999996</v>
      </c>
      <c r="E37" s="12">
        <f t="shared" ref="E37:E43" si="12">(C37*10^-3)/(D37*10^-4)</f>
        <v>1.8715524034672972</v>
      </c>
      <c r="F37" s="15">
        <v>0.54</v>
      </c>
      <c r="G37" s="23">
        <v>4.2499999999999998E-4</v>
      </c>
      <c r="H37" s="15">
        <f t="shared" ref="H37:H43" si="13">(E37)/((9.81*F37*10^-2))^(1/2)</f>
        <v>8.131498912699044</v>
      </c>
      <c r="I37" s="24">
        <v>3</v>
      </c>
      <c r="J37" s="13">
        <v>0</v>
      </c>
      <c r="K37" s="20">
        <f t="shared" ref="K37:K43" si="14">(10.33+M37-0.234)/((E37^2)/19.62)</f>
        <v>56.551530256083318</v>
      </c>
      <c r="M37" s="4">
        <f>-(1.7*J37^2)/19.62</f>
        <v>0</v>
      </c>
    </row>
    <row r="38" spans="2:13" x14ac:dyDescent="0.3">
      <c r="B38" s="29" t="s">
        <v>7</v>
      </c>
      <c r="C38" s="10">
        <v>1.9</v>
      </c>
      <c r="D38" s="8">
        <v>5.0759999999999996</v>
      </c>
      <c r="E38" s="12">
        <f t="shared" si="12"/>
        <v>3.7431048069345945</v>
      </c>
      <c r="F38" s="15">
        <v>0.54</v>
      </c>
      <c r="G38" s="23">
        <v>4.2499999999999998E-4</v>
      </c>
      <c r="H38" s="15">
        <f t="shared" si="13"/>
        <v>16.262997825398088</v>
      </c>
      <c r="I38" s="24">
        <v>4.5</v>
      </c>
      <c r="J38" s="13">
        <v>1.8</v>
      </c>
      <c r="K38" s="20">
        <f t="shared" si="14"/>
        <v>13.744758203333848</v>
      </c>
      <c r="M38" s="4">
        <f t="shared" ref="M38:M43" si="15">-(1.7*J38^2)/19.62</f>
        <v>-0.2807339449541284</v>
      </c>
    </row>
    <row r="39" spans="2:13" x14ac:dyDescent="0.3">
      <c r="B39" s="29" t="s">
        <v>8</v>
      </c>
      <c r="C39" s="10">
        <v>2.85</v>
      </c>
      <c r="D39" s="8">
        <v>5.0759999999999996</v>
      </c>
      <c r="E39" s="12">
        <f t="shared" si="12"/>
        <v>5.6146572104018917</v>
      </c>
      <c r="F39" s="15">
        <v>0.54</v>
      </c>
      <c r="G39" s="23">
        <v>4.2499999999999998E-4</v>
      </c>
      <c r="H39" s="15">
        <f t="shared" si="13"/>
        <v>24.394496738097136</v>
      </c>
      <c r="I39" s="24">
        <v>4.5</v>
      </c>
      <c r="J39" s="13">
        <v>6.1</v>
      </c>
      <c r="K39" s="20">
        <f t="shared" si="14"/>
        <v>4.2768974000363436</v>
      </c>
      <c r="M39" s="4">
        <f t="shared" si="15"/>
        <v>-3.2241080530071349</v>
      </c>
    </row>
    <row r="40" spans="2:13" x14ac:dyDescent="0.3">
      <c r="B40" s="29" t="s">
        <v>9</v>
      </c>
      <c r="C40" s="10">
        <v>3.8</v>
      </c>
      <c r="D40" s="8">
        <v>5.0759999999999996</v>
      </c>
      <c r="E40" s="12">
        <f t="shared" si="12"/>
        <v>7.4862096138691889</v>
      </c>
      <c r="F40" s="15">
        <v>0.54</v>
      </c>
      <c r="G40" s="23">
        <v>4.2499999999999998E-4</v>
      </c>
      <c r="H40" s="15">
        <f t="shared" si="13"/>
        <v>32.525995650796176</v>
      </c>
      <c r="I40" s="24">
        <v>4.5</v>
      </c>
      <c r="J40" s="13">
        <v>10.77</v>
      </c>
      <c r="K40" s="20">
        <f t="shared" si="14"/>
        <v>1.5980312553905942E-2</v>
      </c>
      <c r="M40" s="4">
        <f t="shared" si="15"/>
        <v>-10.050353211009174</v>
      </c>
    </row>
    <row r="41" spans="2:13" x14ac:dyDescent="0.3">
      <c r="B41" s="29" t="s">
        <v>10</v>
      </c>
      <c r="C41" s="10">
        <v>4.75</v>
      </c>
      <c r="D41" s="8">
        <v>5.0759999999999996</v>
      </c>
      <c r="E41" s="12">
        <f t="shared" si="12"/>
        <v>9.3577620173364853</v>
      </c>
      <c r="F41" s="15">
        <v>0.54</v>
      </c>
      <c r="G41" s="23">
        <v>4.2499999999999998E-4</v>
      </c>
      <c r="H41" s="15">
        <f t="shared" si="13"/>
        <v>40.65749456349522</v>
      </c>
      <c r="I41" s="24">
        <v>4.5</v>
      </c>
      <c r="J41" s="13">
        <v>15.42</v>
      </c>
      <c r="K41" s="20">
        <f t="shared" si="14"/>
        <v>-2.3540225051370016</v>
      </c>
      <c r="M41" s="4">
        <f t="shared" si="15"/>
        <v>-20.602440366972477</v>
      </c>
    </row>
    <row r="42" spans="2:13" x14ac:dyDescent="0.3">
      <c r="B42" s="29" t="s">
        <v>11</v>
      </c>
      <c r="C42" s="10">
        <v>5.7</v>
      </c>
      <c r="D42" s="8">
        <v>5.0759999999999996</v>
      </c>
      <c r="E42" s="12">
        <f t="shared" si="12"/>
        <v>11.229314420803783</v>
      </c>
      <c r="F42" s="15">
        <v>0.54</v>
      </c>
      <c r="G42" s="23">
        <v>4.2499999999999998E-4</v>
      </c>
      <c r="H42" s="15">
        <f t="shared" si="13"/>
        <v>48.788993476194271</v>
      </c>
      <c r="I42" s="24">
        <v>4.5</v>
      </c>
      <c r="J42" s="13">
        <v>18.62</v>
      </c>
      <c r="K42" s="20">
        <f t="shared" si="14"/>
        <v>-3.1032649550732407</v>
      </c>
      <c r="M42" s="4">
        <f t="shared" si="15"/>
        <v>-30.040646279306827</v>
      </c>
    </row>
    <row r="43" spans="2:13" x14ac:dyDescent="0.3">
      <c r="B43" s="29" t="s">
        <v>12</v>
      </c>
      <c r="C43" s="10">
        <v>6.7</v>
      </c>
      <c r="D43" s="8">
        <v>5.0759999999999996</v>
      </c>
      <c r="E43" s="12">
        <f t="shared" si="12"/>
        <v>13.199369582348307</v>
      </c>
      <c r="F43" s="15">
        <v>0.54</v>
      </c>
      <c r="G43" s="23">
        <v>4.2499999999999998E-4</v>
      </c>
      <c r="H43" s="15">
        <f t="shared" si="13"/>
        <v>57.348466015877477</v>
      </c>
      <c r="I43" s="24">
        <v>4.5</v>
      </c>
      <c r="J43" s="13">
        <v>21.79</v>
      </c>
      <c r="K43" s="20">
        <f t="shared" si="14"/>
        <v>-3.4959919220332347</v>
      </c>
      <c r="M43" s="4">
        <f t="shared" si="15"/>
        <v>-41.140008664627921</v>
      </c>
    </row>
    <row r="44" spans="2:13" x14ac:dyDescent="0.3">
      <c r="B44" s="30"/>
      <c r="C44" s="21"/>
      <c r="D44" s="21"/>
      <c r="E44" s="21"/>
      <c r="F44" s="18"/>
      <c r="G44" s="18"/>
      <c r="H44" s="21"/>
      <c r="I44" s="21"/>
      <c r="J44" s="17"/>
      <c r="K44" s="14"/>
    </row>
    <row r="45" spans="2:13" x14ac:dyDescent="0.3">
      <c r="B45" s="3" t="s">
        <v>30</v>
      </c>
      <c r="C45" s="3"/>
      <c r="D45" s="3"/>
      <c r="E45" s="3"/>
      <c r="F45" s="3"/>
      <c r="G45" s="3"/>
      <c r="H45" s="3"/>
      <c r="I45" s="3"/>
      <c r="J45" s="3"/>
      <c r="K45" s="3"/>
    </row>
    <row r="46" spans="2:13" ht="18" x14ac:dyDescent="0.3">
      <c r="B46" s="29"/>
      <c r="C46" s="22" t="s">
        <v>18</v>
      </c>
      <c r="D46" s="8" t="s">
        <v>19</v>
      </c>
      <c r="E46" s="6" t="s">
        <v>20</v>
      </c>
      <c r="F46" s="8" t="s">
        <v>21</v>
      </c>
      <c r="G46" s="10" t="s">
        <v>16</v>
      </c>
      <c r="H46" s="6" t="s">
        <v>0</v>
      </c>
      <c r="I46" s="6" t="s">
        <v>22</v>
      </c>
      <c r="J46" s="10" t="s">
        <v>23</v>
      </c>
      <c r="K46" s="11" t="s">
        <v>14</v>
      </c>
      <c r="M46" s="4" t="s">
        <v>24</v>
      </c>
    </row>
    <row r="47" spans="2:13" ht="16.8" x14ac:dyDescent="0.3">
      <c r="B47" s="29" t="s">
        <v>1</v>
      </c>
      <c r="C47" s="22"/>
      <c r="D47" s="8" t="s">
        <v>25</v>
      </c>
      <c r="E47" s="6" t="s">
        <v>2</v>
      </c>
      <c r="F47" s="8" t="s">
        <v>3</v>
      </c>
      <c r="G47" s="10" t="s">
        <v>4</v>
      </c>
      <c r="H47" s="6" t="s">
        <v>4</v>
      </c>
      <c r="I47" s="6" t="s">
        <v>5</v>
      </c>
      <c r="J47" s="10" t="s">
        <v>2</v>
      </c>
      <c r="K47" s="11" t="s">
        <v>4</v>
      </c>
      <c r="M47" s="4" t="s">
        <v>15</v>
      </c>
    </row>
    <row r="48" spans="2:13" x14ac:dyDescent="0.3">
      <c r="B48" s="29" t="s">
        <v>6</v>
      </c>
      <c r="C48" s="10">
        <v>1.4</v>
      </c>
      <c r="D48" s="8">
        <v>7.6139999999999999</v>
      </c>
      <c r="E48" s="12">
        <f t="shared" ref="E48:E54" si="16">(C48*10^-3)/(D48*10^-4)</f>
        <v>1.8387181507748882</v>
      </c>
      <c r="F48" s="15">
        <v>0.81</v>
      </c>
      <c r="G48" s="23">
        <v>3.7299999999999998E-3</v>
      </c>
      <c r="H48" s="15">
        <f t="shared" ref="H48:H54" si="17">(E48)/((9.81*F48*10^-2))^(1/2)</f>
        <v>6.5228613923163552</v>
      </c>
      <c r="I48" s="24">
        <v>3</v>
      </c>
      <c r="J48" s="13">
        <v>0</v>
      </c>
      <c r="K48" s="20">
        <f t="shared" ref="K48:K54" si="18">(10.33+M48-0.234)/((E48^2)/19.62)</f>
        <v>58.589260778703682</v>
      </c>
      <c r="M48" s="4">
        <f>-(1.7*J48^2)/19.62</f>
        <v>0</v>
      </c>
    </row>
    <row r="49" spans="2:13" x14ac:dyDescent="0.3">
      <c r="B49" s="29" t="s">
        <v>7</v>
      </c>
      <c r="C49" s="10">
        <v>2.8</v>
      </c>
      <c r="D49" s="8">
        <v>7.6139999999999999</v>
      </c>
      <c r="E49" s="12">
        <f t="shared" si="16"/>
        <v>3.6774363015497764</v>
      </c>
      <c r="F49" s="15">
        <v>0.81</v>
      </c>
      <c r="G49" s="23">
        <v>3.7299999999999998E-3</v>
      </c>
      <c r="H49" s="15">
        <f t="shared" si="17"/>
        <v>13.04572278463271</v>
      </c>
      <c r="I49" s="24">
        <v>4.5</v>
      </c>
      <c r="J49" s="13">
        <v>0.6</v>
      </c>
      <c r="K49" s="20">
        <f t="shared" si="18"/>
        <v>14.6020607641249</v>
      </c>
      <c r="M49" s="4">
        <f t="shared" ref="M49:M54" si="19">-(1.7*J49^2)/19.62</f>
        <v>-3.1192660550458714E-2</v>
      </c>
    </row>
    <row r="50" spans="2:13" x14ac:dyDescent="0.3">
      <c r="B50" s="29" t="s">
        <v>8</v>
      </c>
      <c r="C50" s="10">
        <v>4.2</v>
      </c>
      <c r="D50" s="8">
        <v>7.6139999999999999</v>
      </c>
      <c r="E50" s="12">
        <f t="shared" si="16"/>
        <v>5.5161544523246651</v>
      </c>
      <c r="F50" s="15">
        <v>0.81</v>
      </c>
      <c r="G50" s="23">
        <v>3.7299999999999998E-3</v>
      </c>
      <c r="H50" s="15">
        <f t="shared" si="17"/>
        <v>19.568584176949066</v>
      </c>
      <c r="I50" s="24">
        <v>4.5</v>
      </c>
      <c r="J50" s="13">
        <v>5.84</v>
      </c>
      <c r="K50" s="20">
        <f t="shared" si="18"/>
        <v>4.6044493376326541</v>
      </c>
      <c r="M50" s="4">
        <f t="shared" si="19"/>
        <v>-2.955123343527013</v>
      </c>
    </row>
    <row r="51" spans="2:13" x14ac:dyDescent="0.3">
      <c r="B51" s="29" t="s">
        <v>9</v>
      </c>
      <c r="C51" s="10">
        <v>5.6</v>
      </c>
      <c r="D51" s="8">
        <v>7.6139999999999999</v>
      </c>
      <c r="E51" s="12">
        <f t="shared" si="16"/>
        <v>7.3548726030995528</v>
      </c>
      <c r="F51" s="15">
        <v>0.81</v>
      </c>
      <c r="G51" s="23">
        <v>3.7299999999999998E-3</v>
      </c>
      <c r="H51" s="15">
        <f t="shared" si="17"/>
        <v>26.091445569265421</v>
      </c>
      <c r="I51" s="24">
        <v>4.5</v>
      </c>
      <c r="J51" s="13">
        <v>10.72</v>
      </c>
      <c r="K51" s="20">
        <f t="shared" si="18"/>
        <v>5.032410989510213E-2</v>
      </c>
      <c r="M51" s="4">
        <f t="shared" si="19"/>
        <v>-9.9572517838939856</v>
      </c>
    </row>
    <row r="52" spans="2:13" x14ac:dyDescent="0.3">
      <c r="B52" s="29" t="s">
        <v>10</v>
      </c>
      <c r="C52" s="10">
        <v>7</v>
      </c>
      <c r="D52" s="8">
        <v>7.6139999999999999</v>
      </c>
      <c r="E52" s="12">
        <f t="shared" si="16"/>
        <v>9.1935907538744406</v>
      </c>
      <c r="F52" s="15">
        <v>0.81</v>
      </c>
      <c r="G52" s="23">
        <v>3.7299999999999998E-3</v>
      </c>
      <c r="H52" s="15">
        <f t="shared" si="17"/>
        <v>32.614306961581775</v>
      </c>
      <c r="I52" s="24">
        <v>4.5</v>
      </c>
      <c r="J52" s="13">
        <v>15.69</v>
      </c>
      <c r="K52" s="20">
        <f t="shared" si="18"/>
        <v>-2.6077892225278783</v>
      </c>
      <c r="M52" s="4">
        <f t="shared" si="19"/>
        <v>-21.330243119266054</v>
      </c>
    </row>
    <row r="53" spans="2:13" x14ac:dyDescent="0.3">
      <c r="B53" s="29" t="s">
        <v>11</v>
      </c>
      <c r="C53" s="10">
        <v>8.4</v>
      </c>
      <c r="D53" s="8">
        <v>7.6139999999999999</v>
      </c>
      <c r="E53" s="12">
        <f t="shared" si="16"/>
        <v>11.03230890464933</v>
      </c>
      <c r="F53" s="15">
        <v>0.81</v>
      </c>
      <c r="G53" s="23">
        <v>3.7299999999999998E-3</v>
      </c>
      <c r="H53" s="15">
        <f t="shared" si="17"/>
        <v>39.137168353898133</v>
      </c>
      <c r="I53" s="24">
        <v>4.5</v>
      </c>
      <c r="J53" s="13">
        <v>18.45</v>
      </c>
      <c r="K53" s="20">
        <f t="shared" si="18"/>
        <v>-3.1270641436914794</v>
      </c>
      <c r="M53" s="4">
        <f t="shared" si="19"/>
        <v>-29.494610091743112</v>
      </c>
    </row>
    <row r="54" spans="2:13" x14ac:dyDescent="0.3">
      <c r="B54" s="29" t="s">
        <v>12</v>
      </c>
      <c r="C54" s="13">
        <v>9.8000000000000007</v>
      </c>
      <c r="D54" s="8">
        <v>7.6139999999999999</v>
      </c>
      <c r="E54" s="12">
        <f t="shared" si="16"/>
        <v>12.87102705542422</v>
      </c>
      <c r="F54" s="15">
        <v>0.81</v>
      </c>
      <c r="G54" s="23">
        <v>3.7299999999999998E-3</v>
      </c>
      <c r="H54" s="15">
        <f t="shared" si="17"/>
        <v>45.660029746214491</v>
      </c>
      <c r="I54" s="24">
        <v>4.5</v>
      </c>
      <c r="J54" s="13">
        <v>22.75</v>
      </c>
      <c r="K54" s="20">
        <f t="shared" si="18"/>
        <v>-4.115411052602985</v>
      </c>
      <c r="M54" s="4">
        <f t="shared" si="19"/>
        <v>-44.844864933741071</v>
      </c>
    </row>
    <row r="55" spans="2:13" x14ac:dyDescent="0.3">
      <c r="B55" s="30"/>
      <c r="C55" s="21"/>
      <c r="D55" s="21"/>
      <c r="E55" s="21"/>
      <c r="F55" s="18"/>
      <c r="G55" s="18"/>
      <c r="H55" s="21"/>
      <c r="I55" s="21"/>
      <c r="J55" s="17"/>
      <c r="K55" s="14"/>
    </row>
    <row r="56" spans="2:13" x14ac:dyDescent="0.3">
      <c r="B56" s="3" t="s">
        <v>31</v>
      </c>
      <c r="C56" s="3"/>
      <c r="D56" s="3"/>
      <c r="E56" s="3"/>
      <c r="F56" s="3"/>
      <c r="G56" s="3"/>
      <c r="H56" s="3"/>
      <c r="I56" s="3"/>
      <c r="J56" s="3"/>
      <c r="K56" s="3"/>
    </row>
    <row r="57" spans="2:13" ht="18" x14ac:dyDescent="0.3">
      <c r="B57" s="29"/>
      <c r="C57" s="22" t="s">
        <v>18</v>
      </c>
      <c r="D57" s="8" t="s">
        <v>19</v>
      </c>
      <c r="E57" s="6" t="s">
        <v>20</v>
      </c>
      <c r="F57" s="8" t="s">
        <v>21</v>
      </c>
      <c r="G57" s="10" t="s">
        <v>16</v>
      </c>
      <c r="H57" s="6" t="s">
        <v>0</v>
      </c>
      <c r="I57" s="6" t="s">
        <v>22</v>
      </c>
      <c r="J57" s="10" t="s">
        <v>23</v>
      </c>
      <c r="K57" s="11" t="s">
        <v>14</v>
      </c>
      <c r="M57" s="4" t="s">
        <v>24</v>
      </c>
    </row>
    <row r="58" spans="2:13" ht="16.8" x14ac:dyDescent="0.3">
      <c r="B58" s="29" t="s">
        <v>1</v>
      </c>
      <c r="C58" s="22"/>
      <c r="D58" s="8" t="s">
        <v>25</v>
      </c>
      <c r="E58" s="6" t="s">
        <v>2</v>
      </c>
      <c r="F58" s="8" t="s">
        <v>3</v>
      </c>
      <c r="G58" s="10" t="s">
        <v>4</v>
      </c>
      <c r="H58" s="6" t="s">
        <v>4</v>
      </c>
      <c r="I58" s="6" t="s">
        <v>5</v>
      </c>
      <c r="J58" s="10" t="s">
        <v>2</v>
      </c>
      <c r="K58" s="11" t="s">
        <v>4</v>
      </c>
      <c r="M58" s="4" t="s">
        <v>15</v>
      </c>
    </row>
    <row r="59" spans="2:13" x14ac:dyDescent="0.3">
      <c r="B59" s="29" t="s">
        <v>6</v>
      </c>
      <c r="C59" s="10">
        <v>1.4</v>
      </c>
      <c r="D59" s="8">
        <v>7.6139999999999999</v>
      </c>
      <c r="E59" s="12">
        <f t="shared" ref="E59:E65" si="20">(C59*10^-3)/(D59*10^-4)</f>
        <v>1.8387181507748882</v>
      </c>
      <c r="F59" s="15">
        <v>0.81</v>
      </c>
      <c r="G59" s="23">
        <v>1.8649999999999999E-3</v>
      </c>
      <c r="H59" s="15">
        <f t="shared" ref="H59:H65" si="21">(E59)/((9.81*F59*10^-2))^(1/2)</f>
        <v>6.5228613923163552</v>
      </c>
      <c r="I59" s="24">
        <v>3</v>
      </c>
      <c r="J59" s="13">
        <v>0</v>
      </c>
      <c r="K59" s="20">
        <f t="shared" ref="K59:K65" si="22">(10.33+M59-0.234)/((E59^2)/19.62)</f>
        <v>58.589260778703682</v>
      </c>
      <c r="M59" s="4">
        <f>-(1.7*J59^2)/19.62</f>
        <v>0</v>
      </c>
    </row>
    <row r="60" spans="2:13" x14ac:dyDescent="0.3">
      <c r="B60" s="29" t="s">
        <v>7</v>
      </c>
      <c r="C60" s="10">
        <v>2.8</v>
      </c>
      <c r="D60" s="8">
        <v>7.6139999999999999</v>
      </c>
      <c r="E60" s="12">
        <f t="shared" si="20"/>
        <v>3.6774363015497764</v>
      </c>
      <c r="F60" s="15">
        <v>0.81</v>
      </c>
      <c r="G60" s="23">
        <v>1.8649999999999999E-3</v>
      </c>
      <c r="H60" s="15">
        <f t="shared" si="21"/>
        <v>13.04572278463271</v>
      </c>
      <c r="I60" s="24">
        <v>4.5</v>
      </c>
      <c r="J60" s="13">
        <v>1.45</v>
      </c>
      <c r="K60" s="20">
        <f t="shared" si="22"/>
        <v>14.38301674958281</v>
      </c>
      <c r="M60" s="4">
        <f t="shared" ref="M60:M65" si="23">-(1.7*J60^2)/19.62</f>
        <v>-0.18217380224260957</v>
      </c>
    </row>
    <row r="61" spans="2:13" x14ac:dyDescent="0.3">
      <c r="B61" s="29" t="s">
        <v>8</v>
      </c>
      <c r="C61" s="10">
        <v>4.2</v>
      </c>
      <c r="D61" s="8">
        <v>7.6139999999999999</v>
      </c>
      <c r="E61" s="12">
        <f t="shared" si="20"/>
        <v>5.5161544523246651</v>
      </c>
      <c r="F61" s="15">
        <v>0.81</v>
      </c>
      <c r="G61" s="23">
        <v>1.8649999999999999E-3</v>
      </c>
      <c r="H61" s="15">
        <f t="shared" si="21"/>
        <v>19.568584176949066</v>
      </c>
      <c r="I61" s="24">
        <v>4.5</v>
      </c>
      <c r="J61" s="13">
        <v>6.98</v>
      </c>
      <c r="K61" s="20">
        <f t="shared" si="22"/>
        <v>3.7879253232906129</v>
      </c>
      <c r="M61" s="4">
        <f t="shared" si="23"/>
        <v>-4.2214413863404685</v>
      </c>
    </row>
    <row r="62" spans="2:13" x14ac:dyDescent="0.3">
      <c r="B62" s="29" t="s">
        <v>9</v>
      </c>
      <c r="C62" s="10">
        <v>5.6</v>
      </c>
      <c r="D62" s="8">
        <v>7.6139999999999999</v>
      </c>
      <c r="E62" s="12">
        <f t="shared" si="20"/>
        <v>7.3548726030995528</v>
      </c>
      <c r="F62" s="15">
        <v>0.81</v>
      </c>
      <c r="G62" s="23">
        <v>1.8649999999999999E-3</v>
      </c>
      <c r="H62" s="15">
        <f t="shared" si="21"/>
        <v>26.091445569265421</v>
      </c>
      <c r="I62" s="24">
        <v>4.5</v>
      </c>
      <c r="J62" s="13">
        <v>15.98</v>
      </c>
      <c r="K62" s="20">
        <f t="shared" si="22"/>
        <v>-4.3633027897204597</v>
      </c>
      <c r="M62" s="4">
        <f t="shared" si="23"/>
        <v>-22.126028542303771</v>
      </c>
    </row>
    <row r="63" spans="2:13" x14ac:dyDescent="0.3">
      <c r="B63" s="29" t="s">
        <v>10</v>
      </c>
      <c r="C63" s="10">
        <v>7</v>
      </c>
      <c r="D63" s="8">
        <v>7.6139999999999999</v>
      </c>
      <c r="E63" s="12">
        <f t="shared" si="20"/>
        <v>9.1935907538744406</v>
      </c>
      <c r="F63" s="15">
        <v>0.81</v>
      </c>
      <c r="G63" s="23">
        <v>1.8649999999999999E-3</v>
      </c>
      <c r="H63" s="15">
        <f t="shared" si="21"/>
        <v>32.614306961581775</v>
      </c>
      <c r="I63" s="24">
        <v>4.5</v>
      </c>
      <c r="J63" s="13">
        <v>19.27</v>
      </c>
      <c r="K63" s="20">
        <f t="shared" si="22"/>
        <v>-5.125077984122524</v>
      </c>
      <c r="M63" s="4">
        <f t="shared" si="23"/>
        <v>-32.174614169215083</v>
      </c>
    </row>
    <row r="64" spans="2:13" x14ac:dyDescent="0.3">
      <c r="B64" s="29" t="s">
        <v>11</v>
      </c>
      <c r="C64" s="10">
        <v>8.4</v>
      </c>
      <c r="D64" s="8">
        <v>7.6139999999999999</v>
      </c>
      <c r="E64" s="12">
        <f t="shared" si="20"/>
        <v>11.03230890464933</v>
      </c>
      <c r="F64" s="15">
        <v>0.81</v>
      </c>
      <c r="G64" s="23">
        <v>1.8649999999999999E-3</v>
      </c>
      <c r="H64" s="15">
        <f t="shared" si="21"/>
        <v>39.137168353898133</v>
      </c>
      <c r="I64" s="24">
        <v>4.5</v>
      </c>
      <c r="J64" s="13">
        <v>26.83</v>
      </c>
      <c r="K64" s="20">
        <f t="shared" si="22"/>
        <v>-8.4269501796898467</v>
      </c>
      <c r="M64" s="4">
        <f t="shared" si="23"/>
        <v>-62.372228848114155</v>
      </c>
    </row>
    <row r="65" spans="2:13" x14ac:dyDescent="0.3">
      <c r="B65" s="29" t="s">
        <v>12</v>
      </c>
      <c r="C65" s="13">
        <v>9.8000000000000007</v>
      </c>
      <c r="D65" s="8">
        <v>7.6139999999999999</v>
      </c>
      <c r="E65" s="12">
        <f t="shared" si="20"/>
        <v>12.87102705542422</v>
      </c>
      <c r="F65" s="15">
        <v>0.81</v>
      </c>
      <c r="G65" s="23">
        <v>1.8649999999999999E-3</v>
      </c>
      <c r="H65" s="15">
        <f t="shared" si="21"/>
        <v>45.660029746214491</v>
      </c>
      <c r="I65" s="24">
        <v>4.5</v>
      </c>
      <c r="J65" s="13">
        <v>32.19</v>
      </c>
      <c r="K65" s="20">
        <f t="shared" si="22"/>
        <v>-9.4375126926541597</v>
      </c>
      <c r="M65" s="4">
        <f t="shared" si="23"/>
        <v>-89.782536697247679</v>
      </c>
    </row>
    <row r="66" spans="2:13" x14ac:dyDescent="0.3">
      <c r="B66" s="31"/>
      <c r="C66" s="21"/>
      <c r="D66" s="21"/>
      <c r="E66" s="21"/>
      <c r="F66" s="18"/>
      <c r="G66" s="18"/>
      <c r="H66" s="21"/>
      <c r="I66" s="21"/>
      <c r="J66" s="17"/>
      <c r="K66" s="14"/>
    </row>
    <row r="67" spans="2:13" x14ac:dyDescent="0.3">
      <c r="B67" s="3" t="s">
        <v>32</v>
      </c>
      <c r="C67" s="3"/>
      <c r="D67" s="3"/>
      <c r="E67" s="3"/>
      <c r="F67" s="3"/>
      <c r="G67" s="3"/>
      <c r="H67" s="3"/>
      <c r="I67" s="3"/>
      <c r="J67" s="3"/>
      <c r="K67" s="3"/>
    </row>
    <row r="68" spans="2:13" ht="18" x14ac:dyDescent="0.3">
      <c r="B68" s="29"/>
      <c r="C68" s="22" t="s">
        <v>18</v>
      </c>
      <c r="D68" s="8" t="s">
        <v>19</v>
      </c>
      <c r="E68" s="6" t="s">
        <v>20</v>
      </c>
      <c r="F68" s="8" t="s">
        <v>21</v>
      </c>
      <c r="G68" s="10" t="s">
        <v>16</v>
      </c>
      <c r="H68" s="6" t="s">
        <v>0</v>
      </c>
      <c r="I68" s="6" t="s">
        <v>22</v>
      </c>
      <c r="J68" s="10" t="s">
        <v>23</v>
      </c>
      <c r="K68" s="11" t="s">
        <v>14</v>
      </c>
      <c r="M68" s="4" t="s">
        <v>24</v>
      </c>
    </row>
    <row r="69" spans="2:13" ht="16.8" x14ac:dyDescent="0.3">
      <c r="B69" s="29" t="s">
        <v>1</v>
      </c>
      <c r="C69" s="22"/>
      <c r="D69" s="8" t="s">
        <v>25</v>
      </c>
      <c r="E69" s="6" t="s">
        <v>2</v>
      </c>
      <c r="F69" s="8" t="s">
        <v>3</v>
      </c>
      <c r="G69" s="10" t="s">
        <v>4</v>
      </c>
      <c r="H69" s="6" t="s">
        <v>4</v>
      </c>
      <c r="I69" s="6" t="s">
        <v>5</v>
      </c>
      <c r="J69" s="10" t="s">
        <v>2</v>
      </c>
      <c r="K69" s="11" t="s">
        <v>4</v>
      </c>
      <c r="M69" s="4" t="s">
        <v>15</v>
      </c>
    </row>
    <row r="70" spans="2:13" x14ac:dyDescent="0.3">
      <c r="B70" s="29" t="s">
        <v>6</v>
      </c>
      <c r="C70" s="10">
        <v>1.4</v>
      </c>
      <c r="D70" s="8">
        <v>7.6139999999999999</v>
      </c>
      <c r="E70" s="12">
        <f t="shared" ref="E70:E76" si="24">(C70*10^-3)/(D70*10^-4)</f>
        <v>1.8387181507748882</v>
      </c>
      <c r="F70" s="15">
        <v>0.81</v>
      </c>
      <c r="G70" s="23">
        <v>9.3249999999999995E-4</v>
      </c>
      <c r="H70" s="15">
        <f t="shared" ref="H70:H76" si="25">(E70)/((9.81*F70*10^-2))^(1/2)</f>
        <v>6.5228613923163552</v>
      </c>
      <c r="I70" s="24">
        <v>3</v>
      </c>
      <c r="J70" s="13">
        <v>0</v>
      </c>
      <c r="K70" s="20">
        <f t="shared" ref="K70:K76" si="26">(10.33+M70-0.234)/((E70^2)/19.62)</f>
        <v>58.589260778703682</v>
      </c>
      <c r="M70" s="4">
        <f>-(1.7*J70^2)/19.62</f>
        <v>0</v>
      </c>
    </row>
    <row r="71" spans="2:13" x14ac:dyDescent="0.3">
      <c r="B71" s="29" t="s">
        <v>7</v>
      </c>
      <c r="C71" s="10">
        <v>2.8</v>
      </c>
      <c r="D71" s="8">
        <v>7.6139999999999999</v>
      </c>
      <c r="E71" s="12">
        <f t="shared" si="24"/>
        <v>3.6774363015497764</v>
      </c>
      <c r="F71" s="15">
        <v>0.81</v>
      </c>
      <c r="G71" s="23">
        <v>9.3249999999999995E-4</v>
      </c>
      <c r="H71" s="15">
        <f t="shared" si="25"/>
        <v>13.04572278463271</v>
      </c>
      <c r="I71" s="24">
        <v>4.5</v>
      </c>
      <c r="J71" s="13">
        <v>0.89</v>
      </c>
      <c r="K71" s="20">
        <f t="shared" si="26"/>
        <v>14.547742876788522</v>
      </c>
      <c r="M71" s="4">
        <f t="shared" ref="M71:M76" si="27">-(1.7*J71^2)/19.62</f>
        <v>-6.8632517838939852E-2</v>
      </c>
    </row>
    <row r="72" spans="2:13" x14ac:dyDescent="0.3">
      <c r="B72" s="29" t="s">
        <v>8</v>
      </c>
      <c r="C72" s="10">
        <v>4.2</v>
      </c>
      <c r="D72" s="8">
        <v>7.6139999999999999</v>
      </c>
      <c r="E72" s="12">
        <f t="shared" si="24"/>
        <v>5.5161544523246651</v>
      </c>
      <c r="F72" s="15">
        <v>0.81</v>
      </c>
      <c r="G72" s="23">
        <v>9.3249999999999995E-4</v>
      </c>
      <c r="H72" s="15">
        <f t="shared" si="25"/>
        <v>19.568584176949066</v>
      </c>
      <c r="I72" s="24">
        <v>4.5</v>
      </c>
      <c r="J72" s="13">
        <v>6.78</v>
      </c>
      <c r="K72" s="20">
        <f t="shared" si="26"/>
        <v>3.9416786478293884</v>
      </c>
      <c r="M72" s="4">
        <f t="shared" si="27"/>
        <v>-3.9829908256880735</v>
      </c>
    </row>
    <row r="73" spans="2:13" x14ac:dyDescent="0.3">
      <c r="B73" s="29" t="s">
        <v>9</v>
      </c>
      <c r="C73" s="10">
        <v>5.6</v>
      </c>
      <c r="D73" s="8">
        <v>7.6139999999999999</v>
      </c>
      <c r="E73" s="12">
        <f t="shared" si="24"/>
        <v>7.3548726030995528</v>
      </c>
      <c r="F73" s="15">
        <v>0.81</v>
      </c>
      <c r="G73" s="23">
        <v>9.3249999999999995E-4</v>
      </c>
      <c r="H73" s="15">
        <f t="shared" si="25"/>
        <v>26.091445569265421</v>
      </c>
      <c r="I73" s="24">
        <v>4.5</v>
      </c>
      <c r="J73" s="13">
        <v>14.56</v>
      </c>
      <c r="K73" s="20">
        <f t="shared" si="26"/>
        <v>-3.0004279016510198</v>
      </c>
      <c r="M73" s="4">
        <f t="shared" si="27"/>
        <v>-18.368456676860344</v>
      </c>
    </row>
    <row r="74" spans="2:13" x14ac:dyDescent="0.3">
      <c r="B74" s="29" t="s">
        <v>10</v>
      </c>
      <c r="C74" s="10">
        <v>7</v>
      </c>
      <c r="D74" s="8">
        <v>7.6139999999999999</v>
      </c>
      <c r="E74" s="12">
        <f t="shared" si="24"/>
        <v>9.1935907538744406</v>
      </c>
      <c r="F74" s="15">
        <v>0.81</v>
      </c>
      <c r="G74" s="23">
        <v>9.3249999999999995E-4</v>
      </c>
      <c r="H74" s="15">
        <f t="shared" si="25"/>
        <v>32.614306961581775</v>
      </c>
      <c r="I74" s="24">
        <v>4.5</v>
      </c>
      <c r="J74" s="13">
        <v>18.12</v>
      </c>
      <c r="K74" s="20">
        <f t="shared" si="26"/>
        <v>-4.2602457032122789</v>
      </c>
      <c r="M74" s="4">
        <f t="shared" si="27"/>
        <v>-28.448954128440366</v>
      </c>
    </row>
    <row r="75" spans="2:13" x14ac:dyDescent="0.3">
      <c r="B75" s="29" t="s">
        <v>11</v>
      </c>
      <c r="C75" s="10">
        <v>8.4</v>
      </c>
      <c r="D75" s="8">
        <v>7.6139999999999999</v>
      </c>
      <c r="E75" s="12">
        <f t="shared" si="24"/>
        <v>11.03230890464933</v>
      </c>
      <c r="F75" s="15">
        <v>0.81</v>
      </c>
      <c r="G75" s="23">
        <v>9.3249999999999995E-4</v>
      </c>
      <c r="H75" s="15">
        <f t="shared" si="25"/>
        <v>39.137168353898133</v>
      </c>
      <c r="I75" s="24">
        <v>4.5</v>
      </c>
      <c r="J75" s="13">
        <v>24.45</v>
      </c>
      <c r="K75" s="20">
        <f t="shared" si="26"/>
        <v>-6.7222772374669901</v>
      </c>
      <c r="M75" s="4">
        <f t="shared" si="27"/>
        <v>-51.797362385321094</v>
      </c>
    </row>
    <row r="76" spans="2:13" x14ac:dyDescent="0.3">
      <c r="B76" s="29" t="s">
        <v>12</v>
      </c>
      <c r="C76" s="13">
        <v>9.8000000000000007</v>
      </c>
      <c r="D76" s="8">
        <v>7.6139999999999999</v>
      </c>
      <c r="E76" s="12">
        <f t="shared" si="24"/>
        <v>12.87102705542422</v>
      </c>
      <c r="F76" s="15">
        <v>0.81</v>
      </c>
      <c r="G76" s="23">
        <v>9.3249999999999995E-4</v>
      </c>
      <c r="H76" s="15">
        <f t="shared" si="25"/>
        <v>45.660029746214491</v>
      </c>
      <c r="I76" s="24">
        <v>4.5</v>
      </c>
      <c r="J76" s="13">
        <v>31.18</v>
      </c>
      <c r="K76" s="20">
        <f t="shared" si="26"/>
        <v>-8.7807210834345835</v>
      </c>
      <c r="M76" s="4">
        <f t="shared" si="27"/>
        <v>-84.236854230377162</v>
      </c>
    </row>
    <row r="77" spans="2:13" x14ac:dyDescent="0.3">
      <c r="B77" s="31"/>
      <c r="C77" s="21"/>
      <c r="D77" s="21"/>
      <c r="E77" s="21"/>
      <c r="F77" s="18"/>
      <c r="G77" s="18"/>
      <c r="H77" s="21"/>
      <c r="I77" s="21"/>
      <c r="J77" s="17"/>
      <c r="K77" s="14"/>
    </row>
    <row r="78" spans="2:13" x14ac:dyDescent="0.3">
      <c r="B78" s="3" t="s">
        <v>33</v>
      </c>
      <c r="C78" s="3"/>
      <c r="D78" s="3"/>
      <c r="E78" s="3"/>
      <c r="F78" s="3"/>
      <c r="G78" s="3"/>
      <c r="H78" s="3"/>
      <c r="I78" s="3"/>
      <c r="J78" s="3"/>
      <c r="K78" s="3"/>
    </row>
    <row r="79" spans="2:13" ht="18" x14ac:dyDescent="0.3">
      <c r="B79" s="29"/>
      <c r="C79" s="22" t="s">
        <v>18</v>
      </c>
      <c r="D79" s="8" t="s">
        <v>19</v>
      </c>
      <c r="E79" s="6" t="s">
        <v>20</v>
      </c>
      <c r="F79" s="8" t="s">
        <v>21</v>
      </c>
      <c r="G79" s="10" t="s">
        <v>16</v>
      </c>
      <c r="H79" s="6" t="s">
        <v>0</v>
      </c>
      <c r="I79" s="6" t="s">
        <v>22</v>
      </c>
      <c r="J79" s="10" t="s">
        <v>23</v>
      </c>
      <c r="K79" s="11" t="s">
        <v>14</v>
      </c>
      <c r="M79" s="4" t="s">
        <v>24</v>
      </c>
    </row>
    <row r="80" spans="2:13" ht="16.8" x14ac:dyDescent="0.3">
      <c r="B80" s="29" t="s">
        <v>1</v>
      </c>
      <c r="C80" s="22"/>
      <c r="D80" s="8" t="s">
        <v>25</v>
      </c>
      <c r="E80" s="6" t="s">
        <v>2</v>
      </c>
      <c r="F80" s="8" t="s">
        <v>3</v>
      </c>
      <c r="G80" s="10" t="s">
        <v>4</v>
      </c>
      <c r="H80" s="6" t="s">
        <v>4</v>
      </c>
      <c r="I80" s="6" t="s">
        <v>5</v>
      </c>
      <c r="J80" s="10" t="s">
        <v>2</v>
      </c>
      <c r="K80" s="11" t="s">
        <v>4</v>
      </c>
      <c r="M80" s="4" t="s">
        <v>15</v>
      </c>
    </row>
    <row r="81" spans="2:13" x14ac:dyDescent="0.3">
      <c r="B81" s="29" t="s">
        <v>6</v>
      </c>
      <c r="C81" s="10">
        <v>1.4</v>
      </c>
      <c r="D81" s="8">
        <v>7.6139999999999999</v>
      </c>
      <c r="E81" s="12">
        <f t="shared" ref="E81:E87" si="28">(C81*10^-3)/(D81*10^-4)</f>
        <v>1.8387181507748882</v>
      </c>
      <c r="F81" s="15">
        <v>0.81</v>
      </c>
      <c r="G81" s="23">
        <v>6.2169999999999999E-4</v>
      </c>
      <c r="H81" s="15">
        <f t="shared" ref="H81:H87" si="29">(E81)/((9.81*F81*10^-2))^(1/2)</f>
        <v>6.5228613923163552</v>
      </c>
      <c r="I81" s="24">
        <v>3</v>
      </c>
      <c r="J81" s="13">
        <v>0</v>
      </c>
      <c r="K81" s="20">
        <f t="shared" ref="K81:K87" si="30">(10.33+M81-0.234)/((E81^2)/19.62)</f>
        <v>58.589260778703682</v>
      </c>
      <c r="M81" s="4">
        <f>-(1.7*J81^2)/19.62</f>
        <v>0</v>
      </c>
    </row>
    <row r="82" spans="2:13" x14ac:dyDescent="0.3">
      <c r="B82" s="29" t="s">
        <v>7</v>
      </c>
      <c r="C82" s="10">
        <v>2.8</v>
      </c>
      <c r="D82" s="8">
        <v>7.6139999999999999</v>
      </c>
      <c r="E82" s="12">
        <f t="shared" si="28"/>
        <v>3.6774363015497764</v>
      </c>
      <c r="F82" s="15">
        <v>0.81</v>
      </c>
      <c r="G82" s="23">
        <v>6.2169999999999999E-4</v>
      </c>
      <c r="H82" s="15">
        <f t="shared" si="29"/>
        <v>13.04572278463271</v>
      </c>
      <c r="I82" s="24">
        <v>4.5</v>
      </c>
      <c r="J82" s="13">
        <v>1.2</v>
      </c>
      <c r="K82" s="20">
        <f t="shared" si="30"/>
        <v>14.46629747247184</v>
      </c>
      <c r="M82" s="4">
        <f t="shared" ref="M82:M87" si="31">-(1.7*J82^2)/19.62</f>
        <v>-0.12477064220183486</v>
      </c>
    </row>
    <row r="83" spans="2:13" x14ac:dyDescent="0.3">
      <c r="B83" s="29" t="s">
        <v>8</v>
      </c>
      <c r="C83" s="10">
        <v>4.2</v>
      </c>
      <c r="D83" s="8">
        <v>7.6139999999999999</v>
      </c>
      <c r="E83" s="12">
        <f t="shared" si="28"/>
        <v>5.5161544523246651</v>
      </c>
      <c r="F83" s="15">
        <v>0.81</v>
      </c>
      <c r="G83" s="23">
        <v>6.2169999999999999E-4</v>
      </c>
      <c r="H83" s="15">
        <f t="shared" si="29"/>
        <v>19.568584176949066</v>
      </c>
      <c r="I83" s="24">
        <v>4.5</v>
      </c>
      <c r="J83" s="13">
        <v>6.88</v>
      </c>
      <c r="K83" s="20">
        <f t="shared" si="30"/>
        <v>3.865360682233471</v>
      </c>
      <c r="M83" s="4">
        <f t="shared" si="31"/>
        <v>-4.1013496432212015</v>
      </c>
    </row>
    <row r="84" spans="2:13" x14ac:dyDescent="0.3">
      <c r="B84" s="29" t="s">
        <v>9</v>
      </c>
      <c r="C84" s="10">
        <v>5.6</v>
      </c>
      <c r="D84" s="8">
        <v>7.6139999999999999</v>
      </c>
      <c r="E84" s="12">
        <f t="shared" si="28"/>
        <v>7.3548726030995528</v>
      </c>
      <c r="F84" s="15">
        <v>0.81</v>
      </c>
      <c r="G84" s="23">
        <v>6.2169999999999999E-4</v>
      </c>
      <c r="H84" s="15">
        <f t="shared" si="29"/>
        <v>26.091445569265421</v>
      </c>
      <c r="I84" s="24">
        <v>4.5</v>
      </c>
      <c r="J84" s="13">
        <v>12.78</v>
      </c>
      <c r="K84" s="20">
        <f t="shared" si="30"/>
        <v>-1.4710418505041325</v>
      </c>
      <c r="M84" s="4">
        <f t="shared" si="31"/>
        <v>-14.151798165137613</v>
      </c>
    </row>
    <row r="85" spans="2:13" x14ac:dyDescent="0.3">
      <c r="B85" s="29" t="s">
        <v>10</v>
      </c>
      <c r="C85" s="10">
        <v>7</v>
      </c>
      <c r="D85" s="8">
        <v>7.6139999999999999</v>
      </c>
      <c r="E85" s="12">
        <f t="shared" si="28"/>
        <v>9.1935907538744406</v>
      </c>
      <c r="F85" s="15">
        <v>0.81</v>
      </c>
      <c r="G85" s="23">
        <v>6.2169999999999999E-4</v>
      </c>
      <c r="H85" s="15">
        <f t="shared" si="29"/>
        <v>32.614306961581775</v>
      </c>
      <c r="I85" s="24">
        <v>4.5</v>
      </c>
      <c r="J85" s="13">
        <v>18.73</v>
      </c>
      <c r="K85" s="20">
        <f t="shared" si="30"/>
        <v>-4.7123575774972188</v>
      </c>
      <c r="M85" s="4">
        <f t="shared" si="31"/>
        <v>-30.396632517838938</v>
      </c>
    </row>
    <row r="86" spans="2:13" x14ac:dyDescent="0.3">
      <c r="B86" s="29" t="s">
        <v>11</v>
      </c>
      <c r="C86" s="10">
        <v>8.4</v>
      </c>
      <c r="D86" s="8">
        <v>7.6139999999999999</v>
      </c>
      <c r="E86" s="12">
        <f t="shared" si="28"/>
        <v>11.03230890464933</v>
      </c>
      <c r="F86" s="15">
        <v>0.81</v>
      </c>
      <c r="G86" s="23">
        <v>6.2169999999999999E-4</v>
      </c>
      <c r="H86" s="15">
        <f t="shared" si="29"/>
        <v>39.137168353898133</v>
      </c>
      <c r="I86" s="24">
        <v>4.5</v>
      </c>
      <c r="J86" s="13">
        <v>21.47</v>
      </c>
      <c r="K86" s="20">
        <f t="shared" si="30"/>
        <v>-4.8109535696612751</v>
      </c>
      <c r="M86" s="4">
        <f t="shared" si="31"/>
        <v>-39.940546890927614</v>
      </c>
    </row>
    <row r="87" spans="2:13" x14ac:dyDescent="0.3">
      <c r="B87" s="29" t="s">
        <v>12</v>
      </c>
      <c r="C87" s="13">
        <v>9.8000000000000007</v>
      </c>
      <c r="D87" s="8">
        <v>7.6139999999999999</v>
      </c>
      <c r="E87" s="12">
        <f t="shared" si="28"/>
        <v>12.87102705542422</v>
      </c>
      <c r="F87" s="15">
        <v>0.81</v>
      </c>
      <c r="G87" s="23">
        <v>6.2169999999999999E-4</v>
      </c>
      <c r="H87" s="15">
        <f t="shared" si="29"/>
        <v>45.660029746214491</v>
      </c>
      <c r="I87" s="24">
        <v>4.5</v>
      </c>
      <c r="J87" s="13">
        <v>24.69</v>
      </c>
      <c r="K87" s="20">
        <f t="shared" si="30"/>
        <v>-5.0598392066983129</v>
      </c>
      <c r="M87" s="4">
        <f t="shared" si="31"/>
        <v>-52.819233944954128</v>
      </c>
    </row>
    <row r="88" spans="2:13" x14ac:dyDescent="0.3">
      <c r="B88" s="30"/>
      <c r="C88" s="21"/>
      <c r="D88" s="21"/>
      <c r="E88" s="21"/>
      <c r="F88" s="18"/>
      <c r="G88" s="18"/>
      <c r="H88" s="21"/>
      <c r="I88" s="21"/>
      <c r="J88" s="17"/>
      <c r="K88" s="14"/>
    </row>
    <row r="89" spans="2:13" x14ac:dyDescent="0.3">
      <c r="B89" s="3" t="s">
        <v>34</v>
      </c>
      <c r="C89" s="3"/>
      <c r="D89" s="3"/>
      <c r="E89" s="3"/>
      <c r="F89" s="3"/>
      <c r="G89" s="3"/>
      <c r="H89" s="3"/>
      <c r="I89" s="3"/>
      <c r="J89" s="3"/>
      <c r="K89" s="3"/>
    </row>
    <row r="90" spans="2:13" ht="18" x14ac:dyDescent="0.3">
      <c r="B90" s="29"/>
      <c r="C90" s="22" t="s">
        <v>18</v>
      </c>
      <c r="D90" s="8" t="s">
        <v>19</v>
      </c>
      <c r="E90" s="6" t="s">
        <v>20</v>
      </c>
      <c r="F90" s="8" t="s">
        <v>21</v>
      </c>
      <c r="G90" s="10" t="s">
        <v>16</v>
      </c>
      <c r="H90" s="6" t="s">
        <v>0</v>
      </c>
      <c r="I90" s="6" t="s">
        <v>22</v>
      </c>
      <c r="J90" s="10" t="s">
        <v>23</v>
      </c>
      <c r="K90" s="11" t="s">
        <v>14</v>
      </c>
      <c r="M90" s="4" t="s">
        <v>24</v>
      </c>
    </row>
    <row r="91" spans="2:13" ht="16.8" x14ac:dyDescent="0.3">
      <c r="B91" s="29" t="s">
        <v>1</v>
      </c>
      <c r="C91" s="22"/>
      <c r="D91" s="8" t="s">
        <v>25</v>
      </c>
      <c r="E91" s="6" t="s">
        <v>2</v>
      </c>
      <c r="F91" s="8" t="s">
        <v>3</v>
      </c>
      <c r="G91" s="10" t="s">
        <v>4</v>
      </c>
      <c r="H91" s="6" t="s">
        <v>4</v>
      </c>
      <c r="I91" s="6" t="s">
        <v>5</v>
      </c>
      <c r="J91" s="10" t="s">
        <v>2</v>
      </c>
      <c r="K91" s="11" t="s">
        <v>4</v>
      </c>
      <c r="M91" s="4" t="s">
        <v>15</v>
      </c>
    </row>
    <row r="92" spans="2:13" x14ac:dyDescent="0.3">
      <c r="B92" s="29" t="s">
        <v>6</v>
      </c>
      <c r="C92" s="10">
        <v>1.7</v>
      </c>
      <c r="D92" s="8">
        <v>10.151999999999999</v>
      </c>
      <c r="E92" s="12">
        <f t="shared" ref="E92:E98" si="32">(C92*10^-3)/(D92*10^-4)</f>
        <v>1.6745468873128448</v>
      </c>
      <c r="F92" s="15">
        <v>1.08</v>
      </c>
      <c r="G92" s="23">
        <v>4.8399999999999997E-3</v>
      </c>
      <c r="H92" s="15">
        <f t="shared" ref="H92:H98" si="33">(E92)/((9.81*F92*10^-2))^(1/2)</f>
        <v>5.144591914761528</v>
      </c>
      <c r="I92" s="24">
        <v>3</v>
      </c>
      <c r="J92" s="13">
        <v>0</v>
      </c>
      <c r="K92" s="20">
        <f t="shared" ref="K92:K98" si="34">(10.33+M92-0.234)/((E92^2)/19.62)</f>
        <v>70.640492811232093</v>
      </c>
      <c r="M92" s="4">
        <f>-(1.7*J92^2)/19.62</f>
        <v>0</v>
      </c>
    </row>
    <row r="93" spans="2:13" x14ac:dyDescent="0.3">
      <c r="B93" s="29" t="s">
        <v>7</v>
      </c>
      <c r="C93" s="10">
        <v>3.4</v>
      </c>
      <c r="D93" s="8">
        <v>10.151999999999999</v>
      </c>
      <c r="E93" s="12">
        <f t="shared" si="32"/>
        <v>3.3490937746256897</v>
      </c>
      <c r="F93" s="15">
        <v>1.08</v>
      </c>
      <c r="G93" s="23">
        <v>4.8399999999999997E-3</v>
      </c>
      <c r="H93" s="15">
        <f t="shared" si="33"/>
        <v>10.289183829523056</v>
      </c>
      <c r="I93" s="24">
        <v>4.5</v>
      </c>
      <c r="J93" s="13">
        <v>0.4</v>
      </c>
      <c r="K93" s="20">
        <f t="shared" si="34"/>
        <v>17.635873060690376</v>
      </c>
      <c r="M93" s="4">
        <f t="shared" ref="M93:M98" si="35">-(1.7*J93^2)/19.62</f>
        <v>-1.3863404689092763E-2</v>
      </c>
    </row>
    <row r="94" spans="2:13" x14ac:dyDescent="0.3">
      <c r="B94" s="29" t="s">
        <v>8</v>
      </c>
      <c r="C94" s="10">
        <v>5.0999999999999996</v>
      </c>
      <c r="D94" s="8">
        <v>10.151999999999999</v>
      </c>
      <c r="E94" s="12">
        <f t="shared" si="32"/>
        <v>5.0236406619385336</v>
      </c>
      <c r="F94" s="15">
        <v>1.08</v>
      </c>
      <c r="G94" s="23">
        <v>4.8399999999999997E-3</v>
      </c>
      <c r="H94" s="15">
        <f t="shared" si="33"/>
        <v>15.433775744284583</v>
      </c>
      <c r="I94" s="24">
        <v>4.5</v>
      </c>
      <c r="J94" s="13">
        <v>3.77</v>
      </c>
      <c r="K94" s="20">
        <f t="shared" si="34"/>
        <v>6.8915412987371649</v>
      </c>
      <c r="M94" s="4">
        <f t="shared" si="35"/>
        <v>-1.2314949031600406</v>
      </c>
    </row>
    <row r="95" spans="2:13" x14ac:dyDescent="0.3">
      <c r="B95" s="29" t="s">
        <v>9</v>
      </c>
      <c r="C95" s="10">
        <v>6.8</v>
      </c>
      <c r="D95" s="8">
        <v>10.151999999999999</v>
      </c>
      <c r="E95" s="12">
        <f t="shared" si="32"/>
        <v>6.6981875492513794</v>
      </c>
      <c r="F95" s="15">
        <v>1.08</v>
      </c>
      <c r="G95" s="23">
        <v>4.8399999999999997E-3</v>
      </c>
      <c r="H95" s="15">
        <f t="shared" si="33"/>
        <v>20.578367659046112</v>
      </c>
      <c r="I95" s="24">
        <v>4.5</v>
      </c>
      <c r="J95" s="13">
        <v>8.06</v>
      </c>
      <c r="K95" s="20">
        <f t="shared" si="34"/>
        <v>1.9535049687114177</v>
      </c>
      <c r="M95" s="4">
        <f t="shared" si="35"/>
        <v>-5.6288542303771676</v>
      </c>
    </row>
    <row r="96" spans="2:13" x14ac:dyDescent="0.3">
      <c r="B96" s="29" t="s">
        <v>10</v>
      </c>
      <c r="C96" s="10">
        <v>8.5</v>
      </c>
      <c r="D96" s="8">
        <v>10.151999999999999</v>
      </c>
      <c r="E96" s="12">
        <f t="shared" si="32"/>
        <v>8.3727344365642242</v>
      </c>
      <c r="F96" s="15">
        <v>1.08</v>
      </c>
      <c r="G96" s="23">
        <v>4.8399999999999997E-3</v>
      </c>
      <c r="H96" s="15">
        <f t="shared" si="33"/>
        <v>25.722959573807643</v>
      </c>
      <c r="I96" s="24">
        <v>4.5</v>
      </c>
      <c r="J96" s="13">
        <v>12.27</v>
      </c>
      <c r="K96" s="20">
        <f t="shared" si="34"/>
        <v>-0.82530950877462084</v>
      </c>
      <c r="M96" s="4">
        <f t="shared" si="35"/>
        <v>-13.044848623853209</v>
      </c>
    </row>
    <row r="97" spans="2:13" x14ac:dyDescent="0.3">
      <c r="B97" s="29" t="s">
        <v>11</v>
      </c>
      <c r="C97" s="10">
        <v>10.199999999999999</v>
      </c>
      <c r="D97" s="8">
        <v>10.151999999999999</v>
      </c>
      <c r="E97" s="12">
        <f t="shared" si="32"/>
        <v>10.047281323877067</v>
      </c>
      <c r="F97" s="15">
        <v>1.08</v>
      </c>
      <c r="G97" s="23">
        <v>4.8399999999999997E-3</v>
      </c>
      <c r="H97" s="15">
        <f t="shared" si="33"/>
        <v>30.867551488569166</v>
      </c>
      <c r="I97" s="24">
        <v>4.5</v>
      </c>
      <c r="J97" s="13">
        <v>15.72</v>
      </c>
      <c r="K97" s="20">
        <f t="shared" si="34"/>
        <v>-2.1993309773862983</v>
      </c>
      <c r="M97" s="4">
        <f t="shared" si="35"/>
        <v>-21.411889908256882</v>
      </c>
    </row>
    <row r="98" spans="2:13" x14ac:dyDescent="0.3">
      <c r="B98" s="29" t="s">
        <v>12</v>
      </c>
      <c r="C98" s="10">
        <v>12.2</v>
      </c>
      <c r="D98" s="8">
        <v>10.151999999999999</v>
      </c>
      <c r="E98" s="12">
        <f t="shared" si="32"/>
        <v>12.017336485421591</v>
      </c>
      <c r="F98" s="15">
        <v>1.08</v>
      </c>
      <c r="G98" s="23">
        <v>4.8399999999999997E-3</v>
      </c>
      <c r="H98" s="15">
        <f t="shared" si="33"/>
        <v>36.920012564759197</v>
      </c>
      <c r="I98" s="24">
        <v>4.5</v>
      </c>
      <c r="J98" s="13">
        <v>20.85</v>
      </c>
      <c r="K98" s="20">
        <f t="shared" si="34"/>
        <v>-3.7457298418598453</v>
      </c>
      <c r="M98" s="4">
        <f t="shared" si="35"/>
        <v>-37.667087155963301</v>
      </c>
    </row>
    <row r="99" spans="2:13" x14ac:dyDescent="0.3">
      <c r="B99" s="30"/>
      <c r="C99" s="21"/>
      <c r="D99" s="21"/>
      <c r="E99" s="21"/>
      <c r="F99" s="18"/>
      <c r="G99" s="18"/>
      <c r="H99" s="21"/>
      <c r="I99" s="21"/>
      <c r="J99" s="17"/>
      <c r="K99" s="14"/>
    </row>
    <row r="100" spans="2:13" x14ac:dyDescent="0.3">
      <c r="B100" s="3" t="s">
        <v>35</v>
      </c>
      <c r="C100" s="3"/>
      <c r="D100" s="3"/>
      <c r="E100" s="3"/>
      <c r="F100" s="3"/>
      <c r="G100" s="3"/>
      <c r="H100" s="3"/>
      <c r="I100" s="3"/>
      <c r="J100" s="3"/>
      <c r="K100" s="3"/>
    </row>
    <row r="101" spans="2:13" ht="18" x14ac:dyDescent="0.3">
      <c r="B101" s="29"/>
      <c r="C101" s="22" t="s">
        <v>18</v>
      </c>
      <c r="D101" s="8" t="s">
        <v>19</v>
      </c>
      <c r="E101" s="6" t="s">
        <v>20</v>
      </c>
      <c r="F101" s="8" t="s">
        <v>21</v>
      </c>
      <c r="G101" s="10" t="s">
        <v>16</v>
      </c>
      <c r="H101" s="6" t="s">
        <v>0</v>
      </c>
      <c r="I101" s="6" t="s">
        <v>22</v>
      </c>
      <c r="J101" s="10" t="s">
        <v>23</v>
      </c>
      <c r="K101" s="11" t="s">
        <v>14</v>
      </c>
      <c r="M101" s="4" t="s">
        <v>24</v>
      </c>
    </row>
    <row r="102" spans="2:13" ht="16.8" x14ac:dyDescent="0.3">
      <c r="B102" s="29" t="s">
        <v>1</v>
      </c>
      <c r="C102" s="22"/>
      <c r="D102" s="8" t="s">
        <v>25</v>
      </c>
      <c r="E102" s="6" t="s">
        <v>2</v>
      </c>
      <c r="F102" s="8" t="s">
        <v>3</v>
      </c>
      <c r="G102" s="10" t="s">
        <v>4</v>
      </c>
      <c r="H102" s="6" t="s">
        <v>4</v>
      </c>
      <c r="I102" s="6" t="s">
        <v>5</v>
      </c>
      <c r="J102" s="10" t="s">
        <v>2</v>
      </c>
      <c r="K102" s="11" t="s">
        <v>4</v>
      </c>
      <c r="M102" s="4" t="s">
        <v>15</v>
      </c>
    </row>
    <row r="103" spans="2:13" x14ac:dyDescent="0.3">
      <c r="B103" s="29" t="s">
        <v>6</v>
      </c>
      <c r="C103" s="10">
        <v>1.7</v>
      </c>
      <c r="D103" s="8">
        <v>10.151999999999999</v>
      </c>
      <c r="E103" s="12">
        <f t="shared" ref="E103:E109" si="36">(C103*10^-3)/(D103*10^-4)</f>
        <v>1.6745468873128448</v>
      </c>
      <c r="F103" s="15">
        <v>1.08</v>
      </c>
      <c r="G103" s="23">
        <v>2.4199999999999998E-3</v>
      </c>
      <c r="H103" s="15">
        <f t="shared" ref="H103:H109" si="37">(E103)/((9.81*F103*10^-2))^(1/2)</f>
        <v>5.144591914761528</v>
      </c>
      <c r="I103" s="24">
        <v>4.5</v>
      </c>
      <c r="J103" s="13">
        <v>0</v>
      </c>
      <c r="K103" s="20">
        <f t="shared" ref="K103:K109" si="38">(10.33+M103-0.234)/((E103^2)/19.62)</f>
        <v>70.640492811232093</v>
      </c>
      <c r="M103" s="4">
        <f>-(1.7*J103^2)/19.62</f>
        <v>0</v>
      </c>
    </row>
    <row r="104" spans="2:13" x14ac:dyDescent="0.3">
      <c r="B104" s="29" t="s">
        <v>7</v>
      </c>
      <c r="C104" s="10">
        <v>3.4</v>
      </c>
      <c r="D104" s="8">
        <v>10.151999999999999</v>
      </c>
      <c r="E104" s="12">
        <f t="shared" si="36"/>
        <v>3.3490937746256897</v>
      </c>
      <c r="F104" s="15">
        <v>1.08</v>
      </c>
      <c r="G104" s="23">
        <v>2.4199999999999998E-3</v>
      </c>
      <c r="H104" s="15">
        <f t="shared" si="37"/>
        <v>10.289183829523056</v>
      </c>
      <c r="I104" s="24">
        <v>4.5</v>
      </c>
      <c r="J104" s="13">
        <v>4.5199999999999996</v>
      </c>
      <c r="K104" s="20">
        <f t="shared" si="38"/>
        <v>14.563622555805674</v>
      </c>
      <c r="M104" s="4">
        <f t="shared" ref="M104:M109" si="39">-(1.7*J104^2)/19.62</f>
        <v>-1.7702181447502543</v>
      </c>
    </row>
    <row r="105" spans="2:13" x14ac:dyDescent="0.3">
      <c r="B105" s="29" t="s">
        <v>8</v>
      </c>
      <c r="C105" s="10">
        <v>5.0999999999999996</v>
      </c>
      <c r="D105" s="8">
        <v>10.151999999999999</v>
      </c>
      <c r="E105" s="12">
        <f t="shared" si="36"/>
        <v>5.0236406619385336</v>
      </c>
      <c r="F105" s="15">
        <v>1.08</v>
      </c>
      <c r="G105" s="23">
        <v>2.4199999999999998E-3</v>
      </c>
      <c r="H105" s="15">
        <f t="shared" si="37"/>
        <v>15.433775744284583</v>
      </c>
      <c r="I105" s="24">
        <v>4.5</v>
      </c>
      <c r="J105" s="13">
        <v>8.19</v>
      </c>
      <c r="K105" s="20">
        <f t="shared" si="38"/>
        <v>3.3305965409771647</v>
      </c>
      <c r="M105" s="4">
        <f t="shared" si="39"/>
        <v>-5.8118944954128429</v>
      </c>
    </row>
    <row r="106" spans="2:13" x14ac:dyDescent="0.3">
      <c r="B106" s="29" t="s">
        <v>9</v>
      </c>
      <c r="C106" s="10">
        <v>6.8</v>
      </c>
      <c r="D106" s="8">
        <v>10.151999999999999</v>
      </c>
      <c r="E106" s="12">
        <f t="shared" si="36"/>
        <v>6.6981875492513794</v>
      </c>
      <c r="F106" s="15">
        <v>1.08</v>
      </c>
      <c r="G106" s="23">
        <v>2.4199999999999998E-3</v>
      </c>
      <c r="H106" s="15">
        <f t="shared" si="37"/>
        <v>20.578367659046112</v>
      </c>
      <c r="I106" s="24">
        <v>4.5</v>
      </c>
      <c r="J106" s="13">
        <v>12.26</v>
      </c>
      <c r="K106" s="20">
        <f t="shared" si="38"/>
        <v>-1.2802514826768161</v>
      </c>
      <c r="M106" s="4">
        <f t="shared" si="39"/>
        <v>-13.023594291539245</v>
      </c>
    </row>
    <row r="107" spans="2:13" x14ac:dyDescent="0.3">
      <c r="B107" s="29" t="s">
        <v>10</v>
      </c>
      <c r="C107" s="10">
        <v>8.5</v>
      </c>
      <c r="D107" s="8">
        <v>10.151999999999999</v>
      </c>
      <c r="E107" s="12">
        <f t="shared" si="36"/>
        <v>8.3727344365642242</v>
      </c>
      <c r="F107" s="15">
        <v>1.08</v>
      </c>
      <c r="G107" s="23">
        <v>2.4199999999999998E-3</v>
      </c>
      <c r="H107" s="15">
        <f t="shared" si="37"/>
        <v>25.722959573807643</v>
      </c>
      <c r="I107" s="24">
        <v>4.5</v>
      </c>
      <c r="J107" s="13">
        <v>18.43</v>
      </c>
      <c r="K107" s="20">
        <f t="shared" si="38"/>
        <v>-5.4113023849270911</v>
      </c>
      <c r="M107" s="4">
        <f t="shared" si="39"/>
        <v>-29.430699796126397</v>
      </c>
    </row>
    <row r="108" spans="2:13" x14ac:dyDescent="0.3">
      <c r="B108" s="29" t="s">
        <v>11</v>
      </c>
      <c r="C108" s="10">
        <v>10.199999999999999</v>
      </c>
      <c r="D108" s="8">
        <v>10.151999999999999</v>
      </c>
      <c r="E108" s="12">
        <f t="shared" si="36"/>
        <v>10.047281323877067</v>
      </c>
      <c r="F108" s="15">
        <v>1.08</v>
      </c>
      <c r="G108" s="23">
        <v>2.4199999999999998E-3</v>
      </c>
      <c r="H108" s="15">
        <f t="shared" si="37"/>
        <v>30.867551488569166</v>
      </c>
      <c r="I108" s="24">
        <v>4.5</v>
      </c>
      <c r="J108" s="13">
        <v>25.26</v>
      </c>
      <c r="K108" s="20">
        <f t="shared" si="38"/>
        <v>-8.7830626862615961</v>
      </c>
      <c r="M108" s="4">
        <f t="shared" si="39"/>
        <v>-55.286183486238535</v>
      </c>
    </row>
    <row r="109" spans="2:13" x14ac:dyDescent="0.3">
      <c r="B109" s="29" t="s">
        <v>12</v>
      </c>
      <c r="C109" s="10">
        <v>12.2</v>
      </c>
      <c r="D109" s="8">
        <v>10.151999999999999</v>
      </c>
      <c r="E109" s="12">
        <f t="shared" si="36"/>
        <v>12.017336485421591</v>
      </c>
      <c r="F109" s="15">
        <v>1.08</v>
      </c>
      <c r="G109" s="23">
        <v>2.4199999999999998E-3</v>
      </c>
      <c r="H109" s="15">
        <f t="shared" si="37"/>
        <v>36.920012564759197</v>
      </c>
      <c r="I109" s="24">
        <v>4.5</v>
      </c>
      <c r="J109" s="13">
        <v>32.49</v>
      </c>
      <c r="K109" s="20">
        <f t="shared" si="38"/>
        <v>-11.054401806527926</v>
      </c>
      <c r="M109" s="4">
        <f t="shared" si="39"/>
        <v>-91.463821100917443</v>
      </c>
    </row>
    <row r="110" spans="2:13" x14ac:dyDescent="0.3">
      <c r="B110" s="31"/>
      <c r="C110" s="21"/>
      <c r="D110" s="21"/>
      <c r="E110" s="21"/>
      <c r="F110" s="18"/>
      <c r="G110" s="18"/>
      <c r="H110" s="21"/>
      <c r="I110" s="21"/>
      <c r="J110" s="17"/>
      <c r="K110" s="14"/>
    </row>
    <row r="111" spans="2:13" x14ac:dyDescent="0.3">
      <c r="B111" s="3" t="s">
        <v>36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2:13" ht="18" x14ac:dyDescent="0.3">
      <c r="B112" s="29"/>
      <c r="C112" s="22" t="s">
        <v>18</v>
      </c>
      <c r="D112" s="8" t="s">
        <v>19</v>
      </c>
      <c r="E112" s="6" t="s">
        <v>20</v>
      </c>
      <c r="F112" s="8" t="s">
        <v>21</v>
      </c>
      <c r="G112" s="10" t="s">
        <v>16</v>
      </c>
      <c r="H112" s="6" t="s">
        <v>0</v>
      </c>
      <c r="I112" s="6" t="s">
        <v>22</v>
      </c>
      <c r="J112" s="10" t="s">
        <v>23</v>
      </c>
      <c r="K112" s="11" t="s">
        <v>14</v>
      </c>
      <c r="M112" s="4" t="s">
        <v>24</v>
      </c>
    </row>
    <row r="113" spans="2:13" ht="16.8" x14ac:dyDescent="0.3">
      <c r="B113" s="29" t="s">
        <v>1</v>
      </c>
      <c r="C113" s="22"/>
      <c r="D113" s="8" t="s">
        <v>25</v>
      </c>
      <c r="E113" s="6" t="s">
        <v>2</v>
      </c>
      <c r="F113" s="8" t="s">
        <v>3</v>
      </c>
      <c r="G113" s="10" t="s">
        <v>4</v>
      </c>
      <c r="H113" s="6" t="s">
        <v>4</v>
      </c>
      <c r="I113" s="6" t="s">
        <v>5</v>
      </c>
      <c r="J113" s="10" t="s">
        <v>2</v>
      </c>
      <c r="K113" s="11" t="s">
        <v>4</v>
      </c>
      <c r="M113" s="4" t="s">
        <v>15</v>
      </c>
    </row>
    <row r="114" spans="2:13" x14ac:dyDescent="0.3">
      <c r="B114" s="29" t="s">
        <v>6</v>
      </c>
      <c r="C114" s="10">
        <v>1.7</v>
      </c>
      <c r="D114" s="8">
        <v>10.151999999999999</v>
      </c>
      <c r="E114" s="12">
        <f t="shared" ref="E114:E120" si="40">(C114*10^-3)/(D114*10^-4)</f>
        <v>1.6745468873128448</v>
      </c>
      <c r="F114" s="15">
        <v>1.08</v>
      </c>
      <c r="G114" s="23">
        <v>1.2099999999999999E-3</v>
      </c>
      <c r="H114" s="15">
        <f t="shared" ref="H114:H120" si="41">(E114)/((9.81*F114*10^-2))^(1/2)</f>
        <v>5.144591914761528</v>
      </c>
      <c r="I114" s="24">
        <v>4.5</v>
      </c>
      <c r="J114" s="13">
        <v>0</v>
      </c>
      <c r="K114" s="20">
        <f t="shared" ref="K114:K120" si="42">(10.33+M114-0.234)/((E114^2)/19.62)</f>
        <v>70.640492811232093</v>
      </c>
      <c r="M114" s="4">
        <f>-(1.7*J114^2)/19.62</f>
        <v>0</v>
      </c>
    </row>
    <row r="115" spans="2:13" x14ac:dyDescent="0.3">
      <c r="B115" s="29" t="s">
        <v>7</v>
      </c>
      <c r="C115" s="10">
        <v>3.4</v>
      </c>
      <c r="D115" s="8">
        <v>10.151999999999999</v>
      </c>
      <c r="E115" s="12">
        <f t="shared" si="40"/>
        <v>3.3490937746256897</v>
      </c>
      <c r="F115" s="15">
        <v>1.08</v>
      </c>
      <c r="G115" s="23">
        <v>1.2099999999999999E-3</v>
      </c>
      <c r="H115" s="15">
        <f t="shared" si="41"/>
        <v>10.289183829523056</v>
      </c>
      <c r="I115" s="24">
        <v>4.5</v>
      </c>
      <c r="J115" s="13">
        <v>6.26</v>
      </c>
      <c r="K115" s="20">
        <f t="shared" si="42"/>
        <v>11.720717769998616</v>
      </c>
      <c r="M115" s="4">
        <f t="shared" ref="M115:M120" si="43">-(1.7*J115^2)/19.62</f>
        <v>-3.3954597349643212</v>
      </c>
    </row>
    <row r="116" spans="2:13" x14ac:dyDescent="0.3">
      <c r="B116" s="29" t="s">
        <v>8</v>
      </c>
      <c r="C116" s="10">
        <v>5.0999999999999996</v>
      </c>
      <c r="D116" s="8">
        <v>10.151999999999999</v>
      </c>
      <c r="E116" s="12">
        <f t="shared" si="40"/>
        <v>5.0236406619385336</v>
      </c>
      <c r="F116" s="15">
        <v>1.08</v>
      </c>
      <c r="G116" s="23">
        <v>1.2099999999999999E-3</v>
      </c>
      <c r="H116" s="15">
        <f t="shared" si="41"/>
        <v>15.433775744284583</v>
      </c>
      <c r="I116" s="24">
        <v>4.5</v>
      </c>
      <c r="J116" s="13">
        <v>9.34</v>
      </c>
      <c r="K116" s="20">
        <f t="shared" si="42"/>
        <v>1.9726222631418706</v>
      </c>
      <c r="M116" s="4">
        <f t="shared" si="43"/>
        <v>-7.5586401630988771</v>
      </c>
    </row>
    <row r="117" spans="2:13" x14ac:dyDescent="0.3">
      <c r="B117" s="29" t="s">
        <v>9</v>
      </c>
      <c r="C117" s="10">
        <v>6.8</v>
      </c>
      <c r="D117" s="8">
        <v>10.151999999999999</v>
      </c>
      <c r="E117" s="12">
        <f t="shared" si="40"/>
        <v>6.6981875492513794</v>
      </c>
      <c r="F117" s="15">
        <v>1.08</v>
      </c>
      <c r="G117" s="23">
        <v>1.2099999999999999E-3</v>
      </c>
      <c r="H117" s="15">
        <f t="shared" si="41"/>
        <v>20.578367659046112</v>
      </c>
      <c r="I117" s="24">
        <v>4.5</v>
      </c>
      <c r="J117" s="13">
        <v>13.87</v>
      </c>
      <c r="K117" s="20">
        <f t="shared" si="42"/>
        <v>-2.8742928948485784</v>
      </c>
      <c r="M117" s="4">
        <f t="shared" si="43"/>
        <v>-16.668742609582054</v>
      </c>
    </row>
    <row r="118" spans="2:13" x14ac:dyDescent="0.3">
      <c r="B118" s="29" t="s">
        <v>10</v>
      </c>
      <c r="C118" s="10">
        <v>8.5</v>
      </c>
      <c r="D118" s="8">
        <v>10.151999999999999</v>
      </c>
      <c r="E118" s="12">
        <f t="shared" si="40"/>
        <v>8.3727344365642242</v>
      </c>
      <c r="F118" s="15">
        <v>1.08</v>
      </c>
      <c r="G118" s="23">
        <v>1.2099999999999999E-3</v>
      </c>
      <c r="H118" s="15">
        <f t="shared" si="41"/>
        <v>25.722959573807643</v>
      </c>
      <c r="I118" s="24">
        <v>4.5</v>
      </c>
      <c r="J118" s="13">
        <v>18.25</v>
      </c>
      <c r="K118" s="20">
        <f t="shared" si="42"/>
        <v>-5.2511932466095388</v>
      </c>
      <c r="M118" s="4">
        <f t="shared" si="43"/>
        <v>-28.858626401630985</v>
      </c>
    </row>
    <row r="119" spans="2:13" x14ac:dyDescent="0.3">
      <c r="B119" s="29" t="s">
        <v>11</v>
      </c>
      <c r="C119" s="10">
        <v>10.199999999999999</v>
      </c>
      <c r="D119" s="8">
        <v>10.151999999999999</v>
      </c>
      <c r="E119" s="12">
        <f t="shared" si="40"/>
        <v>10.047281323877067</v>
      </c>
      <c r="F119" s="15">
        <v>1.08</v>
      </c>
      <c r="G119" s="23">
        <v>1.2099999999999999E-3</v>
      </c>
      <c r="H119" s="15">
        <f t="shared" si="41"/>
        <v>30.867551488569166</v>
      </c>
      <c r="I119" s="24">
        <v>4.5</v>
      </c>
      <c r="J119" s="13">
        <v>23.21</v>
      </c>
      <c r="K119" s="20">
        <f t="shared" si="42"/>
        <v>-7.1097439388263002</v>
      </c>
      <c r="M119" s="4">
        <f t="shared" si="43"/>
        <v>-46.676705912334349</v>
      </c>
    </row>
    <row r="120" spans="2:13" x14ac:dyDescent="0.3">
      <c r="B120" s="29" t="s">
        <v>12</v>
      </c>
      <c r="C120" s="10">
        <v>12.2</v>
      </c>
      <c r="D120" s="8">
        <v>10.151999999999999</v>
      </c>
      <c r="E120" s="12">
        <f t="shared" si="40"/>
        <v>12.017336485421591</v>
      </c>
      <c r="F120" s="15">
        <v>1.08</v>
      </c>
      <c r="G120" s="23">
        <v>1.2099999999999999E-3</v>
      </c>
      <c r="H120" s="15">
        <f t="shared" si="41"/>
        <v>36.920012564759197</v>
      </c>
      <c r="I120" s="24">
        <v>4.5</v>
      </c>
      <c r="J120" s="13">
        <v>27</v>
      </c>
      <c r="K120" s="20">
        <f t="shared" si="42"/>
        <v>-7.2098227872046454</v>
      </c>
      <c r="M120" s="4">
        <f t="shared" si="43"/>
        <v>-63.165137614678891</v>
      </c>
    </row>
    <row r="121" spans="2:13" x14ac:dyDescent="0.3">
      <c r="B121" s="31"/>
      <c r="C121" s="21"/>
      <c r="D121" s="21"/>
      <c r="E121" s="21"/>
      <c r="F121" s="18"/>
      <c r="G121" s="18"/>
      <c r="H121" s="21"/>
      <c r="I121" s="21"/>
      <c r="J121" s="17"/>
      <c r="K121" s="14"/>
    </row>
    <row r="122" spans="2:13" x14ac:dyDescent="0.3">
      <c r="B122" s="3" t="s">
        <v>37</v>
      </c>
      <c r="C122" s="3"/>
      <c r="D122" s="3"/>
      <c r="E122" s="3"/>
      <c r="F122" s="3"/>
      <c r="G122" s="3"/>
      <c r="H122" s="3"/>
      <c r="I122" s="3"/>
      <c r="J122" s="3"/>
      <c r="K122" s="3"/>
    </row>
    <row r="123" spans="2:13" ht="18" x14ac:dyDescent="0.3">
      <c r="B123" s="29"/>
      <c r="C123" s="22" t="s">
        <v>18</v>
      </c>
      <c r="D123" s="8" t="s">
        <v>19</v>
      </c>
      <c r="E123" s="6" t="s">
        <v>20</v>
      </c>
      <c r="F123" s="8" t="s">
        <v>21</v>
      </c>
      <c r="G123" s="10" t="s">
        <v>16</v>
      </c>
      <c r="H123" s="6" t="s">
        <v>0</v>
      </c>
      <c r="I123" s="6" t="s">
        <v>22</v>
      </c>
      <c r="J123" s="10" t="s">
        <v>23</v>
      </c>
      <c r="K123" s="11" t="s">
        <v>14</v>
      </c>
      <c r="M123" s="4" t="s">
        <v>24</v>
      </c>
    </row>
    <row r="124" spans="2:13" ht="16.8" x14ac:dyDescent="0.3">
      <c r="B124" s="29" t="s">
        <v>1</v>
      </c>
      <c r="C124" s="22"/>
      <c r="D124" s="8" t="s">
        <v>25</v>
      </c>
      <c r="E124" s="6" t="s">
        <v>2</v>
      </c>
      <c r="F124" s="8" t="s">
        <v>3</v>
      </c>
      <c r="G124" s="10" t="s">
        <v>4</v>
      </c>
      <c r="H124" s="6" t="s">
        <v>4</v>
      </c>
      <c r="I124" s="6" t="s">
        <v>5</v>
      </c>
      <c r="J124" s="10" t="s">
        <v>2</v>
      </c>
      <c r="K124" s="11" t="s">
        <v>4</v>
      </c>
      <c r="M124" s="4" t="s">
        <v>15</v>
      </c>
    </row>
    <row r="125" spans="2:13" x14ac:dyDescent="0.3">
      <c r="B125" s="29" t="s">
        <v>6</v>
      </c>
      <c r="C125" s="10">
        <v>1.7</v>
      </c>
      <c r="D125" s="8">
        <v>10.151999999999999</v>
      </c>
      <c r="E125" s="12">
        <f t="shared" ref="E125:E131" si="44">(C125*10^-3)/(D125*10^-4)</f>
        <v>1.6745468873128448</v>
      </c>
      <c r="F125" s="15">
        <v>1.08</v>
      </c>
      <c r="G125" s="23">
        <v>8.0670000000000004E-4</v>
      </c>
      <c r="H125" s="15">
        <f t="shared" ref="H125:H131" si="45">(E125)/((9.81*F125*10^-2))^(1/2)</f>
        <v>5.144591914761528</v>
      </c>
      <c r="I125" s="24">
        <v>3</v>
      </c>
      <c r="J125" s="13">
        <v>0</v>
      </c>
      <c r="K125" s="20">
        <f t="shared" ref="K125:K131" si="46">(10.33+M125-0.234)/((E125^2)/19.62)</f>
        <v>70.640492811232093</v>
      </c>
      <c r="M125" s="4">
        <f>-(1.7*J125^2)/19.62</f>
        <v>0</v>
      </c>
    </row>
    <row r="126" spans="2:13" x14ac:dyDescent="0.3">
      <c r="B126" s="29" t="s">
        <v>7</v>
      </c>
      <c r="C126" s="10">
        <v>3.4</v>
      </c>
      <c r="D126" s="8">
        <v>10.151999999999999</v>
      </c>
      <c r="E126" s="12">
        <f t="shared" si="44"/>
        <v>3.3490937746256897</v>
      </c>
      <c r="F126" s="15">
        <v>1.08</v>
      </c>
      <c r="G126" s="23">
        <v>8.0670000000000004E-4</v>
      </c>
      <c r="H126" s="15">
        <f t="shared" si="45"/>
        <v>10.289183829523056</v>
      </c>
      <c r="I126" s="24">
        <v>4.5</v>
      </c>
      <c r="J126" s="13">
        <v>4.45</v>
      </c>
      <c r="K126" s="20">
        <f t="shared" si="46"/>
        <v>14.658789207278613</v>
      </c>
      <c r="M126" s="4">
        <f t="shared" ref="M126:M131" si="47">-(1.7*J126^2)/19.62</f>
        <v>-1.7158129459734965</v>
      </c>
    </row>
    <row r="127" spans="2:13" x14ac:dyDescent="0.3">
      <c r="B127" s="29" t="s">
        <v>8</v>
      </c>
      <c r="C127" s="10">
        <v>5.0999999999999996</v>
      </c>
      <c r="D127" s="8">
        <v>10.151999999999999</v>
      </c>
      <c r="E127" s="12">
        <f t="shared" si="44"/>
        <v>5.0236406619385336</v>
      </c>
      <c r="F127" s="15">
        <v>1.08</v>
      </c>
      <c r="G127" s="23">
        <v>8.0670000000000004E-4</v>
      </c>
      <c r="H127" s="15">
        <f t="shared" si="45"/>
        <v>15.433775744284583</v>
      </c>
      <c r="I127" s="24">
        <v>4.5</v>
      </c>
      <c r="J127" s="13">
        <v>7.88</v>
      </c>
      <c r="K127" s="20">
        <f t="shared" si="46"/>
        <v>3.6661713548312815</v>
      </c>
      <c r="M127" s="4">
        <f t="shared" si="47"/>
        <v>-5.3802487257900102</v>
      </c>
    </row>
    <row r="128" spans="2:13" x14ac:dyDescent="0.3">
      <c r="B128" s="29" t="s">
        <v>9</v>
      </c>
      <c r="C128" s="10">
        <v>6.8</v>
      </c>
      <c r="D128" s="8">
        <v>10.151999999999999</v>
      </c>
      <c r="E128" s="12">
        <f t="shared" si="44"/>
        <v>6.6981875492513794</v>
      </c>
      <c r="F128" s="15">
        <v>1.08</v>
      </c>
      <c r="G128" s="23">
        <v>8.0670000000000004E-4</v>
      </c>
      <c r="H128" s="15">
        <f t="shared" si="45"/>
        <v>20.578367659046112</v>
      </c>
      <c r="I128" s="24">
        <v>4.5</v>
      </c>
      <c r="J128" s="13">
        <v>12.09</v>
      </c>
      <c r="K128" s="20">
        <f t="shared" si="46"/>
        <v>-1.1234023212768161</v>
      </c>
      <c r="M128" s="4">
        <f t="shared" si="47"/>
        <v>-12.664922018348623</v>
      </c>
    </row>
    <row r="129" spans="2:13" x14ac:dyDescent="0.3">
      <c r="B129" s="29" t="s">
        <v>10</v>
      </c>
      <c r="C129" s="10">
        <v>8.5</v>
      </c>
      <c r="D129" s="8">
        <v>10.151999999999999</v>
      </c>
      <c r="E129" s="12">
        <f t="shared" si="44"/>
        <v>8.3727344365642242</v>
      </c>
      <c r="F129" s="15">
        <v>1.08</v>
      </c>
      <c r="G129" s="23">
        <v>8.0670000000000004E-4</v>
      </c>
      <c r="H129" s="15">
        <f t="shared" si="45"/>
        <v>25.722959573807643</v>
      </c>
      <c r="I129" s="24">
        <v>4.5</v>
      </c>
      <c r="J129" s="13">
        <v>16</v>
      </c>
      <c r="K129" s="20">
        <f t="shared" si="46"/>
        <v>-3.3824166696683622</v>
      </c>
      <c r="M129" s="4">
        <f t="shared" si="47"/>
        <v>-22.181447502548419</v>
      </c>
    </row>
    <row r="130" spans="2:13" x14ac:dyDescent="0.3">
      <c r="B130" s="29" t="s">
        <v>11</v>
      </c>
      <c r="C130" s="10">
        <v>10.199999999999999</v>
      </c>
      <c r="D130" s="8">
        <v>10.151999999999999</v>
      </c>
      <c r="E130" s="12">
        <f t="shared" si="44"/>
        <v>10.047281323877067</v>
      </c>
      <c r="F130" s="15">
        <v>1.08</v>
      </c>
      <c r="G130" s="23">
        <v>8.0670000000000004E-4</v>
      </c>
      <c r="H130" s="15">
        <f t="shared" si="45"/>
        <v>30.867551488569166</v>
      </c>
      <c r="I130" s="24">
        <v>4.5</v>
      </c>
      <c r="J130" s="13">
        <v>17.71</v>
      </c>
      <c r="K130" s="20">
        <f t="shared" si="46"/>
        <v>-3.3196488103557109</v>
      </c>
      <c r="M130" s="4">
        <f t="shared" si="47"/>
        <v>-27.176094291539243</v>
      </c>
    </row>
    <row r="131" spans="2:13" x14ac:dyDescent="0.3">
      <c r="B131" s="29" t="s">
        <v>12</v>
      </c>
      <c r="C131" s="10">
        <v>12.2</v>
      </c>
      <c r="D131" s="8">
        <v>10.151999999999999</v>
      </c>
      <c r="E131" s="12">
        <f t="shared" si="44"/>
        <v>12.017336485421591</v>
      </c>
      <c r="F131" s="15">
        <v>1.08</v>
      </c>
      <c r="G131" s="23">
        <v>8.0670000000000004E-4</v>
      </c>
      <c r="H131" s="15">
        <f t="shared" si="45"/>
        <v>36.920012564759197</v>
      </c>
      <c r="I131" s="24">
        <v>4.5</v>
      </c>
      <c r="J131" s="13">
        <v>21.12</v>
      </c>
      <c r="K131" s="20">
        <f t="shared" si="46"/>
        <v>-3.8791235088828175</v>
      </c>
      <c r="M131" s="4">
        <f t="shared" si="47"/>
        <v>-38.648954128440366</v>
      </c>
    </row>
    <row r="132" spans="2:13" x14ac:dyDescent="0.3">
      <c r="B132" s="30"/>
      <c r="C132" s="21"/>
      <c r="D132" s="21"/>
      <c r="E132" s="21"/>
      <c r="F132" s="18"/>
      <c r="G132" s="18"/>
      <c r="H132" s="21"/>
      <c r="I132" s="21"/>
      <c r="J132" s="17"/>
      <c r="K132" s="14"/>
    </row>
    <row r="133" spans="2:13" x14ac:dyDescent="0.3">
      <c r="B133" s="3" t="s">
        <v>50</v>
      </c>
      <c r="C133" s="3"/>
      <c r="D133" s="3"/>
      <c r="E133" s="3"/>
      <c r="F133" s="3"/>
      <c r="G133" s="3"/>
      <c r="H133" s="3"/>
      <c r="I133" s="3"/>
      <c r="J133" s="3"/>
      <c r="K133" s="3"/>
    </row>
    <row r="134" spans="2:13" ht="18" x14ac:dyDescent="0.3">
      <c r="B134" s="29"/>
      <c r="C134" s="22" t="s">
        <v>18</v>
      </c>
      <c r="D134" s="8" t="s">
        <v>19</v>
      </c>
      <c r="E134" s="6" t="s">
        <v>20</v>
      </c>
      <c r="F134" s="8" t="s">
        <v>21</v>
      </c>
      <c r="G134" s="10" t="s">
        <v>16</v>
      </c>
      <c r="H134" s="6" t="s">
        <v>0</v>
      </c>
      <c r="I134" s="6" t="s">
        <v>22</v>
      </c>
      <c r="J134" s="10" t="s">
        <v>23</v>
      </c>
      <c r="K134" s="11" t="s">
        <v>14</v>
      </c>
      <c r="M134" s="4" t="s">
        <v>24</v>
      </c>
    </row>
    <row r="135" spans="2:13" ht="16.8" x14ac:dyDescent="0.3">
      <c r="B135" s="29" t="s">
        <v>1</v>
      </c>
      <c r="C135" s="22"/>
      <c r="D135" s="8" t="s">
        <v>25</v>
      </c>
      <c r="E135" s="6" t="s">
        <v>2</v>
      </c>
      <c r="F135" s="8" t="s">
        <v>3</v>
      </c>
      <c r="G135" s="10" t="s">
        <v>4</v>
      </c>
      <c r="H135" s="6" t="s">
        <v>4</v>
      </c>
      <c r="I135" s="6" t="s">
        <v>5</v>
      </c>
      <c r="J135" s="10" t="s">
        <v>2</v>
      </c>
      <c r="K135" s="11" t="s">
        <v>4</v>
      </c>
      <c r="M135" s="4" t="s">
        <v>15</v>
      </c>
    </row>
    <row r="136" spans="2:13" x14ac:dyDescent="0.3">
      <c r="B136" s="29" t="s">
        <v>6</v>
      </c>
      <c r="C136" s="6">
        <v>2.6</v>
      </c>
      <c r="D136" s="8">
        <v>15.228</v>
      </c>
      <c r="E136" s="12">
        <f t="shared" ref="E136:E142" si="48">(C136*10^-3)/(D136*10^-4)</f>
        <v>1.7073811400052534</v>
      </c>
      <c r="F136" s="15">
        <v>1.62</v>
      </c>
      <c r="G136" s="23">
        <v>6.9100000000000003E-3</v>
      </c>
      <c r="H136" s="15">
        <f t="shared" ref="H136:H142" si="49">(E136)/((9.81*F136*10^-2))^(1/2)</f>
        <v>4.2829052715863334</v>
      </c>
      <c r="I136" s="24">
        <v>4.5</v>
      </c>
      <c r="J136" s="13">
        <v>0</v>
      </c>
      <c r="K136" s="20">
        <f t="shared" ref="K136:K142" si="50">(10.33+M136-0.234)/((E136^2)/19.62)</f>
        <v>67.949675222638575</v>
      </c>
      <c r="M136" s="4">
        <f>-(1.7*J136^2)/19.62</f>
        <v>0</v>
      </c>
    </row>
    <row r="137" spans="2:13" x14ac:dyDescent="0.3">
      <c r="B137" s="29" t="s">
        <v>7</v>
      </c>
      <c r="C137" s="6">
        <v>5.2</v>
      </c>
      <c r="D137" s="8">
        <v>15.228</v>
      </c>
      <c r="E137" s="12">
        <f t="shared" si="48"/>
        <v>3.4147622800105069</v>
      </c>
      <c r="F137" s="15">
        <v>1.62</v>
      </c>
      <c r="G137" s="23">
        <v>6.9100000000000003E-3</v>
      </c>
      <c r="H137" s="15">
        <f t="shared" si="49"/>
        <v>8.5658105431726668</v>
      </c>
      <c r="I137" s="24">
        <v>4.5</v>
      </c>
      <c r="J137" s="13">
        <v>0.5</v>
      </c>
      <c r="K137" s="20">
        <f t="shared" si="50"/>
        <v>16.950971285985091</v>
      </c>
      <c r="M137" s="4">
        <f t="shared" ref="M137:M142" si="51">-(1.7*J137^2)/19.62</f>
        <v>-2.1661569826707441E-2</v>
      </c>
    </row>
    <row r="138" spans="2:13" x14ac:dyDescent="0.3">
      <c r="B138" s="29" t="s">
        <v>8</v>
      </c>
      <c r="C138" s="6">
        <v>7.8</v>
      </c>
      <c r="D138" s="8">
        <v>15.228</v>
      </c>
      <c r="E138" s="12">
        <f t="shared" si="48"/>
        <v>5.1221434200157594</v>
      </c>
      <c r="F138" s="15">
        <v>1.62</v>
      </c>
      <c r="G138" s="23">
        <v>6.9100000000000003E-3</v>
      </c>
      <c r="H138" s="15">
        <f t="shared" si="49"/>
        <v>12.848715814758997</v>
      </c>
      <c r="I138" s="24">
        <v>4.5</v>
      </c>
      <c r="J138" s="13">
        <v>5.03</v>
      </c>
      <c r="K138" s="20">
        <f t="shared" si="50"/>
        <v>5.9105771571216597</v>
      </c>
      <c r="M138" s="4">
        <f t="shared" si="51"/>
        <v>-2.1922288481141692</v>
      </c>
    </row>
    <row r="139" spans="2:13" x14ac:dyDescent="0.3">
      <c r="B139" s="29" t="s">
        <v>9</v>
      </c>
      <c r="C139" s="6">
        <v>10.4</v>
      </c>
      <c r="D139" s="8">
        <v>15.228</v>
      </c>
      <c r="E139" s="12">
        <f t="shared" si="48"/>
        <v>6.8295245600210137</v>
      </c>
      <c r="F139" s="15">
        <v>1.62</v>
      </c>
      <c r="G139" s="23">
        <v>6.9100000000000003E-3</v>
      </c>
      <c r="H139" s="15">
        <f t="shared" si="49"/>
        <v>17.131621086345334</v>
      </c>
      <c r="I139" s="24">
        <v>4.5</v>
      </c>
      <c r="J139" s="13">
        <v>12.46</v>
      </c>
      <c r="K139" s="20">
        <f t="shared" si="50"/>
        <v>-1.4116810440914205</v>
      </c>
      <c r="M139" s="4">
        <f t="shared" si="51"/>
        <v>-13.451973496432213</v>
      </c>
    </row>
    <row r="140" spans="2:13" x14ac:dyDescent="0.3">
      <c r="B140" s="29" t="s">
        <v>10</v>
      </c>
      <c r="C140" s="6">
        <v>13</v>
      </c>
      <c r="D140" s="8">
        <v>15.228</v>
      </c>
      <c r="E140" s="12">
        <f t="shared" si="48"/>
        <v>8.5369057000262671</v>
      </c>
      <c r="F140" s="15">
        <v>1.62</v>
      </c>
      <c r="G140" s="23">
        <v>6.9100000000000003E-3</v>
      </c>
      <c r="H140" s="15">
        <f t="shared" si="49"/>
        <v>21.414526357931667</v>
      </c>
      <c r="I140" s="24">
        <v>4.5</v>
      </c>
      <c r="J140" s="13">
        <v>16.47</v>
      </c>
      <c r="K140" s="20">
        <f t="shared" si="50"/>
        <v>-3.6095566644946637</v>
      </c>
      <c r="M140" s="4">
        <f t="shared" si="51"/>
        <v>-23.503747706422011</v>
      </c>
    </row>
    <row r="141" spans="2:13" x14ac:dyDescent="0.3">
      <c r="B141" s="29" t="s">
        <v>11</v>
      </c>
      <c r="C141" s="6">
        <v>15.6</v>
      </c>
      <c r="D141" s="8">
        <v>15.228</v>
      </c>
      <c r="E141" s="12">
        <f t="shared" si="48"/>
        <v>10.244286840031519</v>
      </c>
      <c r="F141" s="15">
        <v>1.62</v>
      </c>
      <c r="G141" s="23">
        <v>6.9100000000000003E-3</v>
      </c>
      <c r="H141" s="15">
        <f t="shared" si="49"/>
        <v>25.697431629517993</v>
      </c>
      <c r="I141" s="24">
        <v>4.5</v>
      </c>
      <c r="J141" s="13">
        <v>22.59</v>
      </c>
      <c r="K141" s="20">
        <f t="shared" si="50"/>
        <v>-6.3789376948535521</v>
      </c>
      <c r="M141" s="4">
        <f t="shared" si="51"/>
        <v>-44.216298165137609</v>
      </c>
    </row>
    <row r="142" spans="2:13" x14ac:dyDescent="0.3">
      <c r="B142" s="29" t="s">
        <v>12</v>
      </c>
      <c r="C142" s="6">
        <v>18.100000000000001</v>
      </c>
      <c r="D142" s="8">
        <v>15.228</v>
      </c>
      <c r="E142" s="12">
        <f t="shared" si="48"/>
        <v>11.885999474651957</v>
      </c>
      <c r="F142" s="15">
        <v>1.62</v>
      </c>
      <c r="G142" s="23">
        <v>6.9100000000000003E-3</v>
      </c>
      <c r="H142" s="15">
        <f t="shared" si="49"/>
        <v>29.815609775274087</v>
      </c>
      <c r="I142" s="24">
        <v>4.5</v>
      </c>
      <c r="J142" s="13">
        <v>28.72</v>
      </c>
      <c r="K142" s="20">
        <f t="shared" si="50"/>
        <v>-8.5232691842023076</v>
      </c>
      <c r="M142" s="4">
        <f t="shared" si="51"/>
        <v>-71.469178389398564</v>
      </c>
    </row>
    <row r="143" spans="2:13" x14ac:dyDescent="0.3">
      <c r="B143" s="30"/>
      <c r="C143" s="21"/>
      <c r="D143" s="21"/>
      <c r="E143" s="21"/>
      <c r="F143" s="18"/>
      <c r="G143" s="18"/>
      <c r="H143" s="21"/>
      <c r="I143" s="21"/>
      <c r="J143" s="17"/>
      <c r="K143" s="14"/>
    </row>
    <row r="144" spans="2:13" x14ac:dyDescent="0.3">
      <c r="B144" s="3" t="s">
        <v>39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2:13" ht="18" x14ac:dyDescent="0.3">
      <c r="B145" s="29"/>
      <c r="C145" s="22" t="s">
        <v>18</v>
      </c>
      <c r="D145" s="8" t="s">
        <v>19</v>
      </c>
      <c r="E145" s="6" t="s">
        <v>20</v>
      </c>
      <c r="F145" s="8" t="s">
        <v>21</v>
      </c>
      <c r="G145" s="10" t="s">
        <v>16</v>
      </c>
      <c r="H145" s="6" t="s">
        <v>0</v>
      </c>
      <c r="I145" s="6" t="s">
        <v>22</v>
      </c>
      <c r="J145" s="10" t="s">
        <v>23</v>
      </c>
      <c r="K145" s="11" t="s">
        <v>14</v>
      </c>
      <c r="M145" s="4" t="s">
        <v>24</v>
      </c>
    </row>
    <row r="146" spans="2:13" ht="16.8" x14ac:dyDescent="0.3">
      <c r="B146" s="29" t="s">
        <v>1</v>
      </c>
      <c r="C146" s="22"/>
      <c r="D146" s="8" t="s">
        <v>25</v>
      </c>
      <c r="E146" s="6" t="s">
        <v>2</v>
      </c>
      <c r="F146" s="8" t="s">
        <v>3</v>
      </c>
      <c r="G146" s="10" t="s">
        <v>4</v>
      </c>
      <c r="H146" s="6" t="s">
        <v>4</v>
      </c>
      <c r="I146" s="6" t="s">
        <v>5</v>
      </c>
      <c r="J146" s="10" t="s">
        <v>2</v>
      </c>
      <c r="K146" s="11" t="s">
        <v>4</v>
      </c>
      <c r="M146" s="4" t="s">
        <v>15</v>
      </c>
    </row>
    <row r="147" spans="2:13" x14ac:dyDescent="0.3">
      <c r="B147" s="29" t="s">
        <v>6</v>
      </c>
      <c r="C147" s="6">
        <v>2.6</v>
      </c>
      <c r="D147" s="8">
        <v>15.228</v>
      </c>
      <c r="E147" s="12">
        <f t="shared" ref="E147:E153" si="52">(C147*10^-3)/(D147*10^-4)</f>
        <v>1.7073811400052534</v>
      </c>
      <c r="F147" s="15">
        <v>1.62</v>
      </c>
      <c r="G147" s="23">
        <v>3.4550000000000002E-3</v>
      </c>
      <c r="H147" s="15">
        <f t="shared" ref="H147:H153" si="53">(E147)/((9.81*F147*10^-2))^(1/2)</f>
        <v>4.2829052715863334</v>
      </c>
      <c r="I147" s="24">
        <v>4.5</v>
      </c>
      <c r="J147" s="13">
        <v>0</v>
      </c>
      <c r="K147" s="20">
        <f t="shared" ref="K147:K153" si="54">(10.33+M147-0.234)/((E147^2)/19.62)</f>
        <v>67.949675222638575</v>
      </c>
      <c r="M147" s="4">
        <f>-(1.7*J147^2)/19.62</f>
        <v>0</v>
      </c>
    </row>
    <row r="148" spans="2:13" x14ac:dyDescent="0.3">
      <c r="B148" s="29" t="s">
        <v>7</v>
      </c>
      <c r="C148" s="6">
        <v>5.2</v>
      </c>
      <c r="D148" s="8">
        <v>15.228</v>
      </c>
      <c r="E148" s="12">
        <f t="shared" si="52"/>
        <v>3.4147622800105069</v>
      </c>
      <c r="F148" s="15">
        <v>1.62</v>
      </c>
      <c r="G148" s="23">
        <v>3.4550000000000002E-3</v>
      </c>
      <c r="H148" s="15">
        <f t="shared" si="53"/>
        <v>8.5658105431726668</v>
      </c>
      <c r="I148" s="24">
        <v>4.5</v>
      </c>
      <c r="J148" s="13">
        <v>5.05</v>
      </c>
      <c r="K148" s="20">
        <f t="shared" si="54"/>
        <v>13.269407323658168</v>
      </c>
      <c r="M148" s="4">
        <f t="shared" ref="M148:M153" si="55">-(1.7*J148^2)/19.62</f>
        <v>-2.2096967380224255</v>
      </c>
    </row>
    <row r="149" spans="2:13" x14ac:dyDescent="0.3">
      <c r="B149" s="29" t="s">
        <v>8</v>
      </c>
      <c r="C149" s="6">
        <v>7.8</v>
      </c>
      <c r="D149" s="8">
        <v>15.228</v>
      </c>
      <c r="E149" s="12">
        <f t="shared" si="52"/>
        <v>5.1221434200157594</v>
      </c>
      <c r="F149" s="15">
        <v>1.62</v>
      </c>
      <c r="G149" s="23">
        <v>3.4550000000000002E-3</v>
      </c>
      <c r="H149" s="15">
        <f t="shared" si="53"/>
        <v>12.848715814758997</v>
      </c>
      <c r="I149" s="24">
        <v>4.5</v>
      </c>
      <c r="J149" s="13">
        <v>9.3699999999999992</v>
      </c>
      <c r="K149" s="20">
        <f t="shared" si="54"/>
        <v>1.8611119311997659</v>
      </c>
      <c r="M149" s="4">
        <f t="shared" si="55"/>
        <v>-7.6072747196738</v>
      </c>
    </row>
    <row r="150" spans="2:13" x14ac:dyDescent="0.3">
      <c r="B150" s="29" t="s">
        <v>9</v>
      </c>
      <c r="C150" s="6">
        <v>10.4</v>
      </c>
      <c r="D150" s="8">
        <v>15.228</v>
      </c>
      <c r="E150" s="12">
        <f t="shared" si="52"/>
        <v>6.8295245600210137</v>
      </c>
      <c r="F150" s="15">
        <v>1.62</v>
      </c>
      <c r="G150" s="23">
        <v>3.4550000000000002E-3</v>
      </c>
      <c r="H150" s="15">
        <f t="shared" si="53"/>
        <v>17.131621086345334</v>
      </c>
      <c r="I150" s="24">
        <v>4.5</v>
      </c>
      <c r="J150" s="13">
        <v>15.62</v>
      </c>
      <c r="K150" s="20">
        <f t="shared" si="54"/>
        <v>-4.6457715178698802</v>
      </c>
      <c r="M150" s="4">
        <f t="shared" si="55"/>
        <v>-21.140340468909272</v>
      </c>
    </row>
    <row r="151" spans="2:13" x14ac:dyDescent="0.3">
      <c r="B151" s="29" t="s">
        <v>10</v>
      </c>
      <c r="C151" s="6">
        <v>13</v>
      </c>
      <c r="D151" s="8">
        <v>15.228</v>
      </c>
      <c r="E151" s="12">
        <f t="shared" si="52"/>
        <v>8.5369057000262671</v>
      </c>
      <c r="F151" s="15">
        <v>1.62</v>
      </c>
      <c r="G151" s="23">
        <v>3.4550000000000002E-3</v>
      </c>
      <c r="H151" s="15">
        <f t="shared" si="53"/>
        <v>21.414526357931667</v>
      </c>
      <c r="I151" s="24">
        <v>4.5</v>
      </c>
      <c r="J151" s="13">
        <v>22.51</v>
      </c>
      <c r="K151" s="20">
        <f t="shared" si="54"/>
        <v>-9.1015085839582053</v>
      </c>
      <c r="M151" s="4">
        <f t="shared" si="55"/>
        <v>-43.903678389398578</v>
      </c>
    </row>
    <row r="152" spans="2:13" x14ac:dyDescent="0.3">
      <c r="B152" s="29" t="s">
        <v>11</v>
      </c>
      <c r="C152" s="6">
        <v>15.6</v>
      </c>
      <c r="D152" s="8">
        <v>15.228</v>
      </c>
      <c r="E152" s="12">
        <f t="shared" si="52"/>
        <v>10.244286840031519</v>
      </c>
      <c r="F152" s="15">
        <v>1.62</v>
      </c>
      <c r="G152" s="23">
        <v>3.4550000000000002E-3</v>
      </c>
      <c r="H152" s="15">
        <f t="shared" si="53"/>
        <v>25.697431629517993</v>
      </c>
      <c r="I152" s="24">
        <v>4.5</v>
      </c>
      <c r="J152" s="13">
        <v>28.76</v>
      </c>
      <c r="K152" s="20">
        <f t="shared" si="54"/>
        <v>-11.511226332511249</v>
      </c>
      <c r="M152" s="4">
        <f t="shared" si="55"/>
        <v>-71.66839551478084</v>
      </c>
    </row>
    <row r="153" spans="2:13" x14ac:dyDescent="0.3">
      <c r="B153" s="29" t="s">
        <v>12</v>
      </c>
      <c r="C153" s="6">
        <v>18.100000000000001</v>
      </c>
      <c r="D153" s="8">
        <v>15.228</v>
      </c>
      <c r="E153" s="12">
        <f t="shared" si="52"/>
        <v>11.885999474651957</v>
      </c>
      <c r="F153" s="15">
        <v>1.62</v>
      </c>
      <c r="G153" s="23">
        <v>3.4550000000000002E-3</v>
      </c>
      <c r="H153" s="15">
        <f t="shared" si="53"/>
        <v>29.815609775274087</v>
      </c>
      <c r="I153" s="24">
        <v>4.5</v>
      </c>
      <c r="J153" s="13">
        <v>33.340000000000003</v>
      </c>
      <c r="K153" s="20">
        <f t="shared" si="54"/>
        <v>-11.973365780868228</v>
      </c>
      <c r="M153" s="4">
        <f t="shared" si="55"/>
        <v>-96.312156982670757</v>
      </c>
    </row>
    <row r="154" spans="2:13" x14ac:dyDescent="0.3">
      <c r="B154" s="31"/>
      <c r="C154" s="21"/>
      <c r="D154" s="21"/>
      <c r="E154" s="21"/>
      <c r="F154" s="18"/>
      <c r="G154" s="18"/>
      <c r="H154" s="21"/>
      <c r="I154" s="21"/>
      <c r="J154" s="17"/>
      <c r="K154" s="14"/>
    </row>
    <row r="155" spans="2:13" x14ac:dyDescent="0.3">
      <c r="B155" s="3" t="s">
        <v>40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2:13" ht="18" x14ac:dyDescent="0.3">
      <c r="B156" s="29"/>
      <c r="C156" s="22" t="s">
        <v>18</v>
      </c>
      <c r="D156" s="8" t="s">
        <v>19</v>
      </c>
      <c r="E156" s="6" t="s">
        <v>20</v>
      </c>
      <c r="F156" s="8" t="s">
        <v>21</v>
      </c>
      <c r="G156" s="10" t="s">
        <v>16</v>
      </c>
      <c r="H156" s="6" t="s">
        <v>0</v>
      </c>
      <c r="I156" s="6" t="s">
        <v>22</v>
      </c>
      <c r="J156" s="10" t="s">
        <v>23</v>
      </c>
      <c r="K156" s="11" t="s">
        <v>14</v>
      </c>
      <c r="M156" s="4" t="s">
        <v>24</v>
      </c>
    </row>
    <row r="157" spans="2:13" ht="16.8" x14ac:dyDescent="0.3">
      <c r="B157" s="29" t="s">
        <v>1</v>
      </c>
      <c r="C157" s="22"/>
      <c r="D157" s="8" t="s">
        <v>25</v>
      </c>
      <c r="E157" s="6" t="s">
        <v>2</v>
      </c>
      <c r="F157" s="8" t="s">
        <v>3</v>
      </c>
      <c r="G157" s="10" t="s">
        <v>4</v>
      </c>
      <c r="H157" s="6" t="s">
        <v>4</v>
      </c>
      <c r="I157" s="6" t="s">
        <v>5</v>
      </c>
      <c r="J157" s="10" t="s">
        <v>2</v>
      </c>
      <c r="K157" s="11" t="s">
        <v>4</v>
      </c>
      <c r="M157" s="4" t="s">
        <v>15</v>
      </c>
    </row>
    <row r="158" spans="2:13" x14ac:dyDescent="0.3">
      <c r="B158" s="29" t="s">
        <v>6</v>
      </c>
      <c r="C158" s="6">
        <v>2.6</v>
      </c>
      <c r="D158" s="8">
        <v>15.228</v>
      </c>
      <c r="E158" s="12">
        <f t="shared" ref="E158:E164" si="56">(C158*10^-3)/(D158*10^-4)</f>
        <v>1.7073811400052534</v>
      </c>
      <c r="F158" s="15">
        <v>1.62</v>
      </c>
      <c r="G158" s="23">
        <v>1.7275000000000001E-3</v>
      </c>
      <c r="H158" s="15">
        <f t="shared" ref="H158:H164" si="57">(E158)/((9.81*F158*10^-2))^(1/2)</f>
        <v>4.2829052715863334</v>
      </c>
      <c r="I158" s="24">
        <v>4.5</v>
      </c>
      <c r="J158" s="13">
        <v>0</v>
      </c>
      <c r="K158" s="20">
        <f t="shared" ref="K158:K164" si="58">(10.33+M158-0.234)/((E158^2)/19.62)</f>
        <v>67.949675222638575</v>
      </c>
      <c r="M158" s="4">
        <f>-(1.7*J158^2)/19.62</f>
        <v>0</v>
      </c>
    </row>
    <row r="159" spans="2:13" x14ac:dyDescent="0.3">
      <c r="B159" s="29" t="s">
        <v>7</v>
      </c>
      <c r="C159" s="6">
        <v>5.2</v>
      </c>
      <c r="D159" s="8">
        <v>15.228</v>
      </c>
      <c r="E159" s="12">
        <f t="shared" si="56"/>
        <v>3.4147622800105069</v>
      </c>
      <c r="F159" s="15">
        <v>1.62</v>
      </c>
      <c r="G159" s="23">
        <v>1.7275000000000001E-3</v>
      </c>
      <c r="H159" s="15">
        <f t="shared" si="57"/>
        <v>8.5658105431726668</v>
      </c>
      <c r="I159" s="24">
        <v>4.5</v>
      </c>
      <c r="J159" s="13">
        <v>5.18</v>
      </c>
      <c r="K159" s="20">
        <f t="shared" si="58"/>
        <v>13.075521097997399</v>
      </c>
      <c r="M159" s="4">
        <f t="shared" ref="M159:M164" si="59">-(1.7*J159^2)/19.62</f>
        <v>-2.3249276248725783</v>
      </c>
    </row>
    <row r="160" spans="2:13" x14ac:dyDescent="0.3">
      <c r="B160" s="29" t="s">
        <v>8</v>
      </c>
      <c r="C160" s="6">
        <v>7.8</v>
      </c>
      <c r="D160" s="8">
        <v>15.228</v>
      </c>
      <c r="E160" s="12">
        <f t="shared" si="56"/>
        <v>5.1221434200157594</v>
      </c>
      <c r="F160" s="15">
        <v>1.62</v>
      </c>
      <c r="G160" s="23">
        <v>1.7275000000000001E-3</v>
      </c>
      <c r="H160" s="15">
        <f t="shared" si="57"/>
        <v>12.848715814758997</v>
      </c>
      <c r="I160" s="24">
        <v>4.5</v>
      </c>
      <c r="J160" s="13">
        <v>8.82</v>
      </c>
      <c r="K160" s="20">
        <f t="shared" si="58"/>
        <v>2.5093594166826048</v>
      </c>
      <c r="M160" s="4">
        <f t="shared" si="59"/>
        <v>-6.7404220183486236</v>
      </c>
    </row>
    <row r="161" spans="2:13" x14ac:dyDescent="0.3">
      <c r="B161" s="29" t="s">
        <v>9</v>
      </c>
      <c r="C161" s="6">
        <v>10.4</v>
      </c>
      <c r="D161" s="8">
        <v>15.228</v>
      </c>
      <c r="E161" s="12">
        <f t="shared" si="56"/>
        <v>6.8295245600210137</v>
      </c>
      <c r="F161" s="15">
        <v>1.62</v>
      </c>
      <c r="G161" s="23">
        <v>1.7275000000000001E-3</v>
      </c>
      <c r="H161" s="15">
        <f t="shared" si="57"/>
        <v>17.131621086345334</v>
      </c>
      <c r="I161" s="24">
        <v>4.5</v>
      </c>
      <c r="J161" s="13">
        <v>13.36</v>
      </c>
      <c r="K161" s="20">
        <f t="shared" si="58"/>
        <v>-2.2586485062887571</v>
      </c>
      <c r="M161" s="4">
        <f t="shared" si="59"/>
        <v>-15.465459734964321</v>
      </c>
    </row>
    <row r="162" spans="2:13" x14ac:dyDescent="0.3">
      <c r="B162" s="29" t="s">
        <v>10</v>
      </c>
      <c r="C162" s="6">
        <v>13</v>
      </c>
      <c r="D162" s="8">
        <v>15.228</v>
      </c>
      <c r="E162" s="12">
        <f t="shared" si="56"/>
        <v>8.5369057000262671</v>
      </c>
      <c r="F162" s="15">
        <v>1.62</v>
      </c>
      <c r="G162" s="23">
        <v>1.7275000000000001E-3</v>
      </c>
      <c r="H162" s="15">
        <f t="shared" si="57"/>
        <v>21.414526357931667</v>
      </c>
      <c r="I162" s="24">
        <v>4.5</v>
      </c>
      <c r="J162" s="13">
        <v>19.149999999999999</v>
      </c>
      <c r="K162" s="20">
        <f t="shared" si="58"/>
        <v>-5.8363333327600202</v>
      </c>
      <c r="M162" s="4">
        <f t="shared" si="59"/>
        <v>-31.775140163098875</v>
      </c>
    </row>
    <row r="163" spans="2:13" x14ac:dyDescent="0.3">
      <c r="B163" s="29" t="s">
        <v>11</v>
      </c>
      <c r="C163" s="6">
        <v>15.6</v>
      </c>
      <c r="D163" s="8">
        <v>15.228</v>
      </c>
      <c r="E163" s="12">
        <f t="shared" si="56"/>
        <v>10.244286840031519</v>
      </c>
      <c r="F163" s="15">
        <v>1.62</v>
      </c>
      <c r="G163" s="23">
        <v>1.7275000000000001E-3</v>
      </c>
      <c r="H163" s="15">
        <f t="shared" si="57"/>
        <v>25.697431629517993</v>
      </c>
      <c r="I163" s="24">
        <v>4.5</v>
      </c>
      <c r="J163" s="13">
        <v>23.54</v>
      </c>
      <c r="K163" s="20">
        <f t="shared" si="58"/>
        <v>-7.0888300852792918</v>
      </c>
      <c r="M163" s="4">
        <f t="shared" si="59"/>
        <v>-48.01344138634046</v>
      </c>
    </row>
    <row r="164" spans="2:13" x14ac:dyDescent="0.3">
      <c r="B164" s="29" t="s">
        <v>12</v>
      </c>
      <c r="C164" s="6">
        <v>18.100000000000001</v>
      </c>
      <c r="D164" s="8">
        <v>15.228</v>
      </c>
      <c r="E164" s="12">
        <f t="shared" si="56"/>
        <v>11.885999474651957</v>
      </c>
      <c r="F164" s="15">
        <v>1.62</v>
      </c>
      <c r="G164" s="23">
        <v>1.7275000000000001E-3</v>
      </c>
      <c r="H164" s="15">
        <f t="shared" si="57"/>
        <v>29.815609775274087</v>
      </c>
      <c r="I164" s="24">
        <v>4.5</v>
      </c>
      <c r="J164" s="13">
        <v>27.22</v>
      </c>
      <c r="K164" s="20">
        <f t="shared" si="58"/>
        <v>-7.5135718049511233</v>
      </c>
      <c r="M164" s="4">
        <f t="shared" si="59"/>
        <v>-64.198689092762464</v>
      </c>
    </row>
    <row r="165" spans="2:13" x14ac:dyDescent="0.3">
      <c r="B165" s="31"/>
      <c r="C165" s="21"/>
      <c r="D165" s="21"/>
      <c r="E165" s="21"/>
      <c r="F165" s="18"/>
      <c r="G165" s="18"/>
      <c r="H165" s="21"/>
      <c r="I165" s="21"/>
      <c r="J165" s="17"/>
      <c r="K165" s="14"/>
    </row>
    <row r="166" spans="2:13" x14ac:dyDescent="0.3">
      <c r="B166" s="3" t="s">
        <v>41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2:13" ht="18" x14ac:dyDescent="0.3">
      <c r="B167" s="29"/>
      <c r="C167" s="22" t="s">
        <v>18</v>
      </c>
      <c r="D167" s="8" t="s">
        <v>19</v>
      </c>
      <c r="E167" s="6" t="s">
        <v>20</v>
      </c>
      <c r="F167" s="8" t="s">
        <v>21</v>
      </c>
      <c r="G167" s="10" t="s">
        <v>16</v>
      </c>
      <c r="H167" s="6" t="s">
        <v>0</v>
      </c>
      <c r="I167" s="6" t="s">
        <v>22</v>
      </c>
      <c r="J167" s="10" t="s">
        <v>23</v>
      </c>
      <c r="K167" s="11" t="s">
        <v>14</v>
      </c>
      <c r="M167" s="4" t="s">
        <v>24</v>
      </c>
    </row>
    <row r="168" spans="2:13" ht="16.8" x14ac:dyDescent="0.3">
      <c r="B168" s="29" t="s">
        <v>1</v>
      </c>
      <c r="C168" s="22"/>
      <c r="D168" s="8" t="s">
        <v>25</v>
      </c>
      <c r="E168" s="6" t="s">
        <v>2</v>
      </c>
      <c r="F168" s="8" t="s">
        <v>3</v>
      </c>
      <c r="G168" s="10" t="s">
        <v>4</v>
      </c>
      <c r="H168" s="6" t="s">
        <v>4</v>
      </c>
      <c r="I168" s="6" t="s">
        <v>5</v>
      </c>
      <c r="J168" s="10" t="s">
        <v>2</v>
      </c>
      <c r="K168" s="11" t="s">
        <v>4</v>
      </c>
      <c r="M168" s="4" t="s">
        <v>15</v>
      </c>
    </row>
    <row r="169" spans="2:13" x14ac:dyDescent="0.3">
      <c r="B169" s="29" t="s">
        <v>6</v>
      </c>
      <c r="C169" s="6">
        <v>2.6</v>
      </c>
      <c r="D169" s="8">
        <v>15.228</v>
      </c>
      <c r="E169" s="12">
        <f t="shared" ref="E169:E175" si="60">(C169*10^-3)/(D169*10^-4)</f>
        <v>1.7073811400052534</v>
      </c>
      <c r="F169" s="15">
        <v>1.62</v>
      </c>
      <c r="G169" s="23">
        <v>1.1517000000000001E-3</v>
      </c>
      <c r="H169" s="15">
        <f t="shared" ref="H169:H175" si="61">(E169)/((9.81*F169*10^-2))^(1/2)</f>
        <v>4.2829052715863334</v>
      </c>
      <c r="I169" s="24">
        <v>3</v>
      </c>
      <c r="J169" s="13">
        <v>0</v>
      </c>
      <c r="K169" s="20">
        <f t="shared" ref="K169:K175" si="62">(10.33+M169-0.234)/((E169^2)/19.62)</f>
        <v>67.949675222638575</v>
      </c>
      <c r="M169" s="4">
        <f>-(1.7*J169^2)/19.62</f>
        <v>0</v>
      </c>
    </row>
    <row r="170" spans="2:13" x14ac:dyDescent="0.3">
      <c r="B170" s="29" t="s">
        <v>7</v>
      </c>
      <c r="C170" s="6">
        <v>5.2</v>
      </c>
      <c r="D170" s="8">
        <v>15.228</v>
      </c>
      <c r="E170" s="12">
        <f t="shared" si="60"/>
        <v>3.4147622800105069</v>
      </c>
      <c r="F170" s="15">
        <v>1.62</v>
      </c>
      <c r="G170" s="23">
        <v>1.1517000000000001E-3</v>
      </c>
      <c r="H170" s="15">
        <f t="shared" si="61"/>
        <v>8.5658105431726668</v>
      </c>
      <c r="I170" s="24">
        <v>4.5</v>
      </c>
      <c r="J170" s="13">
        <v>0.85</v>
      </c>
      <c r="K170" s="20">
        <f t="shared" si="62"/>
        <v>16.882085473800178</v>
      </c>
      <c r="M170" s="4">
        <f t="shared" ref="M170:M175" si="63">-(1.7*J170^2)/19.62</f>
        <v>-6.2601936799184493E-2</v>
      </c>
    </row>
    <row r="171" spans="2:13" x14ac:dyDescent="0.3">
      <c r="B171" s="29" t="s">
        <v>8</v>
      </c>
      <c r="C171" s="6">
        <v>7.8</v>
      </c>
      <c r="D171" s="8">
        <v>15.228</v>
      </c>
      <c r="E171" s="12">
        <f t="shared" si="60"/>
        <v>5.1221434200157594</v>
      </c>
      <c r="F171" s="15">
        <v>1.62</v>
      </c>
      <c r="G171" s="23">
        <v>1.1517000000000001E-3</v>
      </c>
      <c r="H171" s="15">
        <f t="shared" si="61"/>
        <v>12.848715814758997</v>
      </c>
      <c r="I171" s="24">
        <v>4.5</v>
      </c>
      <c r="J171" s="13">
        <v>8.26</v>
      </c>
      <c r="K171" s="20">
        <f t="shared" si="62"/>
        <v>3.1291162810082866</v>
      </c>
      <c r="M171" s="4">
        <f t="shared" si="63"/>
        <v>-5.9116676860346571</v>
      </c>
    </row>
    <row r="172" spans="2:13" x14ac:dyDescent="0.3">
      <c r="B172" s="29" t="s">
        <v>9</v>
      </c>
      <c r="C172" s="6">
        <v>10.4</v>
      </c>
      <c r="D172" s="8">
        <v>15.228</v>
      </c>
      <c r="E172" s="12">
        <f t="shared" si="60"/>
        <v>6.8295245600210137</v>
      </c>
      <c r="F172" s="15">
        <v>1.62</v>
      </c>
      <c r="G172" s="23">
        <v>1.1517000000000001E-3</v>
      </c>
      <c r="H172" s="15">
        <f t="shared" si="61"/>
        <v>17.131621086345334</v>
      </c>
      <c r="I172" s="24">
        <v>4.5</v>
      </c>
      <c r="J172" s="13">
        <v>11.6</v>
      </c>
      <c r="K172" s="20">
        <f t="shared" si="62"/>
        <v>-0.65752354599337237</v>
      </c>
      <c r="M172" s="4">
        <f t="shared" si="63"/>
        <v>-11.659123343527012</v>
      </c>
    </row>
    <row r="173" spans="2:13" x14ac:dyDescent="0.3">
      <c r="B173" s="29" t="s">
        <v>10</v>
      </c>
      <c r="C173" s="6">
        <v>13</v>
      </c>
      <c r="D173" s="8">
        <v>15.228</v>
      </c>
      <c r="E173" s="12">
        <f t="shared" si="60"/>
        <v>8.5369057000262671</v>
      </c>
      <c r="F173" s="15">
        <v>1.62</v>
      </c>
      <c r="G173" s="23">
        <v>1.1517000000000001E-3</v>
      </c>
      <c r="H173" s="15">
        <f t="shared" si="61"/>
        <v>21.414526357931667</v>
      </c>
      <c r="I173" s="24">
        <v>4.5</v>
      </c>
      <c r="J173" s="13">
        <v>11.44</v>
      </c>
      <c r="K173" s="20">
        <f t="shared" si="62"/>
        <v>-0.33482458205765636</v>
      </c>
      <c r="M173" s="4">
        <f t="shared" si="63"/>
        <v>-11.339710499490314</v>
      </c>
    </row>
    <row r="174" spans="2:13" x14ac:dyDescent="0.3">
      <c r="B174" s="29" t="s">
        <v>11</v>
      </c>
      <c r="C174" s="6">
        <v>15.6</v>
      </c>
      <c r="D174" s="8">
        <v>15.228</v>
      </c>
      <c r="E174" s="12">
        <f t="shared" si="60"/>
        <v>10.244286840031519</v>
      </c>
      <c r="F174" s="15">
        <v>1.62</v>
      </c>
      <c r="G174" s="23">
        <v>1.1517000000000001E-3</v>
      </c>
      <c r="H174" s="15">
        <f t="shared" si="61"/>
        <v>25.697431629517993</v>
      </c>
      <c r="I174" s="24">
        <v>4.5</v>
      </c>
      <c r="J174" s="13">
        <v>15.35</v>
      </c>
      <c r="K174" s="20">
        <f t="shared" si="62"/>
        <v>-1.9293337791569829</v>
      </c>
      <c r="M174" s="4">
        <f t="shared" si="63"/>
        <v>-20.415812945973496</v>
      </c>
    </row>
    <row r="175" spans="2:13" x14ac:dyDescent="0.3">
      <c r="B175" s="29" t="s">
        <v>12</v>
      </c>
      <c r="C175" s="6">
        <v>18.100000000000001</v>
      </c>
      <c r="D175" s="8">
        <v>15.228</v>
      </c>
      <c r="E175" s="12">
        <f t="shared" si="60"/>
        <v>11.885999474651957</v>
      </c>
      <c r="F175" s="15">
        <v>1.62</v>
      </c>
      <c r="G175" s="23">
        <v>1.1517000000000001E-3</v>
      </c>
      <c r="H175" s="15">
        <f t="shared" si="61"/>
        <v>29.815609775274087</v>
      </c>
      <c r="I175" s="24">
        <v>4.5</v>
      </c>
      <c r="J175" s="13">
        <v>19.510000000000002</v>
      </c>
      <c r="K175" s="20">
        <f t="shared" si="62"/>
        <v>-3.1781868414799801</v>
      </c>
      <c r="M175" s="4">
        <f t="shared" si="63"/>
        <v>-32.981048419979615</v>
      </c>
    </row>
    <row r="176" spans="2:13" x14ac:dyDescent="0.3">
      <c r="B176" s="30"/>
      <c r="C176" s="21"/>
      <c r="D176" s="21"/>
      <c r="E176" s="21"/>
      <c r="F176" s="18"/>
      <c r="G176" s="18"/>
      <c r="H176" s="21"/>
      <c r="I176" s="21"/>
      <c r="J176" s="17"/>
      <c r="K176" s="14"/>
    </row>
    <row r="177" spans="2:13" x14ac:dyDescent="0.3">
      <c r="B177" s="3" t="s">
        <v>42</v>
      </c>
      <c r="C177" s="3"/>
      <c r="D177" s="3"/>
      <c r="E177" s="3"/>
      <c r="F177" s="3"/>
      <c r="G177" s="3"/>
      <c r="H177" s="3"/>
      <c r="I177" s="3"/>
      <c r="J177" s="3"/>
      <c r="K177" s="3"/>
    </row>
    <row r="178" spans="2:13" ht="18" x14ac:dyDescent="0.3">
      <c r="B178" s="29"/>
      <c r="C178" s="22" t="s">
        <v>18</v>
      </c>
      <c r="D178" s="8" t="s">
        <v>19</v>
      </c>
      <c r="E178" s="6" t="s">
        <v>20</v>
      </c>
      <c r="F178" s="8" t="s">
        <v>21</v>
      </c>
      <c r="G178" s="10" t="s">
        <v>16</v>
      </c>
      <c r="H178" s="6" t="s">
        <v>0</v>
      </c>
      <c r="I178" s="6" t="s">
        <v>22</v>
      </c>
      <c r="J178" s="10" t="s">
        <v>23</v>
      </c>
      <c r="K178" s="11" t="s">
        <v>14</v>
      </c>
      <c r="M178" s="4" t="s">
        <v>24</v>
      </c>
    </row>
    <row r="179" spans="2:13" ht="16.8" x14ac:dyDescent="0.3">
      <c r="B179" s="29" t="s">
        <v>1</v>
      </c>
      <c r="C179" s="22"/>
      <c r="D179" s="8" t="s">
        <v>25</v>
      </c>
      <c r="E179" s="6" t="s">
        <v>2</v>
      </c>
      <c r="F179" s="8" t="s">
        <v>3</v>
      </c>
      <c r="G179" s="10" t="s">
        <v>4</v>
      </c>
      <c r="H179" s="6" t="s">
        <v>4</v>
      </c>
      <c r="I179" s="6" t="s">
        <v>5</v>
      </c>
      <c r="J179" s="10" t="s">
        <v>2</v>
      </c>
      <c r="K179" s="11" t="s">
        <v>4</v>
      </c>
      <c r="M179" s="4" t="s">
        <v>15</v>
      </c>
    </row>
    <row r="180" spans="2:13" x14ac:dyDescent="0.3">
      <c r="B180" s="29" t="s">
        <v>6</v>
      </c>
      <c r="C180" s="10">
        <v>3.2</v>
      </c>
      <c r="D180" s="8">
        <v>20.303999999999998</v>
      </c>
      <c r="E180" s="12">
        <f t="shared" ref="E180:E186" si="64">(C180*10^-3)/(D180*10^-4)</f>
        <v>1.5760441292356187</v>
      </c>
      <c r="F180" s="15">
        <v>2.16</v>
      </c>
      <c r="G180" s="23">
        <v>8.7799999999999996E-3</v>
      </c>
      <c r="H180" s="15">
        <f t="shared" ref="H180:H186" si="65">(E180)/((9.81*F180*10^-2))^(1/2)</f>
        <v>3.423789015873282</v>
      </c>
      <c r="I180" s="24">
        <v>3</v>
      </c>
      <c r="J180" s="13">
        <v>0</v>
      </c>
      <c r="K180" s="20">
        <f t="shared" ref="K180:K186" si="66">(10.33+M180-0.234)/((E180^2)/19.62)</f>
        <v>79.746493837680006</v>
      </c>
      <c r="M180" s="4">
        <f>-(1.7*J180^2)/19.62</f>
        <v>0</v>
      </c>
    </row>
    <row r="181" spans="2:13" x14ac:dyDescent="0.3">
      <c r="B181" s="29" t="s">
        <v>7</v>
      </c>
      <c r="C181" s="10">
        <v>6.4</v>
      </c>
      <c r="D181" s="8">
        <v>20.303999999999998</v>
      </c>
      <c r="E181" s="12">
        <f t="shared" si="64"/>
        <v>3.1520882584712373</v>
      </c>
      <c r="F181" s="15">
        <v>2.16</v>
      </c>
      <c r="G181" s="23">
        <v>8.7799999999999996E-3</v>
      </c>
      <c r="H181" s="15">
        <f t="shared" si="65"/>
        <v>6.847578031746564</v>
      </c>
      <c r="I181" s="24">
        <v>4.5</v>
      </c>
      <c r="J181" s="13">
        <v>0</v>
      </c>
      <c r="K181" s="20">
        <f t="shared" si="66"/>
        <v>19.936623459420002</v>
      </c>
      <c r="M181" s="4">
        <f t="shared" ref="M181:M186" si="67">-(1.7*J181^2)/19.62</f>
        <v>0</v>
      </c>
    </row>
    <row r="182" spans="2:13" x14ac:dyDescent="0.3">
      <c r="B182" s="29" t="s">
        <v>8</v>
      </c>
      <c r="C182" s="10">
        <v>9.6</v>
      </c>
      <c r="D182" s="8">
        <v>20.303999999999998</v>
      </c>
      <c r="E182" s="12">
        <f t="shared" si="64"/>
        <v>4.7281323877068555</v>
      </c>
      <c r="F182" s="15">
        <v>2.16</v>
      </c>
      <c r="G182" s="23">
        <v>8.7799999999999996E-3</v>
      </c>
      <c r="H182" s="15">
        <f t="shared" si="65"/>
        <v>10.271367047619844</v>
      </c>
      <c r="I182" s="24">
        <v>4.5</v>
      </c>
      <c r="J182" s="13">
        <v>1.1200000000000001</v>
      </c>
      <c r="K182" s="20">
        <f t="shared" si="66"/>
        <v>8.7653309090400011</v>
      </c>
      <c r="M182" s="4">
        <f t="shared" si="67"/>
        <v>-0.10868909276248725</v>
      </c>
    </row>
    <row r="183" spans="2:13" x14ac:dyDescent="0.3">
      <c r="B183" s="29" t="s">
        <v>9</v>
      </c>
      <c r="C183" s="10">
        <v>12.8</v>
      </c>
      <c r="D183" s="8">
        <v>20.303999999999998</v>
      </c>
      <c r="E183" s="12">
        <f t="shared" si="64"/>
        <v>6.3041765169424746</v>
      </c>
      <c r="F183" s="15">
        <v>2.16</v>
      </c>
      <c r="G183" s="23">
        <v>8.7799999999999996E-3</v>
      </c>
      <c r="H183" s="15">
        <f t="shared" si="65"/>
        <v>13.695156063493128</v>
      </c>
      <c r="I183" s="24">
        <v>4.5</v>
      </c>
      <c r="J183" s="13">
        <v>3.48</v>
      </c>
      <c r="K183" s="20">
        <f t="shared" si="66"/>
        <v>4.4661309124724999</v>
      </c>
      <c r="M183" s="4">
        <f t="shared" si="67"/>
        <v>-1.049321100917431</v>
      </c>
    </row>
    <row r="184" spans="2:13" x14ac:dyDescent="0.3">
      <c r="B184" s="29" t="s">
        <v>10</v>
      </c>
      <c r="C184" s="10">
        <v>16</v>
      </c>
      <c r="D184" s="8">
        <v>20.303999999999998</v>
      </c>
      <c r="E184" s="12">
        <f t="shared" si="64"/>
        <v>7.8802206461780937</v>
      </c>
      <c r="F184" s="15">
        <v>2.16</v>
      </c>
      <c r="G184" s="23">
        <v>8.7799999999999996E-3</v>
      </c>
      <c r="H184" s="15">
        <f t="shared" si="65"/>
        <v>17.118945079366409</v>
      </c>
      <c r="I184" s="24">
        <v>4.5</v>
      </c>
      <c r="J184" s="13">
        <v>6.43</v>
      </c>
      <c r="K184" s="20">
        <f t="shared" si="66"/>
        <v>2.0579961068558998</v>
      </c>
      <c r="M184" s="4">
        <f t="shared" si="67"/>
        <v>-3.5823817533129456</v>
      </c>
    </row>
    <row r="185" spans="2:13" x14ac:dyDescent="0.3">
      <c r="B185" s="29" t="s">
        <v>11</v>
      </c>
      <c r="C185" s="10">
        <v>19.2</v>
      </c>
      <c r="D185" s="8">
        <v>20.303999999999998</v>
      </c>
      <c r="E185" s="12">
        <f t="shared" si="64"/>
        <v>9.456264775413711</v>
      </c>
      <c r="F185" s="15">
        <v>2.16</v>
      </c>
      <c r="G185" s="23">
        <v>8.7799999999999996E-3</v>
      </c>
      <c r="H185" s="15">
        <f t="shared" si="65"/>
        <v>20.542734095239688</v>
      </c>
      <c r="I185" s="24">
        <v>4.5</v>
      </c>
      <c r="J185" s="13">
        <v>12.12</v>
      </c>
      <c r="K185" s="20">
        <f t="shared" si="66"/>
        <v>-0.57745935098999968</v>
      </c>
      <c r="M185" s="4">
        <f t="shared" si="67"/>
        <v>-12.727853211009172</v>
      </c>
    </row>
    <row r="186" spans="2:13" x14ac:dyDescent="0.3">
      <c r="B186" s="29" t="s">
        <v>12</v>
      </c>
      <c r="C186" s="10">
        <v>22.3</v>
      </c>
      <c r="D186" s="8">
        <v>20.303999999999998</v>
      </c>
      <c r="E186" s="12">
        <f t="shared" si="64"/>
        <v>10.983057525610718</v>
      </c>
      <c r="F186" s="15">
        <v>2.16</v>
      </c>
      <c r="G186" s="23">
        <v>8.7799999999999996E-3</v>
      </c>
      <c r="H186" s="15">
        <f t="shared" si="65"/>
        <v>23.859529704366935</v>
      </c>
      <c r="I186" s="24">
        <v>4.5</v>
      </c>
      <c r="J186" s="13">
        <v>17.100000000000001</v>
      </c>
      <c r="K186" s="20">
        <f t="shared" si="66"/>
        <v>-2.4788157724178577</v>
      </c>
      <c r="M186" s="4">
        <f t="shared" si="67"/>
        <v>-25.336238532110091</v>
      </c>
    </row>
    <row r="187" spans="2:13" x14ac:dyDescent="0.3">
      <c r="B187" s="30"/>
      <c r="C187" s="21"/>
      <c r="D187" s="21"/>
      <c r="E187" s="21"/>
      <c r="F187" s="18"/>
      <c r="G187" s="18"/>
      <c r="H187" s="21"/>
      <c r="I187" s="21"/>
      <c r="J187" s="17"/>
      <c r="K187" s="14"/>
    </row>
    <row r="188" spans="2:13" x14ac:dyDescent="0.3">
      <c r="B188" s="3" t="s">
        <v>43</v>
      </c>
      <c r="C188" s="3"/>
      <c r="D188" s="3"/>
      <c r="E188" s="3"/>
      <c r="F188" s="3"/>
      <c r="G188" s="3"/>
      <c r="H188" s="3"/>
      <c r="I188" s="3"/>
      <c r="J188" s="3"/>
      <c r="K188" s="3"/>
    </row>
    <row r="189" spans="2:13" ht="18" x14ac:dyDescent="0.3">
      <c r="B189" s="29"/>
      <c r="C189" s="22" t="s">
        <v>18</v>
      </c>
      <c r="D189" s="8" t="s">
        <v>19</v>
      </c>
      <c r="E189" s="6" t="s">
        <v>20</v>
      </c>
      <c r="F189" s="8" t="s">
        <v>21</v>
      </c>
      <c r="G189" s="10" t="s">
        <v>16</v>
      </c>
      <c r="H189" s="6" t="s">
        <v>0</v>
      </c>
      <c r="I189" s="6" t="s">
        <v>22</v>
      </c>
      <c r="J189" s="10" t="s">
        <v>23</v>
      </c>
      <c r="K189" s="11" t="s">
        <v>14</v>
      </c>
      <c r="M189" s="4" t="s">
        <v>24</v>
      </c>
    </row>
    <row r="190" spans="2:13" ht="16.8" x14ac:dyDescent="0.3">
      <c r="B190" s="29" t="s">
        <v>1</v>
      </c>
      <c r="C190" s="22"/>
      <c r="D190" s="8" t="s">
        <v>25</v>
      </c>
      <c r="E190" s="6" t="s">
        <v>2</v>
      </c>
      <c r="F190" s="8" t="s">
        <v>3</v>
      </c>
      <c r="G190" s="10" t="s">
        <v>4</v>
      </c>
      <c r="H190" s="6" t="s">
        <v>4</v>
      </c>
      <c r="I190" s="6" t="s">
        <v>5</v>
      </c>
      <c r="J190" s="10" t="s">
        <v>2</v>
      </c>
      <c r="K190" s="11" t="s">
        <v>4</v>
      </c>
      <c r="M190" s="4" t="s">
        <v>15</v>
      </c>
    </row>
    <row r="191" spans="2:13" x14ac:dyDescent="0.3">
      <c r="B191" s="29" t="s">
        <v>6</v>
      </c>
      <c r="C191" s="10">
        <v>3.2</v>
      </c>
      <c r="D191" s="8">
        <v>20.303999999999998</v>
      </c>
      <c r="E191" s="12">
        <f t="shared" ref="E191:E197" si="68">(C191*10^-3)/(D191*10^-4)</f>
        <v>1.5760441292356187</v>
      </c>
      <c r="F191" s="15">
        <v>2.16</v>
      </c>
      <c r="G191" s="23">
        <v>4.3899999999999998E-3</v>
      </c>
      <c r="H191" s="15">
        <f t="shared" ref="H191:H197" si="69">(E191)/((9.81*F191*10^-2))^(1/2)</f>
        <v>3.423789015873282</v>
      </c>
      <c r="I191" s="24">
        <v>4.5</v>
      </c>
      <c r="J191" s="13">
        <v>0</v>
      </c>
      <c r="K191" s="20">
        <f t="shared" ref="K191:K197" si="70">(10.33+M191-0.234)/((E191^2)/19.62)</f>
        <v>79.746493837680006</v>
      </c>
      <c r="M191" s="4">
        <f>-(1.7*J191^2)/19.62</f>
        <v>0</v>
      </c>
    </row>
    <row r="192" spans="2:13" x14ac:dyDescent="0.3">
      <c r="B192" s="29" t="s">
        <v>7</v>
      </c>
      <c r="C192" s="10">
        <v>6.4</v>
      </c>
      <c r="D192" s="8">
        <v>20.303999999999998</v>
      </c>
      <c r="E192" s="12">
        <f t="shared" si="68"/>
        <v>3.1520882584712373</v>
      </c>
      <c r="F192" s="15">
        <v>2.16</v>
      </c>
      <c r="G192" s="23">
        <v>4.3899999999999998E-3</v>
      </c>
      <c r="H192" s="15">
        <f t="shared" si="69"/>
        <v>6.847578031746564</v>
      </c>
      <c r="I192" s="24">
        <v>4.5</v>
      </c>
      <c r="J192" s="13">
        <v>0.4</v>
      </c>
      <c r="K192" s="20">
        <f t="shared" si="70"/>
        <v>19.909247322420001</v>
      </c>
      <c r="M192" s="4">
        <f t="shared" ref="M192:M197" si="71">-(1.7*J192^2)/19.62</f>
        <v>-1.3863404689092763E-2</v>
      </c>
    </row>
    <row r="193" spans="2:13" x14ac:dyDescent="0.3">
      <c r="B193" s="29" t="s">
        <v>8</v>
      </c>
      <c r="C193" s="10">
        <v>9.6</v>
      </c>
      <c r="D193" s="8">
        <v>20.303999999999998</v>
      </c>
      <c r="E193" s="12">
        <f t="shared" si="68"/>
        <v>4.7281323877068555</v>
      </c>
      <c r="F193" s="15">
        <v>2.16</v>
      </c>
      <c r="G193" s="23">
        <v>4.3899999999999998E-3</v>
      </c>
      <c r="H193" s="15">
        <f t="shared" si="69"/>
        <v>10.271367047619844</v>
      </c>
      <c r="I193" s="24">
        <v>4.5</v>
      </c>
      <c r="J193" s="13">
        <v>2.88</v>
      </c>
      <c r="K193" s="20">
        <f t="shared" si="70"/>
        <v>8.2299753410400012</v>
      </c>
      <c r="M193" s="4">
        <f t="shared" si="71"/>
        <v>-0.71867889908256877</v>
      </c>
    </row>
    <row r="194" spans="2:13" x14ac:dyDescent="0.3">
      <c r="B194" s="29" t="s">
        <v>9</v>
      </c>
      <c r="C194" s="10">
        <v>12.8</v>
      </c>
      <c r="D194" s="8">
        <v>20.303999999999998</v>
      </c>
      <c r="E194" s="12">
        <f t="shared" si="68"/>
        <v>6.3041765169424746</v>
      </c>
      <c r="F194" s="15">
        <v>2.16</v>
      </c>
      <c r="G194" s="23">
        <v>4.3899999999999998E-3</v>
      </c>
      <c r="H194" s="15">
        <f t="shared" si="69"/>
        <v>13.695156063493128</v>
      </c>
      <c r="I194" s="24">
        <v>4.5</v>
      </c>
      <c r="J194" s="13">
        <v>7.82</v>
      </c>
      <c r="K194" s="20">
        <f t="shared" si="70"/>
        <v>2.3683488644193749</v>
      </c>
      <c r="M194" s="4">
        <f t="shared" si="71"/>
        <v>-5.2986279306829767</v>
      </c>
    </row>
    <row r="195" spans="2:13" x14ac:dyDescent="0.3">
      <c r="B195" s="29" t="s">
        <v>10</v>
      </c>
      <c r="C195" s="10">
        <v>16</v>
      </c>
      <c r="D195" s="8">
        <v>20.303999999999998</v>
      </c>
      <c r="E195" s="12">
        <f t="shared" si="68"/>
        <v>7.8802206461780937</v>
      </c>
      <c r="F195" s="15">
        <v>2.16</v>
      </c>
      <c r="G195" s="23">
        <v>4.3899999999999998E-3</v>
      </c>
      <c r="H195" s="15">
        <f t="shared" si="69"/>
        <v>17.118945079366409</v>
      </c>
      <c r="I195" s="24">
        <v>4.5</v>
      </c>
      <c r="J195" s="13">
        <v>13.12</v>
      </c>
      <c r="K195" s="20">
        <f t="shared" si="70"/>
        <v>-1.5225151633055989</v>
      </c>
      <c r="M195" s="4">
        <f t="shared" si="71"/>
        <v>-14.914805300713555</v>
      </c>
    </row>
    <row r="196" spans="2:13" x14ac:dyDescent="0.3">
      <c r="B196" s="29" t="s">
        <v>11</v>
      </c>
      <c r="C196" s="10">
        <v>19.2</v>
      </c>
      <c r="D196" s="8">
        <v>20.303999999999998</v>
      </c>
      <c r="E196" s="12">
        <f t="shared" si="68"/>
        <v>9.456264775413711</v>
      </c>
      <c r="F196" s="15">
        <v>2.16</v>
      </c>
      <c r="G196" s="23">
        <v>4.3899999999999998E-3</v>
      </c>
      <c r="H196" s="15">
        <f t="shared" si="69"/>
        <v>20.542734095239688</v>
      </c>
      <c r="I196" s="24">
        <v>4.5</v>
      </c>
      <c r="J196" s="13">
        <v>16.89</v>
      </c>
      <c r="K196" s="20">
        <f t="shared" si="70"/>
        <v>-3.2081863460906255</v>
      </c>
      <c r="M196" s="4">
        <f t="shared" si="71"/>
        <v>-24.717766055045871</v>
      </c>
    </row>
    <row r="197" spans="2:13" x14ac:dyDescent="0.3">
      <c r="B197" s="29" t="s">
        <v>12</v>
      </c>
      <c r="C197" s="10">
        <v>22.3</v>
      </c>
      <c r="D197" s="8">
        <v>20.303999999999998</v>
      </c>
      <c r="E197" s="12">
        <f t="shared" si="68"/>
        <v>10.983057525610718</v>
      </c>
      <c r="F197" s="15">
        <v>2.16</v>
      </c>
      <c r="G197" s="23">
        <v>4.3899999999999998E-3</v>
      </c>
      <c r="H197" s="15">
        <f t="shared" si="69"/>
        <v>23.859529704366935</v>
      </c>
      <c r="I197" s="24">
        <v>4.5</v>
      </c>
      <c r="J197" s="13">
        <v>23.85</v>
      </c>
      <c r="K197" s="20">
        <f t="shared" si="70"/>
        <v>-6.3742877423734177</v>
      </c>
      <c r="M197" s="4">
        <f t="shared" si="71"/>
        <v>-49.286353211009178</v>
      </c>
    </row>
    <row r="198" spans="2:13" x14ac:dyDescent="0.3">
      <c r="B198" s="31"/>
      <c r="C198" s="21"/>
      <c r="D198" s="21"/>
      <c r="E198" s="21"/>
      <c r="F198" s="18"/>
      <c r="G198" s="18"/>
      <c r="H198" s="21"/>
      <c r="I198" s="21"/>
      <c r="J198" s="17"/>
      <c r="K198" s="14"/>
    </row>
    <row r="199" spans="2:13" x14ac:dyDescent="0.3">
      <c r="B199" s="3" t="s">
        <v>44</v>
      </c>
      <c r="C199" s="3"/>
      <c r="D199" s="3"/>
      <c r="E199" s="3"/>
      <c r="F199" s="3"/>
      <c r="G199" s="3"/>
      <c r="H199" s="3"/>
      <c r="I199" s="3"/>
      <c r="J199" s="3"/>
      <c r="K199" s="3"/>
    </row>
    <row r="200" spans="2:13" ht="18" x14ac:dyDescent="0.3">
      <c r="B200" s="29"/>
      <c r="C200" s="22" t="s">
        <v>18</v>
      </c>
      <c r="D200" s="8" t="s">
        <v>19</v>
      </c>
      <c r="E200" s="6" t="s">
        <v>20</v>
      </c>
      <c r="F200" s="8" t="s">
        <v>21</v>
      </c>
      <c r="G200" s="10" t="s">
        <v>16</v>
      </c>
      <c r="H200" s="6" t="s">
        <v>0</v>
      </c>
      <c r="I200" s="6" t="s">
        <v>22</v>
      </c>
      <c r="J200" s="10" t="s">
        <v>23</v>
      </c>
      <c r="K200" s="11" t="s">
        <v>14</v>
      </c>
      <c r="M200" s="4" t="s">
        <v>24</v>
      </c>
    </row>
    <row r="201" spans="2:13" ht="16.8" x14ac:dyDescent="0.3">
      <c r="B201" s="29" t="s">
        <v>1</v>
      </c>
      <c r="C201" s="22"/>
      <c r="D201" s="8" t="s">
        <v>25</v>
      </c>
      <c r="E201" s="6" t="s">
        <v>2</v>
      </c>
      <c r="F201" s="8" t="s">
        <v>3</v>
      </c>
      <c r="G201" s="10" t="s">
        <v>4</v>
      </c>
      <c r="H201" s="6" t="s">
        <v>4</v>
      </c>
      <c r="I201" s="6" t="s">
        <v>5</v>
      </c>
      <c r="J201" s="10" t="s">
        <v>2</v>
      </c>
      <c r="K201" s="11" t="s">
        <v>4</v>
      </c>
      <c r="M201" s="4" t="s">
        <v>15</v>
      </c>
    </row>
    <row r="202" spans="2:13" x14ac:dyDescent="0.3">
      <c r="B202" s="29" t="s">
        <v>6</v>
      </c>
      <c r="C202" s="10">
        <v>3.2</v>
      </c>
      <c r="D202" s="8">
        <v>20.303999999999998</v>
      </c>
      <c r="E202" s="12">
        <f t="shared" ref="E202:E208" si="72">(C202*10^-3)/(D202*10^-4)</f>
        <v>1.5760441292356187</v>
      </c>
      <c r="F202" s="15">
        <v>2.16</v>
      </c>
      <c r="G202" s="23">
        <v>2.1949999999999999E-3</v>
      </c>
      <c r="H202" s="15">
        <f t="shared" ref="H202:H208" si="73">(E202)/((9.81*F202*10^-2))^(1/2)</f>
        <v>3.423789015873282</v>
      </c>
      <c r="I202" s="24">
        <v>4.5</v>
      </c>
      <c r="J202" s="13">
        <v>0</v>
      </c>
      <c r="K202" s="20">
        <f t="shared" ref="K202:K208" si="74">(10.33+M202-0.234)/((E202^2)/19.62)</f>
        <v>79.746493837680006</v>
      </c>
      <c r="M202" s="4">
        <f>-(1.7*J202^2)/19.62</f>
        <v>0</v>
      </c>
    </row>
    <row r="203" spans="2:13" x14ac:dyDescent="0.3">
      <c r="B203" s="29" t="s">
        <v>7</v>
      </c>
      <c r="C203" s="10">
        <v>6.4</v>
      </c>
      <c r="D203" s="8">
        <v>20.303999999999998</v>
      </c>
      <c r="E203" s="12">
        <f t="shared" si="72"/>
        <v>3.1520882584712373</v>
      </c>
      <c r="F203" s="15">
        <v>2.16</v>
      </c>
      <c r="G203" s="23">
        <v>2.1949999999999999E-3</v>
      </c>
      <c r="H203" s="15">
        <f t="shared" si="73"/>
        <v>6.847578031746564</v>
      </c>
      <c r="I203" s="24">
        <v>4.5</v>
      </c>
      <c r="J203" s="13">
        <v>0.4</v>
      </c>
      <c r="K203" s="20">
        <f t="shared" si="74"/>
        <v>19.909247322420001</v>
      </c>
      <c r="M203" s="4">
        <f t="shared" ref="M203:M208" si="75">-(1.7*J203^2)/19.62</f>
        <v>-1.3863404689092763E-2</v>
      </c>
    </row>
    <row r="204" spans="2:13" x14ac:dyDescent="0.3">
      <c r="B204" s="29" t="s">
        <v>8</v>
      </c>
      <c r="C204" s="10">
        <v>9.6</v>
      </c>
      <c r="D204" s="8">
        <v>20.303999999999998</v>
      </c>
      <c r="E204" s="12">
        <f t="shared" si="72"/>
        <v>4.7281323877068555</v>
      </c>
      <c r="F204" s="15">
        <v>2.16</v>
      </c>
      <c r="G204" s="23">
        <v>2.1949999999999999E-3</v>
      </c>
      <c r="H204" s="15">
        <f t="shared" si="73"/>
        <v>10.271367047619844</v>
      </c>
      <c r="I204" s="24">
        <v>4.5</v>
      </c>
      <c r="J204" s="13">
        <v>3.45</v>
      </c>
      <c r="K204" s="20">
        <f t="shared" si="74"/>
        <v>7.9555980079575006</v>
      </c>
      <c r="M204" s="4">
        <f t="shared" si="75"/>
        <v>-1.0313073394495413</v>
      </c>
    </row>
    <row r="205" spans="2:13" x14ac:dyDescent="0.3">
      <c r="B205" s="29" t="s">
        <v>9</v>
      </c>
      <c r="C205" s="10">
        <v>12.8</v>
      </c>
      <c r="D205" s="8">
        <v>20.303999999999998</v>
      </c>
      <c r="E205" s="12">
        <f t="shared" si="72"/>
        <v>6.3041765169424746</v>
      </c>
      <c r="F205" s="15">
        <v>2.16</v>
      </c>
      <c r="G205" s="23">
        <v>2.1949999999999999E-3</v>
      </c>
      <c r="H205" s="15">
        <f t="shared" si="73"/>
        <v>13.695156063493128</v>
      </c>
      <c r="I205" s="24">
        <v>4.5</v>
      </c>
      <c r="J205" s="13">
        <v>8.7200000000000006</v>
      </c>
      <c r="K205" s="20">
        <f t="shared" si="74"/>
        <v>1.7315970278849999</v>
      </c>
      <c r="M205" s="4">
        <f t="shared" si="75"/>
        <v>-6.5884444444444448</v>
      </c>
    </row>
    <row r="206" spans="2:13" x14ac:dyDescent="0.3">
      <c r="B206" s="29" t="s">
        <v>10</v>
      </c>
      <c r="C206" s="10">
        <v>16</v>
      </c>
      <c r="D206" s="8">
        <v>20.303999999999998</v>
      </c>
      <c r="E206" s="12">
        <f t="shared" si="72"/>
        <v>7.8802206461780937</v>
      </c>
      <c r="F206" s="15">
        <v>2.16</v>
      </c>
      <c r="G206" s="23">
        <v>2.1949999999999999E-3</v>
      </c>
      <c r="H206" s="15">
        <f t="shared" si="73"/>
        <v>17.118945079366409</v>
      </c>
      <c r="I206" s="24">
        <v>4.5</v>
      </c>
      <c r="J206" s="13">
        <v>14.12</v>
      </c>
      <c r="K206" s="20">
        <f t="shared" si="74"/>
        <v>-2.2682411351855989</v>
      </c>
      <c r="M206" s="4">
        <f t="shared" si="75"/>
        <v>-17.275049949031597</v>
      </c>
    </row>
    <row r="207" spans="2:13" x14ac:dyDescent="0.3">
      <c r="B207" s="29" t="s">
        <v>11</v>
      </c>
      <c r="C207" s="10">
        <v>19.2</v>
      </c>
      <c r="D207" s="8">
        <v>20.303999999999998</v>
      </c>
      <c r="E207" s="12">
        <f t="shared" si="72"/>
        <v>9.456264775413711</v>
      </c>
      <c r="F207" s="15">
        <v>2.16</v>
      </c>
      <c r="G207" s="23">
        <v>2.1949999999999999E-3</v>
      </c>
      <c r="H207" s="15">
        <f t="shared" si="73"/>
        <v>20.542734095239688</v>
      </c>
      <c r="I207" s="24">
        <v>4.5</v>
      </c>
      <c r="J207" s="13">
        <v>15.97</v>
      </c>
      <c r="K207" s="20">
        <f t="shared" si="74"/>
        <v>-2.6334547677056261</v>
      </c>
      <c r="M207" s="4">
        <f t="shared" si="75"/>
        <v>-22.098345056065241</v>
      </c>
    </row>
    <row r="208" spans="2:13" x14ac:dyDescent="0.3">
      <c r="B208" s="29" t="s">
        <v>12</v>
      </c>
      <c r="C208" s="10">
        <v>22.3</v>
      </c>
      <c r="D208" s="8">
        <v>20.303999999999998</v>
      </c>
      <c r="E208" s="12">
        <f t="shared" si="72"/>
        <v>10.983057525610718</v>
      </c>
      <c r="F208" s="15">
        <v>2.16</v>
      </c>
      <c r="G208" s="23">
        <v>2.1949999999999999E-3</v>
      </c>
      <c r="H208" s="15">
        <f t="shared" si="73"/>
        <v>23.859529704366935</v>
      </c>
      <c r="I208" s="24">
        <v>4.5</v>
      </c>
      <c r="J208" s="13">
        <v>18.45</v>
      </c>
      <c r="K208" s="20">
        <f t="shared" si="74"/>
        <v>-3.1551724441244269</v>
      </c>
      <c r="M208" s="4">
        <f t="shared" si="75"/>
        <v>-29.494610091743112</v>
      </c>
    </row>
    <row r="209" spans="2:13" x14ac:dyDescent="0.3">
      <c r="B209" s="31"/>
      <c r="C209" s="21"/>
      <c r="D209" s="21"/>
      <c r="E209" s="21"/>
      <c r="F209" s="18"/>
      <c r="G209" s="18"/>
      <c r="H209" s="21"/>
      <c r="I209" s="21"/>
      <c r="J209" s="17"/>
      <c r="K209" s="14"/>
    </row>
    <row r="210" spans="2:13" x14ac:dyDescent="0.3">
      <c r="B210" s="3" t="s">
        <v>45</v>
      </c>
      <c r="C210" s="3"/>
      <c r="D210" s="3"/>
      <c r="E210" s="3"/>
      <c r="F210" s="3"/>
      <c r="G210" s="3"/>
      <c r="H210" s="3"/>
      <c r="I210" s="3"/>
      <c r="J210" s="3"/>
      <c r="K210" s="3"/>
    </row>
    <row r="211" spans="2:13" ht="18" x14ac:dyDescent="0.3">
      <c r="B211" s="29"/>
      <c r="C211" s="22" t="s">
        <v>18</v>
      </c>
      <c r="D211" s="8" t="s">
        <v>19</v>
      </c>
      <c r="E211" s="6" t="s">
        <v>20</v>
      </c>
      <c r="F211" s="8" t="s">
        <v>21</v>
      </c>
      <c r="G211" s="10" t="s">
        <v>16</v>
      </c>
      <c r="H211" s="6" t="s">
        <v>0</v>
      </c>
      <c r="I211" s="6" t="s">
        <v>22</v>
      </c>
      <c r="J211" s="10" t="s">
        <v>23</v>
      </c>
      <c r="K211" s="11" t="s">
        <v>14</v>
      </c>
      <c r="M211" s="4" t="s">
        <v>24</v>
      </c>
    </row>
    <row r="212" spans="2:13" ht="16.8" x14ac:dyDescent="0.3">
      <c r="B212" s="29" t="s">
        <v>1</v>
      </c>
      <c r="C212" s="22"/>
      <c r="D212" s="8" t="s">
        <v>25</v>
      </c>
      <c r="E212" s="6" t="s">
        <v>2</v>
      </c>
      <c r="F212" s="8" t="s">
        <v>3</v>
      </c>
      <c r="G212" s="10" t="s">
        <v>4</v>
      </c>
      <c r="H212" s="6" t="s">
        <v>4</v>
      </c>
      <c r="I212" s="6" t="s">
        <v>5</v>
      </c>
      <c r="J212" s="10" t="s">
        <v>2</v>
      </c>
      <c r="K212" s="11" t="s">
        <v>4</v>
      </c>
      <c r="M212" s="4" t="s">
        <v>15</v>
      </c>
    </row>
    <row r="213" spans="2:13" x14ac:dyDescent="0.3">
      <c r="B213" s="29" t="s">
        <v>6</v>
      </c>
      <c r="C213" s="10">
        <v>3.2</v>
      </c>
      <c r="D213" s="8">
        <v>20.303999999999998</v>
      </c>
      <c r="E213" s="12">
        <f t="shared" ref="E213:E219" si="76">(C213*10^-3)/(D213*10^-4)</f>
        <v>1.5760441292356187</v>
      </c>
      <c r="F213" s="15">
        <v>2.16</v>
      </c>
      <c r="G213" s="23">
        <v>1.4633000000000001E-3</v>
      </c>
      <c r="H213" s="15">
        <f t="shared" ref="H213:H219" si="77">(E213)/((9.81*F213*10^-2))^(1/2)</f>
        <v>3.423789015873282</v>
      </c>
      <c r="I213" s="24">
        <v>4.5</v>
      </c>
      <c r="J213" s="13">
        <v>0</v>
      </c>
      <c r="K213" s="20">
        <f t="shared" ref="K213:K219" si="78">(10.33+M213-0.234)/((E213^2)/19.62)</f>
        <v>79.746493837680006</v>
      </c>
      <c r="M213" s="4">
        <f>-(1.7*J213^2)/19.62</f>
        <v>0</v>
      </c>
    </row>
    <row r="214" spans="2:13" x14ac:dyDescent="0.3">
      <c r="B214" s="29" t="s">
        <v>7</v>
      </c>
      <c r="C214" s="10">
        <v>6.4</v>
      </c>
      <c r="D214" s="8">
        <v>20.303999999999998</v>
      </c>
      <c r="E214" s="12">
        <f t="shared" si="76"/>
        <v>3.1520882584712373</v>
      </c>
      <c r="F214" s="15">
        <v>2.16</v>
      </c>
      <c r="G214" s="23">
        <v>1.4633000000000001E-3</v>
      </c>
      <c r="H214" s="15">
        <f t="shared" si="77"/>
        <v>6.847578031746564</v>
      </c>
      <c r="I214" s="24">
        <v>4.5</v>
      </c>
      <c r="J214" s="13">
        <v>0</v>
      </c>
      <c r="K214" s="20">
        <f t="shared" si="78"/>
        <v>19.936623459420002</v>
      </c>
      <c r="M214" s="4">
        <f t="shared" ref="M214:M219" si="79">-(1.7*J214^2)/19.62</f>
        <v>0</v>
      </c>
    </row>
    <row r="215" spans="2:13" x14ac:dyDescent="0.3">
      <c r="B215" s="29" t="s">
        <v>8</v>
      </c>
      <c r="C215" s="10">
        <v>9.6</v>
      </c>
      <c r="D215" s="8">
        <v>20.303999999999998</v>
      </c>
      <c r="E215" s="12">
        <f t="shared" si="76"/>
        <v>4.7281323877068555</v>
      </c>
      <c r="F215" s="15">
        <v>2.16</v>
      </c>
      <c r="G215" s="23">
        <v>1.4633000000000001E-3</v>
      </c>
      <c r="H215" s="15">
        <f t="shared" si="77"/>
        <v>10.271367047619844</v>
      </c>
      <c r="I215" s="24">
        <v>4.5</v>
      </c>
      <c r="J215" s="13">
        <v>1.98</v>
      </c>
      <c r="K215" s="20">
        <f t="shared" si="78"/>
        <v>8.5625954055900024</v>
      </c>
      <c r="M215" s="4">
        <f t="shared" si="79"/>
        <v>-0.33968807339449536</v>
      </c>
    </row>
    <row r="216" spans="2:13" x14ac:dyDescent="0.3">
      <c r="B216" s="29" t="s">
        <v>9</v>
      </c>
      <c r="C216" s="10">
        <v>12.8</v>
      </c>
      <c r="D216" s="8">
        <v>20.303999999999998</v>
      </c>
      <c r="E216" s="12">
        <f t="shared" si="76"/>
        <v>6.3041765169424746</v>
      </c>
      <c r="F216" s="15">
        <v>2.16</v>
      </c>
      <c r="G216" s="23">
        <v>1.4633000000000001E-3</v>
      </c>
      <c r="H216" s="15">
        <f t="shared" si="77"/>
        <v>13.695156063493128</v>
      </c>
      <c r="I216" s="24">
        <v>4.5</v>
      </c>
      <c r="J216" s="13">
        <v>5.45</v>
      </c>
      <c r="K216" s="20">
        <f t="shared" si="78"/>
        <v>3.7136250691635939</v>
      </c>
      <c r="M216" s="4">
        <f t="shared" si="79"/>
        <v>-2.5736111111111111</v>
      </c>
    </row>
    <row r="217" spans="2:13" x14ac:dyDescent="0.3">
      <c r="B217" s="29" t="s">
        <v>10</v>
      </c>
      <c r="C217" s="10">
        <v>16</v>
      </c>
      <c r="D217" s="8">
        <v>20.303999999999998</v>
      </c>
      <c r="E217" s="12">
        <f t="shared" si="76"/>
        <v>7.8802206461780937</v>
      </c>
      <c r="F217" s="15">
        <v>2.16</v>
      </c>
      <c r="G217" s="23">
        <v>1.4633000000000001E-3</v>
      </c>
      <c r="H217" s="15">
        <f t="shared" si="77"/>
        <v>17.118945079366409</v>
      </c>
      <c r="I217" s="24">
        <v>4.5</v>
      </c>
      <c r="J217" s="13">
        <v>6.85</v>
      </c>
      <c r="K217" s="20">
        <f t="shared" si="78"/>
        <v>1.9053029651247002</v>
      </c>
      <c r="M217" s="4">
        <f t="shared" si="79"/>
        <v>-4.0656600407747181</v>
      </c>
    </row>
    <row r="218" spans="2:13" x14ac:dyDescent="0.3">
      <c r="B218" s="29" t="s">
        <v>11</v>
      </c>
      <c r="C218" s="10">
        <v>19.2</v>
      </c>
      <c r="D218" s="8">
        <v>20.303999999999998</v>
      </c>
      <c r="E218" s="12">
        <f t="shared" si="76"/>
        <v>9.456264775413711</v>
      </c>
      <c r="F218" s="15">
        <v>2.16</v>
      </c>
      <c r="G218" s="23">
        <v>1.4633000000000001E-3</v>
      </c>
      <c r="H218" s="15">
        <f t="shared" si="77"/>
        <v>20.542734095239688</v>
      </c>
      <c r="I218" s="24">
        <v>4.5</v>
      </c>
      <c r="J218" s="13">
        <v>9.27</v>
      </c>
      <c r="K218" s="20">
        <f t="shared" si="78"/>
        <v>0.58149229881937525</v>
      </c>
      <c r="M218" s="4">
        <f t="shared" si="79"/>
        <v>-7.4457660550458709</v>
      </c>
    </row>
    <row r="219" spans="2:13" x14ac:dyDescent="0.3">
      <c r="B219" s="29" t="s">
        <v>12</v>
      </c>
      <c r="C219" s="10">
        <v>22.3</v>
      </c>
      <c r="D219" s="8">
        <v>20.303999999999998</v>
      </c>
      <c r="E219" s="12">
        <f t="shared" si="76"/>
        <v>10.983057525610718</v>
      </c>
      <c r="F219" s="15">
        <v>2.16</v>
      </c>
      <c r="G219" s="23">
        <v>1.4633000000000001E-3</v>
      </c>
      <c r="H219" s="15">
        <f t="shared" si="77"/>
        <v>23.859529704366935</v>
      </c>
      <c r="I219" s="24">
        <v>4.5</v>
      </c>
      <c r="J219" s="13">
        <v>11.65</v>
      </c>
      <c r="K219" s="20">
        <f t="shared" si="78"/>
        <v>-0.27062415918614224</v>
      </c>
      <c r="M219" s="4">
        <f t="shared" si="79"/>
        <v>-11.759849643221202</v>
      </c>
    </row>
    <row r="220" spans="2:13" x14ac:dyDescent="0.3">
      <c r="B220" s="30"/>
      <c r="C220" s="21"/>
      <c r="D220" s="21"/>
      <c r="E220" s="21"/>
      <c r="F220" s="18"/>
      <c r="G220" s="18"/>
      <c r="H220" s="21"/>
      <c r="I220" s="21"/>
      <c r="J220" s="17"/>
      <c r="K220" s="14"/>
    </row>
    <row r="221" spans="2:13" x14ac:dyDescent="0.3">
      <c r="B221" s="3" t="s">
        <v>51</v>
      </c>
      <c r="C221" s="3"/>
      <c r="D221" s="3"/>
      <c r="E221" s="3"/>
      <c r="F221" s="3"/>
      <c r="G221" s="3"/>
      <c r="H221" s="3"/>
      <c r="I221" s="3"/>
      <c r="J221" s="3"/>
      <c r="K221" s="3"/>
    </row>
    <row r="222" spans="2:13" ht="18" x14ac:dyDescent="0.3">
      <c r="B222" s="29"/>
      <c r="C222" s="22" t="s">
        <v>18</v>
      </c>
      <c r="D222" s="8" t="s">
        <v>19</v>
      </c>
      <c r="E222" s="6" t="s">
        <v>20</v>
      </c>
      <c r="F222" s="8" t="s">
        <v>21</v>
      </c>
      <c r="G222" s="10" t="s">
        <v>16</v>
      </c>
      <c r="H222" s="6" t="s">
        <v>0</v>
      </c>
      <c r="I222" s="6" t="s">
        <v>22</v>
      </c>
      <c r="J222" s="10" t="s">
        <v>23</v>
      </c>
      <c r="K222" s="11" t="s">
        <v>14</v>
      </c>
      <c r="M222" s="4" t="s">
        <v>24</v>
      </c>
    </row>
    <row r="223" spans="2:13" ht="16.8" x14ac:dyDescent="0.3">
      <c r="B223" s="29" t="s">
        <v>1</v>
      </c>
      <c r="C223" s="22"/>
      <c r="D223" s="8" t="s">
        <v>25</v>
      </c>
      <c r="E223" s="6" t="s">
        <v>2</v>
      </c>
      <c r="F223" s="8" t="s">
        <v>3</v>
      </c>
      <c r="G223" s="10" t="s">
        <v>4</v>
      </c>
      <c r="H223" s="6" t="s">
        <v>4</v>
      </c>
      <c r="I223" s="6" t="s">
        <v>5</v>
      </c>
      <c r="J223" s="10" t="s">
        <v>2</v>
      </c>
      <c r="K223" s="11" t="s">
        <v>4</v>
      </c>
      <c r="M223" s="4" t="s">
        <v>15</v>
      </c>
    </row>
    <row r="224" spans="2:13" x14ac:dyDescent="0.3">
      <c r="B224" s="29" t="s">
        <v>6</v>
      </c>
      <c r="C224" s="6">
        <v>4.2</v>
      </c>
      <c r="D224" s="8">
        <v>30.456</v>
      </c>
      <c r="E224" s="12">
        <f t="shared" ref="E224:E230" si="80">(C224*10^-3)/(D224*10^-4)</f>
        <v>1.3790386130811663</v>
      </c>
      <c r="F224" s="15">
        <v>3.24</v>
      </c>
      <c r="G224" s="23">
        <v>1.205E-2</v>
      </c>
      <c r="H224" s="15">
        <f t="shared" ref="H224:H230" si="81">(E224)/((9.81*F224*10^-2))^(1/2)</f>
        <v>2.4460730221186333</v>
      </c>
      <c r="I224" s="24">
        <v>3</v>
      </c>
      <c r="J224" s="13">
        <v>0</v>
      </c>
      <c r="K224" s="20">
        <f t="shared" ref="K224:K230" si="82">(10.33+M224-0.234)/((E224^2)/19.62)</f>
        <v>104.15868582880654</v>
      </c>
      <c r="M224" s="4">
        <f>-(1.7*J224^2)/19.62</f>
        <v>0</v>
      </c>
    </row>
    <row r="225" spans="2:13" x14ac:dyDescent="0.3">
      <c r="B225" s="29" t="s">
        <v>7</v>
      </c>
      <c r="C225" s="6">
        <v>8.4</v>
      </c>
      <c r="D225" s="8">
        <v>30.456</v>
      </c>
      <c r="E225" s="12">
        <f t="shared" si="80"/>
        <v>2.7580772261623325</v>
      </c>
      <c r="F225" s="15">
        <v>3.24</v>
      </c>
      <c r="G225" s="23">
        <v>1.205E-2</v>
      </c>
      <c r="H225" s="15">
        <f t="shared" si="81"/>
        <v>4.8921460442372666</v>
      </c>
      <c r="I225" s="24">
        <v>4.5</v>
      </c>
      <c r="J225" s="13">
        <v>0</v>
      </c>
      <c r="K225" s="20">
        <f t="shared" si="82"/>
        <v>26.039671457201635</v>
      </c>
      <c r="M225" s="4">
        <f t="shared" ref="M225:M230" si="83">-(1.7*J225^2)/19.62</f>
        <v>0</v>
      </c>
    </row>
    <row r="226" spans="2:13" x14ac:dyDescent="0.3">
      <c r="B226" s="29" t="s">
        <v>8</v>
      </c>
      <c r="C226" s="6">
        <v>12.6</v>
      </c>
      <c r="D226" s="8">
        <v>30.456</v>
      </c>
      <c r="E226" s="12">
        <f t="shared" si="80"/>
        <v>4.1371158392434983</v>
      </c>
      <c r="F226" s="15">
        <v>3.24</v>
      </c>
      <c r="G226" s="23">
        <v>1.205E-2</v>
      </c>
      <c r="H226" s="15">
        <f t="shared" si="81"/>
        <v>7.338219066355899</v>
      </c>
      <c r="I226" s="24">
        <v>4.5</v>
      </c>
      <c r="J226" s="13">
        <v>4.67</v>
      </c>
      <c r="K226" s="20">
        <f t="shared" si="82"/>
        <v>9.4070433352849001</v>
      </c>
      <c r="M226" s="4">
        <f t="shared" si="83"/>
        <v>-1.8896600407747193</v>
      </c>
    </row>
    <row r="227" spans="2:13" x14ac:dyDescent="0.3">
      <c r="B227" s="29" t="s">
        <v>9</v>
      </c>
      <c r="C227" s="6">
        <v>16.8</v>
      </c>
      <c r="D227" s="8">
        <v>30.456</v>
      </c>
      <c r="E227" s="12">
        <f t="shared" si="80"/>
        <v>5.5161544523246651</v>
      </c>
      <c r="F227" s="15">
        <v>3.24</v>
      </c>
      <c r="G227" s="23">
        <v>1.205E-2</v>
      </c>
      <c r="H227" s="15">
        <f t="shared" si="81"/>
        <v>9.7842920884745332</v>
      </c>
      <c r="I227" s="24">
        <v>4.5</v>
      </c>
      <c r="J227" s="13">
        <v>7.46</v>
      </c>
      <c r="K227" s="20">
        <f t="shared" si="82"/>
        <v>3.4006814849755109</v>
      </c>
      <c r="M227" s="4">
        <f t="shared" si="83"/>
        <v>-4.8220040774719672</v>
      </c>
    </row>
    <row r="228" spans="2:13" x14ac:dyDescent="0.3">
      <c r="B228" s="29" t="s">
        <v>10</v>
      </c>
      <c r="C228" s="6">
        <v>21</v>
      </c>
      <c r="D228" s="8">
        <v>30.456</v>
      </c>
      <c r="E228" s="12">
        <f t="shared" si="80"/>
        <v>6.8951930654058309</v>
      </c>
      <c r="F228" s="15">
        <v>3.24</v>
      </c>
      <c r="G228" s="23">
        <v>1.205E-2</v>
      </c>
      <c r="H228" s="15">
        <f t="shared" si="81"/>
        <v>12.230365110593166</v>
      </c>
      <c r="I228" s="24">
        <v>4.5</v>
      </c>
      <c r="J228" s="13">
        <v>10.17</v>
      </c>
      <c r="K228" s="20">
        <f t="shared" si="82"/>
        <v>0.4680829614339922</v>
      </c>
      <c r="M228" s="4">
        <f t="shared" si="83"/>
        <v>-8.9617293577981645</v>
      </c>
    </row>
    <row r="229" spans="2:13" x14ac:dyDescent="0.3">
      <c r="B229" s="29" t="s">
        <v>11</v>
      </c>
      <c r="C229" s="6">
        <v>25.2</v>
      </c>
      <c r="D229" s="8">
        <v>30.456</v>
      </c>
      <c r="E229" s="12">
        <f t="shared" si="80"/>
        <v>8.2742316784869967</v>
      </c>
      <c r="F229" s="15">
        <v>3.24</v>
      </c>
      <c r="G229" s="23">
        <v>1.205E-2</v>
      </c>
      <c r="H229" s="15">
        <f t="shared" si="81"/>
        <v>14.676438132711798</v>
      </c>
      <c r="I229" s="24">
        <v>4.5</v>
      </c>
      <c r="J229" s="13">
        <v>11.41</v>
      </c>
      <c r="K229" s="20">
        <f t="shared" si="82"/>
        <v>-0.33939910010204044</v>
      </c>
      <c r="M229" s="4">
        <f t="shared" si="83"/>
        <v>-11.280314475025483</v>
      </c>
    </row>
    <row r="230" spans="2:13" x14ac:dyDescent="0.3">
      <c r="B230" s="29" t="s">
        <v>12</v>
      </c>
      <c r="C230" s="6">
        <v>29.5</v>
      </c>
      <c r="D230" s="8">
        <v>30.456</v>
      </c>
      <c r="E230" s="12">
        <f t="shared" si="80"/>
        <v>9.6861045442605729</v>
      </c>
      <c r="F230" s="15">
        <v>3.24</v>
      </c>
      <c r="G230" s="23">
        <v>1.205E-2</v>
      </c>
      <c r="H230" s="15">
        <f t="shared" si="81"/>
        <v>17.180750988690402</v>
      </c>
      <c r="I230" s="24">
        <v>4.5</v>
      </c>
      <c r="J230" s="13">
        <v>13.97</v>
      </c>
      <c r="K230" s="20">
        <f t="shared" si="82"/>
        <v>-1.4249533655790791</v>
      </c>
      <c r="M230" s="4">
        <f t="shared" si="83"/>
        <v>-16.909965851172274</v>
      </c>
    </row>
    <row r="231" spans="2:13" x14ac:dyDescent="0.3">
      <c r="B231" s="30"/>
      <c r="C231" s="21"/>
      <c r="D231" s="21"/>
      <c r="E231" s="21"/>
      <c r="F231" s="18"/>
      <c r="G231" s="18"/>
      <c r="H231" s="21"/>
      <c r="I231" s="21"/>
      <c r="J231" s="17"/>
      <c r="K231" s="14"/>
    </row>
    <row r="232" spans="2:13" x14ac:dyDescent="0.3">
      <c r="B232" s="3" t="s">
        <v>52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2:13" ht="18" x14ac:dyDescent="0.3">
      <c r="B233" s="29"/>
      <c r="C233" s="22" t="s">
        <v>18</v>
      </c>
      <c r="D233" s="8" t="s">
        <v>19</v>
      </c>
      <c r="E233" s="6" t="s">
        <v>20</v>
      </c>
      <c r="F233" s="8" t="s">
        <v>21</v>
      </c>
      <c r="G233" s="10" t="s">
        <v>16</v>
      </c>
      <c r="H233" s="6" t="s">
        <v>0</v>
      </c>
      <c r="I233" s="6" t="s">
        <v>22</v>
      </c>
      <c r="J233" s="10" t="s">
        <v>23</v>
      </c>
      <c r="K233" s="11" t="s">
        <v>14</v>
      </c>
      <c r="M233" s="4" t="s">
        <v>24</v>
      </c>
    </row>
    <row r="234" spans="2:13" ht="16.8" x14ac:dyDescent="0.3">
      <c r="B234" s="29" t="s">
        <v>1</v>
      </c>
      <c r="C234" s="22"/>
      <c r="D234" s="8" t="s">
        <v>25</v>
      </c>
      <c r="E234" s="6" t="s">
        <v>2</v>
      </c>
      <c r="F234" s="8" t="s">
        <v>3</v>
      </c>
      <c r="G234" s="10" t="s">
        <v>4</v>
      </c>
      <c r="H234" s="6" t="s">
        <v>4</v>
      </c>
      <c r="I234" s="6" t="s">
        <v>5</v>
      </c>
      <c r="J234" s="10" t="s">
        <v>2</v>
      </c>
      <c r="K234" s="11" t="s">
        <v>4</v>
      </c>
      <c r="M234" s="4" t="s">
        <v>15</v>
      </c>
    </row>
    <row r="235" spans="2:13" x14ac:dyDescent="0.3">
      <c r="B235" s="29" t="s">
        <v>6</v>
      </c>
      <c r="C235" s="6">
        <v>4.2</v>
      </c>
      <c r="D235" s="8">
        <v>30.456</v>
      </c>
      <c r="E235" s="12">
        <f t="shared" ref="E235:E241" si="84">(C235*10^-3)/(D235*10^-4)</f>
        <v>1.3790386130811663</v>
      </c>
      <c r="F235" s="15">
        <v>3.24</v>
      </c>
      <c r="G235" s="23">
        <v>6.025E-3</v>
      </c>
      <c r="H235" s="15">
        <f t="shared" ref="H235:H241" si="85">(E235)/((9.81*F235*10^-2))^(1/2)</f>
        <v>2.4460730221186333</v>
      </c>
      <c r="I235" s="24">
        <v>3</v>
      </c>
      <c r="J235" s="13">
        <v>0</v>
      </c>
      <c r="K235" s="20">
        <f t="shared" ref="K235:K241" si="86">(10.33+M235-0.234)/((E235^2)/19.62)</f>
        <v>104.15868582880654</v>
      </c>
      <c r="M235" s="4">
        <f>-(1.7*J235^2)/19.62</f>
        <v>0</v>
      </c>
    </row>
    <row r="236" spans="2:13" x14ac:dyDescent="0.3">
      <c r="B236" s="29" t="s">
        <v>7</v>
      </c>
      <c r="C236" s="6">
        <v>8.4</v>
      </c>
      <c r="D236" s="8">
        <v>30.456</v>
      </c>
      <c r="E236" s="12">
        <f t="shared" si="84"/>
        <v>2.7580772261623325</v>
      </c>
      <c r="F236" s="15">
        <v>3.24</v>
      </c>
      <c r="G236" s="23">
        <v>6.025E-3</v>
      </c>
      <c r="H236" s="15">
        <f t="shared" si="85"/>
        <v>4.8921460442372666</v>
      </c>
      <c r="I236" s="24">
        <v>4.5</v>
      </c>
      <c r="J236" s="13">
        <v>0</v>
      </c>
      <c r="K236" s="20">
        <f t="shared" si="86"/>
        <v>26.039671457201635</v>
      </c>
      <c r="M236" s="4">
        <f t="shared" ref="M236:M241" si="87">-(1.7*J236^2)/19.62</f>
        <v>0</v>
      </c>
    </row>
    <row r="237" spans="2:13" x14ac:dyDescent="0.3">
      <c r="B237" s="29" t="s">
        <v>8</v>
      </c>
      <c r="C237" s="6">
        <v>12.6</v>
      </c>
      <c r="D237" s="8">
        <v>30.456</v>
      </c>
      <c r="E237" s="12">
        <f t="shared" si="84"/>
        <v>4.1371158392434983</v>
      </c>
      <c r="F237" s="15">
        <v>3.24</v>
      </c>
      <c r="G237" s="23">
        <v>6.025E-3</v>
      </c>
      <c r="H237" s="15">
        <f t="shared" si="85"/>
        <v>7.338219066355899</v>
      </c>
      <c r="I237" s="24">
        <v>4.5</v>
      </c>
      <c r="J237" s="13">
        <v>4.7300000000000004</v>
      </c>
      <c r="K237" s="20">
        <f t="shared" si="86"/>
        <v>9.3510246821583713</v>
      </c>
      <c r="M237" s="4">
        <f t="shared" si="87"/>
        <v>-1.9385285423037719</v>
      </c>
    </row>
    <row r="238" spans="2:13" x14ac:dyDescent="0.3">
      <c r="B238" s="29" t="s">
        <v>9</v>
      </c>
      <c r="C238" s="6">
        <v>16.8</v>
      </c>
      <c r="D238" s="8">
        <v>30.456</v>
      </c>
      <c r="E238" s="12">
        <f t="shared" si="84"/>
        <v>5.5161544523246651</v>
      </c>
      <c r="F238" s="15">
        <v>3.24</v>
      </c>
      <c r="G238" s="23">
        <v>6.025E-3</v>
      </c>
      <c r="H238" s="15">
        <f t="shared" si="85"/>
        <v>9.7842920884745332</v>
      </c>
      <c r="I238" s="24">
        <v>4.5</v>
      </c>
      <c r="J238" s="13">
        <v>7.62</v>
      </c>
      <c r="K238" s="20">
        <f t="shared" si="86"/>
        <v>3.2658791516008168</v>
      </c>
      <c r="M238" s="4">
        <f t="shared" si="87"/>
        <v>-5.0310642201834863</v>
      </c>
    </row>
    <row r="239" spans="2:13" x14ac:dyDescent="0.3">
      <c r="B239" s="29" t="s">
        <v>10</v>
      </c>
      <c r="C239" s="6">
        <v>21</v>
      </c>
      <c r="D239" s="8">
        <v>30.456</v>
      </c>
      <c r="E239" s="12">
        <f t="shared" si="84"/>
        <v>6.8951930654058309</v>
      </c>
      <c r="F239" s="15">
        <v>3.24</v>
      </c>
      <c r="G239" s="23">
        <v>6.025E-3</v>
      </c>
      <c r="H239" s="15">
        <f t="shared" si="85"/>
        <v>12.230365110593166</v>
      </c>
      <c r="I239" s="24">
        <v>4.5</v>
      </c>
      <c r="J239" s="13">
        <v>11.24</v>
      </c>
      <c r="K239" s="20">
        <f t="shared" si="86"/>
        <v>-0.35105396551053053</v>
      </c>
      <c r="M239" s="4">
        <f t="shared" si="87"/>
        <v>-10.946682976554536</v>
      </c>
    </row>
    <row r="240" spans="2:13" x14ac:dyDescent="0.3">
      <c r="B240" s="29" t="s">
        <v>11</v>
      </c>
      <c r="C240" s="6">
        <v>25.2</v>
      </c>
      <c r="D240" s="8">
        <v>30.456</v>
      </c>
      <c r="E240" s="12">
        <f t="shared" si="84"/>
        <v>8.2742316784869967</v>
      </c>
      <c r="F240" s="15">
        <v>3.24</v>
      </c>
      <c r="G240" s="23">
        <v>6.025E-3</v>
      </c>
      <c r="H240" s="15">
        <f t="shared" si="85"/>
        <v>14.676438132711798</v>
      </c>
      <c r="I240" s="24">
        <v>4.5</v>
      </c>
      <c r="J240" s="13">
        <v>13.45</v>
      </c>
      <c r="K240" s="20">
        <f t="shared" si="86"/>
        <v>-1.5986865035240807</v>
      </c>
      <c r="M240" s="4">
        <f t="shared" si="87"/>
        <v>-15.674528542303767</v>
      </c>
    </row>
    <row r="241" spans="2:13" x14ac:dyDescent="0.3">
      <c r="B241" s="29" t="s">
        <v>12</v>
      </c>
      <c r="C241" s="6">
        <v>29.4</v>
      </c>
      <c r="D241" s="8">
        <v>30.456</v>
      </c>
      <c r="E241" s="12">
        <f t="shared" si="84"/>
        <v>9.6532702915681625</v>
      </c>
      <c r="F241" s="15">
        <v>3.24</v>
      </c>
      <c r="G241" s="23">
        <v>6.025E-3</v>
      </c>
      <c r="H241" s="15">
        <f t="shared" si="85"/>
        <v>17.122511154830431</v>
      </c>
      <c r="I241" s="24">
        <v>4.5</v>
      </c>
      <c r="J241" s="13">
        <v>17.7</v>
      </c>
      <c r="K241" s="20">
        <f t="shared" si="86"/>
        <v>-3.5897110918602588</v>
      </c>
      <c r="M241" s="4">
        <f t="shared" si="87"/>
        <v>-27.145412844036695</v>
      </c>
    </row>
    <row r="242" spans="2:13" x14ac:dyDescent="0.3">
      <c r="B242" s="31"/>
      <c r="C242" s="21"/>
      <c r="D242" s="21"/>
      <c r="E242" s="21"/>
      <c r="F242" s="18"/>
      <c r="G242" s="18"/>
      <c r="H242" s="21"/>
      <c r="I242" s="21"/>
      <c r="J242" s="17"/>
      <c r="K242" s="14"/>
    </row>
    <row r="243" spans="2:13" x14ac:dyDescent="0.3">
      <c r="B243" s="3" t="s">
        <v>48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2:13" ht="18" x14ac:dyDescent="0.3">
      <c r="B244" s="29"/>
      <c r="C244" s="22" t="s">
        <v>18</v>
      </c>
      <c r="D244" s="8" t="s">
        <v>19</v>
      </c>
      <c r="E244" s="6" t="s">
        <v>20</v>
      </c>
      <c r="F244" s="8" t="s">
        <v>21</v>
      </c>
      <c r="G244" s="10" t="s">
        <v>16</v>
      </c>
      <c r="H244" s="6" t="s">
        <v>0</v>
      </c>
      <c r="I244" s="6" t="s">
        <v>22</v>
      </c>
      <c r="J244" s="10" t="s">
        <v>23</v>
      </c>
      <c r="K244" s="11" t="s">
        <v>14</v>
      </c>
      <c r="M244" s="4" t="s">
        <v>24</v>
      </c>
    </row>
    <row r="245" spans="2:13" ht="16.8" x14ac:dyDescent="0.3">
      <c r="B245" s="29" t="s">
        <v>1</v>
      </c>
      <c r="C245" s="22"/>
      <c r="D245" s="8" t="s">
        <v>25</v>
      </c>
      <c r="E245" s="6" t="s">
        <v>2</v>
      </c>
      <c r="F245" s="8" t="s">
        <v>3</v>
      </c>
      <c r="G245" s="10" t="s">
        <v>4</v>
      </c>
      <c r="H245" s="6" t="s">
        <v>4</v>
      </c>
      <c r="I245" s="6" t="s">
        <v>5</v>
      </c>
      <c r="J245" s="10" t="s">
        <v>2</v>
      </c>
      <c r="K245" s="11" t="s">
        <v>4</v>
      </c>
      <c r="M245" s="4" t="s">
        <v>15</v>
      </c>
    </row>
    <row r="246" spans="2:13" x14ac:dyDescent="0.3">
      <c r="B246" s="29" t="s">
        <v>6</v>
      </c>
      <c r="C246" s="6">
        <v>4.2</v>
      </c>
      <c r="D246" s="8">
        <v>30.456</v>
      </c>
      <c r="E246" s="12">
        <f t="shared" ref="E246:E252" si="88">(C246*10^-3)/(D246*10^-4)</f>
        <v>1.3790386130811663</v>
      </c>
      <c r="F246" s="15">
        <v>3.24</v>
      </c>
      <c r="G246" s="23">
        <v>3.0125E-3</v>
      </c>
      <c r="H246" s="15">
        <f t="shared" ref="H246:H252" si="89">(E246)/((9.81*F246*10^-2))^(1/2)</f>
        <v>2.4460730221186333</v>
      </c>
      <c r="I246" s="24">
        <v>3</v>
      </c>
      <c r="J246" s="13">
        <v>0</v>
      </c>
      <c r="K246" s="20">
        <f t="shared" ref="K246:K252" si="90">(10.33+M246-0.234)/((E246^2)/19.62)</f>
        <v>104.15868582880654</v>
      </c>
      <c r="M246" s="4">
        <f>-(1.7*J246^2)/19.62</f>
        <v>0</v>
      </c>
    </row>
    <row r="247" spans="2:13" x14ac:dyDescent="0.3">
      <c r="B247" s="29" t="s">
        <v>7</v>
      </c>
      <c r="C247" s="6">
        <v>8.4</v>
      </c>
      <c r="D247" s="8">
        <v>30.456</v>
      </c>
      <c r="E247" s="12">
        <f t="shared" si="88"/>
        <v>2.7580772261623325</v>
      </c>
      <c r="F247" s="15">
        <v>3.24</v>
      </c>
      <c r="G247" s="23">
        <v>3.0125E-3</v>
      </c>
      <c r="H247" s="15">
        <f t="shared" si="89"/>
        <v>4.8921460442372666</v>
      </c>
      <c r="I247" s="24">
        <v>4.5</v>
      </c>
      <c r="J247" s="13">
        <v>0</v>
      </c>
      <c r="K247" s="20">
        <f t="shared" si="90"/>
        <v>26.039671457201635</v>
      </c>
      <c r="M247" s="4">
        <f t="shared" ref="M247:M252" si="91">-(1.7*J247^2)/19.62</f>
        <v>0</v>
      </c>
    </row>
    <row r="248" spans="2:13" x14ac:dyDescent="0.3">
      <c r="B248" s="29" t="s">
        <v>8</v>
      </c>
      <c r="C248" s="6">
        <v>12.6</v>
      </c>
      <c r="D248" s="8">
        <v>30.456</v>
      </c>
      <c r="E248" s="12">
        <f t="shared" si="88"/>
        <v>4.1371158392434983</v>
      </c>
      <c r="F248" s="15">
        <v>3.24</v>
      </c>
      <c r="G248" s="23">
        <v>3.0125E-3</v>
      </c>
      <c r="H248" s="15">
        <f t="shared" si="89"/>
        <v>7.338219066355899</v>
      </c>
      <c r="I248" s="24">
        <v>4.5</v>
      </c>
      <c r="J248" s="13">
        <v>3.7</v>
      </c>
      <c r="K248" s="20">
        <f t="shared" si="90"/>
        <v>10.213443765903676</v>
      </c>
      <c r="M248" s="4">
        <f t="shared" si="91"/>
        <v>-1.1861875637104995</v>
      </c>
    </row>
    <row r="249" spans="2:13" x14ac:dyDescent="0.3">
      <c r="B249" s="29" t="s">
        <v>9</v>
      </c>
      <c r="C249" s="6">
        <v>16.8</v>
      </c>
      <c r="D249" s="8">
        <v>30.456</v>
      </c>
      <c r="E249" s="12">
        <f t="shared" si="88"/>
        <v>5.5161544523246651</v>
      </c>
      <c r="F249" s="15">
        <v>3.24</v>
      </c>
      <c r="G249" s="23">
        <v>3.0125E-3</v>
      </c>
      <c r="H249" s="15">
        <f t="shared" si="89"/>
        <v>9.7842920884745332</v>
      </c>
      <c r="I249" s="24">
        <v>4.5</v>
      </c>
      <c r="J249" s="13">
        <v>3.25</v>
      </c>
      <c r="K249" s="20">
        <f t="shared" si="90"/>
        <v>5.9197945029483687</v>
      </c>
      <c r="M249" s="4">
        <f t="shared" si="91"/>
        <v>-0.91520132517838937</v>
      </c>
    </row>
    <row r="250" spans="2:13" x14ac:dyDescent="0.3">
      <c r="B250" s="29" t="s">
        <v>10</v>
      </c>
      <c r="C250" s="6">
        <v>21</v>
      </c>
      <c r="D250" s="8">
        <v>30.456</v>
      </c>
      <c r="E250" s="12">
        <f t="shared" si="88"/>
        <v>6.8951930654058309</v>
      </c>
      <c r="F250" s="15">
        <v>3.24</v>
      </c>
      <c r="G250" s="23">
        <v>3.0125E-3</v>
      </c>
      <c r="H250" s="15">
        <f t="shared" si="89"/>
        <v>12.230365110593166</v>
      </c>
      <c r="I250" s="24">
        <v>4.5</v>
      </c>
      <c r="J250" s="13">
        <v>5.59</v>
      </c>
      <c r="K250" s="20">
        <f t="shared" si="90"/>
        <v>3.0490220237289805</v>
      </c>
      <c r="M250" s="4">
        <f t="shared" si="91"/>
        <v>-2.7075316004077465</v>
      </c>
    </row>
    <row r="251" spans="2:13" x14ac:dyDescent="0.3">
      <c r="B251" s="29" t="s">
        <v>11</v>
      </c>
      <c r="C251" s="6">
        <v>25.2</v>
      </c>
      <c r="D251" s="8">
        <v>30.456</v>
      </c>
      <c r="E251" s="12">
        <f t="shared" si="88"/>
        <v>8.2742316784869967</v>
      </c>
      <c r="F251" s="15">
        <v>3.24</v>
      </c>
      <c r="G251" s="23">
        <v>3.0125E-3</v>
      </c>
      <c r="H251" s="15">
        <f t="shared" si="89"/>
        <v>14.676438132711798</v>
      </c>
      <c r="I251" s="24">
        <v>4.5</v>
      </c>
      <c r="J251" s="13">
        <v>8.09</v>
      </c>
      <c r="K251" s="20">
        <f t="shared" si="90"/>
        <v>1.2681574616938782</v>
      </c>
      <c r="M251" s="4">
        <f t="shared" si="91"/>
        <v>-5.6708343527013243</v>
      </c>
    </row>
    <row r="252" spans="2:13" x14ac:dyDescent="0.3">
      <c r="B252" s="29" t="s">
        <v>12</v>
      </c>
      <c r="C252" s="6">
        <v>29.3</v>
      </c>
      <c r="D252" s="8">
        <v>30.456</v>
      </c>
      <c r="E252" s="12">
        <f t="shared" si="88"/>
        <v>9.6204360388757539</v>
      </c>
      <c r="F252" s="15">
        <v>3.24</v>
      </c>
      <c r="G252" s="23">
        <v>3.0125E-3</v>
      </c>
      <c r="H252" s="15">
        <f t="shared" si="89"/>
        <v>17.064271320970462</v>
      </c>
      <c r="I252" s="24">
        <v>4.5</v>
      </c>
      <c r="J252" s="13">
        <v>10.199999999999999</v>
      </c>
      <c r="K252" s="20">
        <f t="shared" si="90"/>
        <v>0.22922615403285693</v>
      </c>
      <c r="M252" s="4">
        <f t="shared" si="91"/>
        <v>-9.0146788990825684</v>
      </c>
    </row>
    <row r="253" spans="2:13" x14ac:dyDescent="0.3">
      <c r="B253" s="31"/>
      <c r="C253" s="21"/>
      <c r="D253" s="21"/>
      <c r="E253" s="21"/>
      <c r="F253" s="18"/>
      <c r="G253" s="18"/>
      <c r="H253" s="21"/>
      <c r="I253" s="21"/>
      <c r="J253" s="17"/>
      <c r="K253" s="14"/>
    </row>
    <row r="254" spans="2:13" x14ac:dyDescent="0.3">
      <c r="B254" s="3" t="s">
        <v>49</v>
      </c>
      <c r="C254" s="3"/>
      <c r="D254" s="3"/>
      <c r="E254" s="3"/>
      <c r="F254" s="3"/>
      <c r="G254" s="3"/>
      <c r="H254" s="3"/>
      <c r="I254" s="3"/>
      <c r="J254" s="3"/>
      <c r="K254" s="3"/>
    </row>
    <row r="255" spans="2:13" ht="18" x14ac:dyDescent="0.3">
      <c r="B255" s="29"/>
      <c r="C255" s="22" t="s">
        <v>18</v>
      </c>
      <c r="D255" s="8" t="s">
        <v>19</v>
      </c>
      <c r="E255" s="6" t="s">
        <v>20</v>
      </c>
      <c r="F255" s="8" t="s">
        <v>21</v>
      </c>
      <c r="G255" s="10" t="s">
        <v>16</v>
      </c>
      <c r="H255" s="6" t="s">
        <v>0</v>
      </c>
      <c r="I255" s="6" t="s">
        <v>22</v>
      </c>
      <c r="J255" s="10" t="s">
        <v>23</v>
      </c>
      <c r="K255" s="11" t="s">
        <v>14</v>
      </c>
      <c r="M255" s="4" t="s">
        <v>24</v>
      </c>
    </row>
    <row r="256" spans="2:13" ht="16.8" x14ac:dyDescent="0.3">
      <c r="B256" s="29" t="s">
        <v>1</v>
      </c>
      <c r="C256" s="22"/>
      <c r="D256" s="8" t="s">
        <v>25</v>
      </c>
      <c r="E256" s="6" t="s">
        <v>2</v>
      </c>
      <c r="F256" s="8" t="s">
        <v>3</v>
      </c>
      <c r="G256" s="10" t="s">
        <v>4</v>
      </c>
      <c r="H256" s="6" t="s">
        <v>4</v>
      </c>
      <c r="I256" s="6" t="s">
        <v>5</v>
      </c>
      <c r="J256" s="10" t="s">
        <v>2</v>
      </c>
      <c r="K256" s="11" t="s">
        <v>4</v>
      </c>
      <c r="M256" s="4" t="s">
        <v>15</v>
      </c>
    </row>
    <row r="257" spans="2:13" x14ac:dyDescent="0.3">
      <c r="B257" s="29" t="s">
        <v>6</v>
      </c>
      <c r="C257" s="6">
        <v>4.2</v>
      </c>
      <c r="D257" s="8">
        <v>30.456</v>
      </c>
      <c r="E257" s="12">
        <f t="shared" ref="E257:E263" si="92">(C257*10^-3)/(D257*10^-4)</f>
        <v>1.3790386130811663</v>
      </c>
      <c r="F257" s="15">
        <v>3.24</v>
      </c>
      <c r="G257" s="23">
        <v>2.0083000000000002E-3</v>
      </c>
      <c r="H257" s="15">
        <f t="shared" ref="H257:H263" si="93">(E257)/((9.81*F257*10^-2))^(1/2)</f>
        <v>2.4460730221186333</v>
      </c>
      <c r="I257" s="24">
        <v>3</v>
      </c>
      <c r="J257" s="13">
        <v>0</v>
      </c>
      <c r="K257" s="20">
        <f t="shared" ref="K257:K263" si="94">(10.33+M257-0.234)/((E257^2)/19.62)</f>
        <v>104.15868582880654</v>
      </c>
      <c r="M257" s="4">
        <f>-(1.7*J257^2)/19.62</f>
        <v>0</v>
      </c>
    </row>
    <row r="258" spans="2:13" x14ac:dyDescent="0.3">
      <c r="B258" s="29" t="s">
        <v>7</v>
      </c>
      <c r="C258" s="6">
        <v>8.4</v>
      </c>
      <c r="D258" s="8">
        <v>30.456</v>
      </c>
      <c r="E258" s="12">
        <f t="shared" si="92"/>
        <v>2.7580772261623325</v>
      </c>
      <c r="F258" s="15">
        <v>3.24</v>
      </c>
      <c r="G258" s="23">
        <v>2.0083000000000002E-3</v>
      </c>
      <c r="H258" s="15">
        <f t="shared" si="93"/>
        <v>4.8921460442372666</v>
      </c>
      <c r="I258" s="24">
        <v>3</v>
      </c>
      <c r="J258" s="13">
        <v>0</v>
      </c>
      <c r="K258" s="20">
        <f t="shared" si="94"/>
        <v>26.039671457201635</v>
      </c>
      <c r="M258" s="4">
        <f t="shared" ref="M258:M263" si="95">-(1.7*J258^2)/19.62</f>
        <v>0</v>
      </c>
    </row>
    <row r="259" spans="2:13" x14ac:dyDescent="0.3">
      <c r="B259" s="29" t="s">
        <v>8</v>
      </c>
      <c r="C259" s="6">
        <v>12.6</v>
      </c>
      <c r="D259" s="8">
        <v>30.456</v>
      </c>
      <c r="E259" s="12">
        <f t="shared" si="92"/>
        <v>4.1371158392434983</v>
      </c>
      <c r="F259" s="15">
        <v>3.24</v>
      </c>
      <c r="G259" s="23">
        <v>2.0083000000000002E-3</v>
      </c>
      <c r="H259" s="15">
        <f t="shared" si="93"/>
        <v>7.338219066355899</v>
      </c>
      <c r="I259" s="24">
        <v>3</v>
      </c>
      <c r="J259" s="13">
        <v>0</v>
      </c>
      <c r="K259" s="20">
        <f t="shared" si="94"/>
        <v>11.57318731431184</v>
      </c>
      <c r="M259" s="4">
        <f t="shared" si="95"/>
        <v>0</v>
      </c>
    </row>
    <row r="260" spans="2:13" x14ac:dyDescent="0.3">
      <c r="B260" s="29" t="s">
        <v>9</v>
      </c>
      <c r="C260" s="6">
        <v>16.8</v>
      </c>
      <c r="D260" s="8">
        <v>30.456</v>
      </c>
      <c r="E260" s="12">
        <f t="shared" si="92"/>
        <v>5.5161544523246651</v>
      </c>
      <c r="F260" s="15">
        <v>3.24</v>
      </c>
      <c r="G260" s="23">
        <v>2.0083000000000002E-3</v>
      </c>
      <c r="H260" s="15">
        <f t="shared" si="93"/>
        <v>9.7842920884745332</v>
      </c>
      <c r="I260" s="24">
        <v>3</v>
      </c>
      <c r="J260" s="13">
        <v>0</v>
      </c>
      <c r="K260" s="20">
        <f t="shared" si="94"/>
        <v>6.5099178643004088</v>
      </c>
      <c r="M260" s="4">
        <f t="shared" si="95"/>
        <v>0</v>
      </c>
    </row>
    <row r="261" spans="2:13" x14ac:dyDescent="0.3">
      <c r="B261" s="29" t="s">
        <v>10</v>
      </c>
      <c r="C261" s="6">
        <v>21</v>
      </c>
      <c r="D261" s="8">
        <v>30.456</v>
      </c>
      <c r="E261" s="12">
        <f t="shared" si="92"/>
        <v>6.8951930654058309</v>
      </c>
      <c r="F261" s="15">
        <v>3.24</v>
      </c>
      <c r="G261" s="23">
        <v>2.0083000000000002E-3</v>
      </c>
      <c r="H261" s="15">
        <f t="shared" si="93"/>
        <v>12.230365110593166</v>
      </c>
      <c r="I261" s="24">
        <v>4.5</v>
      </c>
      <c r="J261" s="13">
        <v>0.8</v>
      </c>
      <c r="K261" s="20">
        <f t="shared" si="94"/>
        <v>4.1434632174069561</v>
      </c>
      <c r="M261" s="4">
        <f t="shared" si="95"/>
        <v>-5.5453618756371052E-2</v>
      </c>
    </row>
    <row r="262" spans="2:13" x14ac:dyDescent="0.3">
      <c r="B262" s="29" t="s">
        <v>11</v>
      </c>
      <c r="C262" s="6">
        <v>25.2</v>
      </c>
      <c r="D262" s="8">
        <v>30.456</v>
      </c>
      <c r="E262" s="12">
        <f t="shared" si="92"/>
        <v>8.2742316784869967</v>
      </c>
      <c r="F262" s="15">
        <v>3.24</v>
      </c>
      <c r="G262" s="23">
        <v>2.0083000000000002E-3</v>
      </c>
      <c r="H262" s="15">
        <f t="shared" si="93"/>
        <v>14.676438132711798</v>
      </c>
      <c r="I262" s="24">
        <v>4.5</v>
      </c>
      <c r="J262" s="13">
        <v>1.95</v>
      </c>
      <c r="K262" s="20">
        <f t="shared" si="94"/>
        <v>2.7988770907616334</v>
      </c>
      <c r="M262" s="4">
        <f t="shared" si="95"/>
        <v>-0.32947247706422017</v>
      </c>
    </row>
    <row r="263" spans="2:13" x14ac:dyDescent="0.3">
      <c r="B263" s="29" t="s">
        <v>12</v>
      </c>
      <c r="C263" s="6">
        <v>29.4</v>
      </c>
      <c r="D263" s="8">
        <v>30.456</v>
      </c>
      <c r="E263" s="12">
        <f t="shared" si="92"/>
        <v>9.6532702915681625</v>
      </c>
      <c r="F263" s="15">
        <v>3.24</v>
      </c>
      <c r="G263" s="23">
        <v>2.0083000000000002E-3</v>
      </c>
      <c r="H263" s="15">
        <f t="shared" si="93"/>
        <v>17.122511154830431</v>
      </c>
      <c r="I263" s="24">
        <v>4.5</v>
      </c>
      <c r="J263" s="13">
        <v>2.0299999999999998</v>
      </c>
      <c r="K263" s="20">
        <f t="shared" si="94"/>
        <v>2.0505092415119708</v>
      </c>
      <c r="M263" s="4">
        <f t="shared" si="95"/>
        <v>-0.35706065239551465</v>
      </c>
    </row>
  </sheetData>
  <mergeCells count="48">
    <mergeCell ref="B45:K45"/>
    <mergeCell ref="C2:C3"/>
    <mergeCell ref="B12:K12"/>
    <mergeCell ref="C13:C14"/>
    <mergeCell ref="B23:K23"/>
    <mergeCell ref="C24:C25"/>
    <mergeCell ref="B34:K34"/>
    <mergeCell ref="C35:C36"/>
    <mergeCell ref="B89:K89"/>
    <mergeCell ref="C46:C47"/>
    <mergeCell ref="B56:K56"/>
    <mergeCell ref="C57:C58"/>
    <mergeCell ref="B67:K67"/>
    <mergeCell ref="C68:C69"/>
    <mergeCell ref="B78:K78"/>
    <mergeCell ref="C79:C80"/>
    <mergeCell ref="B133:K133"/>
    <mergeCell ref="C90:C91"/>
    <mergeCell ref="B100:K100"/>
    <mergeCell ref="C101:C102"/>
    <mergeCell ref="B111:K111"/>
    <mergeCell ref="C112:C113"/>
    <mergeCell ref="B122:K122"/>
    <mergeCell ref="C123:C124"/>
    <mergeCell ref="B210:K210"/>
    <mergeCell ref="C211:C212"/>
    <mergeCell ref="B221:K221"/>
    <mergeCell ref="B177:K177"/>
    <mergeCell ref="C134:C135"/>
    <mergeCell ref="B144:K144"/>
    <mergeCell ref="C145:C146"/>
    <mergeCell ref="B155:K155"/>
    <mergeCell ref="C244:C245"/>
    <mergeCell ref="B254:K254"/>
    <mergeCell ref="C255:C256"/>
    <mergeCell ref="B1:K1"/>
    <mergeCell ref="C222:C223"/>
    <mergeCell ref="B232:K232"/>
    <mergeCell ref="C233:C234"/>
    <mergeCell ref="C178:C179"/>
    <mergeCell ref="B188:K188"/>
    <mergeCell ref="C189:C190"/>
    <mergeCell ref="B199:K199"/>
    <mergeCell ref="C156:C157"/>
    <mergeCell ref="B166:K166"/>
    <mergeCell ref="C167:C168"/>
    <mergeCell ref="B243:K243"/>
    <mergeCell ref="C200:C2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3"/>
  <sheetViews>
    <sheetView zoomScale="111" zoomScaleNormal="111" workbookViewId="0">
      <selection activeCell="N1" sqref="N1"/>
    </sheetView>
  </sheetViews>
  <sheetFormatPr defaultRowHeight="14.4" x14ac:dyDescent="0.3"/>
  <cols>
    <col min="1" max="1" width="8.88671875" style="2"/>
    <col min="2" max="2" width="8.88671875" style="32"/>
    <col min="3" max="6" width="9" style="2" bestFit="1" customWidth="1"/>
    <col min="7" max="7" width="9" style="2" customWidth="1"/>
    <col min="8" max="10" width="9" style="2" bestFit="1" customWidth="1"/>
    <col min="11" max="11" width="10.44140625" style="20" bestFit="1" customWidth="1"/>
    <col min="12" max="12" width="8.88671875" style="2"/>
    <col min="13" max="13" width="9.21875" style="4" bestFit="1" customWidth="1"/>
    <col min="14" max="14" width="9.21875" style="1" bestFit="1" customWidth="1"/>
  </cols>
  <sheetData>
    <row r="1" spans="2:13" x14ac:dyDescent="0.3">
      <c r="B1" s="25" t="s">
        <v>17</v>
      </c>
      <c r="C1" s="25"/>
      <c r="D1" s="25"/>
      <c r="E1" s="25"/>
      <c r="F1" s="25"/>
      <c r="G1" s="25"/>
      <c r="H1" s="25"/>
      <c r="I1" s="25"/>
      <c r="J1" s="25"/>
      <c r="K1" s="25"/>
    </row>
    <row r="2" spans="2:13" ht="18" x14ac:dyDescent="0.3">
      <c r="B2" s="33"/>
      <c r="C2" s="22" t="s">
        <v>18</v>
      </c>
      <c r="D2" s="8" t="s">
        <v>19</v>
      </c>
      <c r="E2" s="10" t="s">
        <v>20</v>
      </c>
      <c r="F2" s="9" t="s">
        <v>26</v>
      </c>
      <c r="G2" s="10" t="s">
        <v>16</v>
      </c>
      <c r="H2" s="26" t="s">
        <v>0</v>
      </c>
      <c r="I2" s="6" t="s">
        <v>22</v>
      </c>
      <c r="J2" s="10" t="s">
        <v>23</v>
      </c>
      <c r="K2" s="11" t="s">
        <v>14</v>
      </c>
      <c r="M2" s="4" t="s">
        <v>24</v>
      </c>
    </row>
    <row r="3" spans="2:13" ht="16.8" x14ac:dyDescent="0.3">
      <c r="B3" s="33" t="s">
        <v>1</v>
      </c>
      <c r="C3" s="22"/>
      <c r="D3" s="8" t="s">
        <v>25</v>
      </c>
      <c r="E3" s="10" t="s">
        <v>2</v>
      </c>
      <c r="F3" s="9" t="s">
        <v>3</v>
      </c>
      <c r="G3" s="10" t="s">
        <v>4</v>
      </c>
      <c r="H3" s="26" t="s">
        <v>4</v>
      </c>
      <c r="I3" s="6" t="s">
        <v>5</v>
      </c>
      <c r="J3" s="10" t="s">
        <v>2</v>
      </c>
      <c r="K3" s="11" t="s">
        <v>4</v>
      </c>
      <c r="M3" s="4" t="s">
        <v>15</v>
      </c>
    </row>
    <row r="4" spans="2:13" x14ac:dyDescent="0.3">
      <c r="B4" s="33" t="s">
        <v>6</v>
      </c>
      <c r="C4" s="24">
        <v>1</v>
      </c>
      <c r="D4" s="15">
        <v>5.1409430829999998</v>
      </c>
      <c r="E4" s="13">
        <f t="shared" ref="E4:E10" si="0">(C4*10^-3)/(D4*10^-4)</f>
        <v>1.9451683939213145</v>
      </c>
      <c r="F4" s="12">
        <v>5.8784999999999998</v>
      </c>
      <c r="G4" s="23">
        <v>5.5425090000000002E-3</v>
      </c>
      <c r="H4" s="27">
        <f>E4/((D4*10^-4)/(F4*10^-2)*9.81)^(1/2)</f>
        <v>6.6410165731286011</v>
      </c>
      <c r="I4" s="24">
        <v>4.5</v>
      </c>
      <c r="J4" s="13">
        <v>0</v>
      </c>
      <c r="K4" s="20">
        <f t="shared" ref="K4:K10" si="1">(10.33+M4-0.234)/((E4^2)/19.62)</f>
        <v>52.35207939747584</v>
      </c>
      <c r="M4" s="4">
        <f>-(1.7*J4^2)/19.62</f>
        <v>0</v>
      </c>
    </row>
    <row r="5" spans="2:13" x14ac:dyDescent="0.3">
      <c r="B5" s="33" t="s">
        <v>7</v>
      </c>
      <c r="C5" s="24">
        <v>2</v>
      </c>
      <c r="D5" s="15">
        <v>5.1409430829999998</v>
      </c>
      <c r="E5" s="13">
        <f t="shared" si="0"/>
        <v>3.8903367878426289</v>
      </c>
      <c r="F5" s="12">
        <v>5.8784999999999998</v>
      </c>
      <c r="G5" s="23">
        <v>5.5425090000000002E-3</v>
      </c>
      <c r="H5" s="27">
        <f t="shared" ref="H5:H10" si="2">E5/((D5*10^-4)/(F5*10^-2)*9.81)^(1/2)</f>
        <v>13.282033146257202</v>
      </c>
      <c r="I5" s="24">
        <v>4.5</v>
      </c>
      <c r="J5" s="13">
        <v>2.27</v>
      </c>
      <c r="K5" s="20">
        <f t="shared" si="1"/>
        <v>12.509222896855785</v>
      </c>
      <c r="M5" s="4">
        <f t="shared" ref="M5:M10" si="3">-(1.7*J5^2)/19.62</f>
        <v>-0.446479612640163</v>
      </c>
    </row>
    <row r="6" spans="2:13" x14ac:dyDescent="0.3">
      <c r="B6" s="33" t="s">
        <v>8</v>
      </c>
      <c r="C6" s="24">
        <v>3</v>
      </c>
      <c r="D6" s="15">
        <v>5.1409430829999998</v>
      </c>
      <c r="E6" s="13">
        <f t="shared" si="0"/>
        <v>5.835505181763943</v>
      </c>
      <c r="F6" s="12">
        <v>5.8784999999999998</v>
      </c>
      <c r="G6" s="23">
        <v>5.5425090000000002E-3</v>
      </c>
      <c r="H6" s="27">
        <f t="shared" si="2"/>
        <v>19.923049719385801</v>
      </c>
      <c r="I6" s="24">
        <v>4.5</v>
      </c>
      <c r="J6" s="13">
        <v>6.29</v>
      </c>
      <c r="K6" s="20">
        <f t="shared" si="1"/>
        <v>3.8417785862016682</v>
      </c>
      <c r="M6" s="4">
        <f t="shared" si="3"/>
        <v>-3.4280820591233434</v>
      </c>
    </row>
    <row r="7" spans="2:13" x14ac:dyDescent="0.3">
      <c r="B7" s="33" t="s">
        <v>9</v>
      </c>
      <c r="C7" s="24">
        <v>4</v>
      </c>
      <c r="D7" s="15">
        <v>5.1409430829999998</v>
      </c>
      <c r="E7" s="13">
        <f t="shared" si="0"/>
        <v>7.7806735756852579</v>
      </c>
      <c r="F7" s="12">
        <v>5.8784999999999998</v>
      </c>
      <c r="G7" s="23">
        <v>5.5425090000000002E-3</v>
      </c>
      <c r="H7" s="27">
        <f t="shared" si="2"/>
        <v>26.564066292514404</v>
      </c>
      <c r="I7" s="24">
        <v>4.5</v>
      </c>
      <c r="J7" s="13">
        <v>9.76</v>
      </c>
      <c r="K7" s="20">
        <f t="shared" si="1"/>
        <v>0.59706422102574574</v>
      </c>
      <c r="M7" s="4">
        <f t="shared" si="3"/>
        <v>-8.2537166156982664</v>
      </c>
    </row>
    <row r="8" spans="2:13" x14ac:dyDescent="0.3">
      <c r="B8" s="33" t="s">
        <v>10</v>
      </c>
      <c r="C8" s="24">
        <v>5</v>
      </c>
      <c r="D8" s="15">
        <v>5.1409430829999998</v>
      </c>
      <c r="E8" s="13">
        <f t="shared" si="0"/>
        <v>9.7258419696065719</v>
      </c>
      <c r="F8" s="12">
        <v>5.8784999999999998</v>
      </c>
      <c r="G8" s="23">
        <v>5.5425090000000002E-3</v>
      </c>
      <c r="H8" s="27">
        <f t="shared" si="2"/>
        <v>33.205082865643007</v>
      </c>
      <c r="I8" s="24">
        <v>4.5</v>
      </c>
      <c r="J8" s="13">
        <v>11.35</v>
      </c>
      <c r="K8" s="20">
        <f t="shared" si="1"/>
        <v>-0.22110463415366771</v>
      </c>
      <c r="M8" s="4">
        <f t="shared" si="3"/>
        <v>-11.161990316004076</v>
      </c>
    </row>
    <row r="9" spans="2:13" x14ac:dyDescent="0.3">
      <c r="B9" s="33" t="s">
        <v>11</v>
      </c>
      <c r="C9" s="24">
        <v>6</v>
      </c>
      <c r="D9" s="15">
        <v>5.1409430829999998</v>
      </c>
      <c r="E9" s="13">
        <f t="shared" si="0"/>
        <v>11.671010363527886</v>
      </c>
      <c r="F9" s="12">
        <v>5.8784999999999998</v>
      </c>
      <c r="G9" s="23">
        <v>5.5425090000000002E-3</v>
      </c>
      <c r="H9" s="27">
        <f t="shared" si="2"/>
        <v>39.846099438771603</v>
      </c>
      <c r="I9" s="24">
        <v>4.5</v>
      </c>
      <c r="J9" s="13">
        <v>14.29</v>
      </c>
      <c r="K9" s="20">
        <f t="shared" si="1"/>
        <v>-1.0943450028976647</v>
      </c>
      <c r="M9" s="4">
        <f t="shared" si="3"/>
        <v>-17.693525484199792</v>
      </c>
    </row>
    <row r="10" spans="2:13" x14ac:dyDescent="0.3">
      <c r="B10" s="33" t="s">
        <v>12</v>
      </c>
      <c r="C10" s="24">
        <v>7.2</v>
      </c>
      <c r="D10" s="15">
        <v>5.1409430829999998</v>
      </c>
      <c r="E10" s="13">
        <f t="shared" si="0"/>
        <v>14.005212436233464</v>
      </c>
      <c r="F10" s="12">
        <v>5.8784999999999998</v>
      </c>
      <c r="G10" s="23">
        <v>5.5425090000000002E-3</v>
      </c>
      <c r="H10" s="27">
        <f t="shared" si="2"/>
        <v>47.81531932652593</v>
      </c>
      <c r="I10" s="24">
        <v>4.5</v>
      </c>
      <c r="J10" s="13">
        <v>17.5</v>
      </c>
      <c r="K10" s="20">
        <f t="shared" si="1"/>
        <v>-1.6443950958897089</v>
      </c>
      <c r="M10" s="4">
        <f t="shared" si="3"/>
        <v>-26.535423037716615</v>
      </c>
    </row>
    <row r="11" spans="2:13" x14ac:dyDescent="0.3">
      <c r="B11" s="34"/>
      <c r="C11" s="21"/>
      <c r="D11" s="18"/>
      <c r="E11" s="17"/>
      <c r="F11" s="19"/>
      <c r="G11" s="19"/>
      <c r="H11" s="28"/>
      <c r="I11" s="21"/>
      <c r="J11" s="17"/>
      <c r="K11" s="14"/>
    </row>
    <row r="12" spans="2:13" x14ac:dyDescent="0.3">
      <c r="B12" s="25" t="s">
        <v>27</v>
      </c>
      <c r="C12" s="25"/>
      <c r="D12" s="25"/>
      <c r="E12" s="25"/>
      <c r="F12" s="25"/>
      <c r="G12" s="25"/>
      <c r="H12" s="25"/>
      <c r="I12" s="25"/>
      <c r="J12" s="25"/>
      <c r="K12" s="25"/>
    </row>
    <row r="13" spans="2:13" ht="18" x14ac:dyDescent="0.3">
      <c r="B13" s="33"/>
      <c r="C13" s="22" t="s">
        <v>18</v>
      </c>
      <c r="D13" s="8" t="s">
        <v>19</v>
      </c>
      <c r="E13" s="10" t="s">
        <v>20</v>
      </c>
      <c r="F13" s="9" t="s">
        <v>26</v>
      </c>
      <c r="G13" s="10" t="s">
        <v>16</v>
      </c>
      <c r="H13" s="26" t="s">
        <v>0</v>
      </c>
      <c r="I13" s="6" t="s">
        <v>22</v>
      </c>
      <c r="J13" s="10" t="s">
        <v>23</v>
      </c>
      <c r="K13" s="11" t="s">
        <v>14</v>
      </c>
      <c r="M13" s="4" t="s">
        <v>24</v>
      </c>
    </row>
    <row r="14" spans="2:13" ht="16.8" x14ac:dyDescent="0.3">
      <c r="B14" s="33" t="s">
        <v>1</v>
      </c>
      <c r="C14" s="22"/>
      <c r="D14" s="8" t="s">
        <v>25</v>
      </c>
      <c r="E14" s="10" t="s">
        <v>2</v>
      </c>
      <c r="F14" s="9" t="s">
        <v>3</v>
      </c>
      <c r="G14" s="10" t="s">
        <v>4</v>
      </c>
      <c r="H14" s="26" t="s">
        <v>4</v>
      </c>
      <c r="I14" s="6" t="s">
        <v>5</v>
      </c>
      <c r="J14" s="10" t="s">
        <v>2</v>
      </c>
      <c r="K14" s="11" t="s">
        <v>4</v>
      </c>
      <c r="M14" s="4" t="s">
        <v>15</v>
      </c>
    </row>
    <row r="15" spans="2:13" x14ac:dyDescent="0.3">
      <c r="B15" s="33" t="s">
        <v>6</v>
      </c>
      <c r="C15" s="24">
        <v>1</v>
      </c>
      <c r="D15" s="15">
        <v>5.1409430829999998</v>
      </c>
      <c r="E15" s="13">
        <f t="shared" ref="E15:E21" si="4">(C15*10^-3)/(D15*10^-4)</f>
        <v>1.9451683939213145</v>
      </c>
      <c r="F15" s="12">
        <v>5.8784999999999998</v>
      </c>
      <c r="G15" s="23">
        <v>2.7712549999999998E-3</v>
      </c>
      <c r="H15" s="27">
        <f>E15/((D15*10^-4)/(F15*10^-2)*9.81)^(1/2)</f>
        <v>6.6410165731286011</v>
      </c>
      <c r="I15" s="24">
        <v>3</v>
      </c>
      <c r="J15" s="13">
        <v>0.6</v>
      </c>
      <c r="K15" s="20">
        <f t="shared" ref="K15:K21" si="5">(10.33+M15-0.234)/((E15^2)/19.62)</f>
        <v>52.190332107286046</v>
      </c>
      <c r="M15" s="4">
        <f>-(1.7*J15^2)/19.62</f>
        <v>-3.1192660550458714E-2</v>
      </c>
    </row>
    <row r="16" spans="2:13" x14ac:dyDescent="0.3">
      <c r="B16" s="33" t="s">
        <v>7</v>
      </c>
      <c r="C16" s="24">
        <v>2</v>
      </c>
      <c r="D16" s="15">
        <v>5.1409430829999998</v>
      </c>
      <c r="E16" s="13">
        <f t="shared" si="4"/>
        <v>3.8903367878426289</v>
      </c>
      <c r="F16" s="12">
        <v>5.8784999999999998</v>
      </c>
      <c r="G16" s="23">
        <v>2.7712549999999998E-3</v>
      </c>
      <c r="H16" s="27">
        <f t="shared" ref="H16:H21" si="6">E16/((D16*10^-4)/(F16*10^-2)*9.81)^(1/2)</f>
        <v>13.282033146257202</v>
      </c>
      <c r="I16" s="24">
        <v>4.5</v>
      </c>
      <c r="J16" s="13">
        <v>1.96</v>
      </c>
      <c r="K16" s="20">
        <f t="shared" si="5"/>
        <v>12.656514022984865</v>
      </c>
      <c r="M16" s="4">
        <f t="shared" ref="M16:M21" si="7">-(1.7*J16^2)/19.62</f>
        <v>-0.33286034658511721</v>
      </c>
    </row>
    <row r="17" spans="2:13" x14ac:dyDescent="0.3">
      <c r="B17" s="33" t="s">
        <v>8</v>
      </c>
      <c r="C17" s="24">
        <v>3</v>
      </c>
      <c r="D17" s="15">
        <v>5.1409430829999998</v>
      </c>
      <c r="E17" s="13">
        <f t="shared" si="4"/>
        <v>5.835505181763943</v>
      </c>
      <c r="F17" s="12">
        <v>5.8784999999999998</v>
      </c>
      <c r="G17" s="23">
        <v>2.7712549999999998E-3</v>
      </c>
      <c r="H17" s="27">
        <f t="shared" si="6"/>
        <v>19.923049719385801</v>
      </c>
      <c r="I17" s="24">
        <v>4.5</v>
      </c>
      <c r="J17" s="13">
        <v>7.06</v>
      </c>
      <c r="K17" s="20">
        <f t="shared" si="5"/>
        <v>3.3286053548726704</v>
      </c>
      <c r="M17" s="4">
        <f t="shared" si="7"/>
        <v>-4.3187624872578994</v>
      </c>
    </row>
    <row r="18" spans="2:13" x14ac:dyDescent="0.3">
      <c r="B18" s="33" t="s">
        <v>9</v>
      </c>
      <c r="C18" s="24">
        <v>4</v>
      </c>
      <c r="D18" s="15">
        <v>5.1409430829999998</v>
      </c>
      <c r="E18" s="13">
        <f t="shared" si="4"/>
        <v>7.7806735756852579</v>
      </c>
      <c r="F18" s="12">
        <v>5.8784999999999998</v>
      </c>
      <c r="G18" s="23">
        <v>2.7712549999999998E-3</v>
      </c>
      <c r="H18" s="27">
        <f t="shared" si="6"/>
        <v>26.564066292514404</v>
      </c>
      <c r="I18" s="24">
        <v>4.5</v>
      </c>
      <c r="J18" s="13">
        <v>13.29</v>
      </c>
      <c r="K18" s="20">
        <f t="shared" si="5"/>
        <v>-1.6877987802290459</v>
      </c>
      <c r="M18" s="4">
        <f t="shared" si="7"/>
        <v>-15.303821100917427</v>
      </c>
    </row>
    <row r="19" spans="2:13" x14ac:dyDescent="0.3">
      <c r="B19" s="33" t="s">
        <v>10</v>
      </c>
      <c r="C19" s="24">
        <v>5</v>
      </c>
      <c r="D19" s="15">
        <v>5.1409430829999998</v>
      </c>
      <c r="E19" s="13">
        <f t="shared" si="4"/>
        <v>9.7258419696065719</v>
      </c>
      <c r="F19" s="12">
        <v>5.8784999999999998</v>
      </c>
      <c r="G19" s="23">
        <v>2.7712549999999998E-3</v>
      </c>
      <c r="H19" s="27">
        <f t="shared" si="6"/>
        <v>33.205082865643007</v>
      </c>
      <c r="I19" s="24">
        <v>4.5</v>
      </c>
      <c r="J19" s="13">
        <v>18.18</v>
      </c>
      <c r="K19" s="20">
        <f t="shared" si="5"/>
        <v>-3.8458596101147653</v>
      </c>
      <c r="M19" s="4">
        <f t="shared" si="7"/>
        <v>-28.637669724770642</v>
      </c>
    </row>
    <row r="20" spans="2:13" x14ac:dyDescent="0.3">
      <c r="B20" s="33" t="s">
        <v>11</v>
      </c>
      <c r="C20" s="24">
        <v>6</v>
      </c>
      <c r="D20" s="15">
        <v>5.1409430829999998</v>
      </c>
      <c r="E20" s="13">
        <f t="shared" si="4"/>
        <v>11.671010363527886</v>
      </c>
      <c r="F20" s="12">
        <v>5.8784999999999998</v>
      </c>
      <c r="G20" s="23">
        <v>2.7712549999999998E-3</v>
      </c>
      <c r="H20" s="27">
        <f t="shared" si="6"/>
        <v>39.846099438771603</v>
      </c>
      <c r="I20" s="24">
        <v>4.5</v>
      </c>
      <c r="J20" s="13">
        <v>21.63</v>
      </c>
      <c r="K20" s="20">
        <f t="shared" si="5"/>
        <v>-4.3848639805944902</v>
      </c>
      <c r="M20" s="4">
        <f t="shared" si="7"/>
        <v>-40.538059633027515</v>
      </c>
    </row>
    <row r="21" spans="2:13" x14ac:dyDescent="0.3">
      <c r="B21" s="33" t="s">
        <v>12</v>
      </c>
      <c r="C21" s="24">
        <v>7.1</v>
      </c>
      <c r="D21" s="15">
        <v>5.1409430829999998</v>
      </c>
      <c r="E21" s="13">
        <f t="shared" si="4"/>
        <v>13.810695596841331</v>
      </c>
      <c r="F21" s="12">
        <v>5.8784999999999998</v>
      </c>
      <c r="G21" s="23">
        <v>2.7712549999999998E-3</v>
      </c>
      <c r="H21" s="27">
        <f t="shared" si="6"/>
        <v>47.151217669213061</v>
      </c>
      <c r="I21" s="24">
        <v>4.5</v>
      </c>
      <c r="J21" s="13">
        <v>25.68</v>
      </c>
      <c r="K21" s="20">
        <f t="shared" si="5"/>
        <v>-4.8391802551833054</v>
      </c>
      <c r="M21" s="4">
        <f t="shared" si="7"/>
        <v>-57.139963302752292</v>
      </c>
    </row>
    <row r="22" spans="2:13" x14ac:dyDescent="0.3">
      <c r="B22" s="35"/>
      <c r="C22" s="21"/>
      <c r="D22" s="18"/>
      <c r="E22" s="17"/>
      <c r="F22" s="19"/>
      <c r="G22" s="19"/>
      <c r="H22" s="28"/>
      <c r="I22" s="21"/>
      <c r="J22" s="17"/>
      <c r="K22" s="14"/>
    </row>
    <row r="23" spans="2:13" x14ac:dyDescent="0.3">
      <c r="B23" s="25" t="s">
        <v>28</v>
      </c>
      <c r="C23" s="25"/>
      <c r="D23" s="25"/>
      <c r="E23" s="25"/>
      <c r="F23" s="25"/>
      <c r="G23" s="25"/>
      <c r="H23" s="25"/>
      <c r="I23" s="25"/>
      <c r="J23" s="25"/>
      <c r="K23" s="25"/>
    </row>
    <row r="24" spans="2:13" ht="16.8" customHeight="1" x14ac:dyDescent="0.3">
      <c r="B24" s="33"/>
      <c r="C24" s="22" t="s">
        <v>18</v>
      </c>
      <c r="D24" s="8" t="s">
        <v>19</v>
      </c>
      <c r="E24" s="10" t="s">
        <v>20</v>
      </c>
      <c r="F24" s="9" t="s">
        <v>26</v>
      </c>
      <c r="G24" s="10" t="s">
        <v>16</v>
      </c>
      <c r="H24" s="26" t="s">
        <v>0</v>
      </c>
      <c r="I24" s="6" t="s">
        <v>22</v>
      </c>
      <c r="J24" s="10" t="s">
        <v>23</v>
      </c>
      <c r="K24" s="11" t="s">
        <v>14</v>
      </c>
      <c r="M24" s="4" t="s">
        <v>24</v>
      </c>
    </row>
    <row r="25" spans="2:13" ht="16.8" x14ac:dyDescent="0.3">
      <c r="B25" s="33" t="s">
        <v>1</v>
      </c>
      <c r="C25" s="22"/>
      <c r="D25" s="8" t="s">
        <v>25</v>
      </c>
      <c r="E25" s="10" t="s">
        <v>2</v>
      </c>
      <c r="F25" s="9" t="s">
        <v>3</v>
      </c>
      <c r="G25" s="10" t="s">
        <v>4</v>
      </c>
      <c r="H25" s="26" t="s">
        <v>4</v>
      </c>
      <c r="I25" s="6" t="s">
        <v>5</v>
      </c>
      <c r="J25" s="10" t="s">
        <v>2</v>
      </c>
      <c r="K25" s="11" t="s">
        <v>4</v>
      </c>
      <c r="M25" s="4" t="s">
        <v>15</v>
      </c>
    </row>
    <row r="26" spans="2:13" x14ac:dyDescent="0.3">
      <c r="B26" s="33" t="s">
        <v>6</v>
      </c>
      <c r="C26" s="24">
        <v>1</v>
      </c>
      <c r="D26" s="15">
        <v>5.1409430829999998</v>
      </c>
      <c r="E26" s="13">
        <f t="shared" ref="E26:E32" si="8">(C26*10^-3)/(D26*10^-4)</f>
        <v>1.9451683939213145</v>
      </c>
      <c r="F26" s="12">
        <v>5.8784999999999998</v>
      </c>
      <c r="G26" s="23">
        <v>1.385627E-3</v>
      </c>
      <c r="H26" s="27">
        <f>E26/((D26*10^-4)/(F26*10^-2)*9.81)^(1/2)</f>
        <v>6.6410165731286011</v>
      </c>
      <c r="I26" s="24">
        <v>4.5</v>
      </c>
      <c r="J26" s="13">
        <v>0.54</v>
      </c>
      <c r="K26" s="20">
        <f t="shared" ref="K26:K32" si="9">(10.33+M26-0.234)/((E26^2)/19.62)</f>
        <v>52.221064092422111</v>
      </c>
      <c r="M26" s="4">
        <f>-(1.7*J26^2)/19.62</f>
        <v>-2.5266055045871563E-2</v>
      </c>
    </row>
    <row r="27" spans="2:13" x14ac:dyDescent="0.3">
      <c r="B27" s="33" t="s">
        <v>7</v>
      </c>
      <c r="C27" s="24">
        <v>2</v>
      </c>
      <c r="D27" s="15">
        <v>5.1409430829999998</v>
      </c>
      <c r="E27" s="13">
        <f t="shared" si="8"/>
        <v>3.8903367878426289</v>
      </c>
      <c r="F27" s="12">
        <v>5.8784999999999998</v>
      </c>
      <c r="G27" s="23">
        <v>1.385627E-3</v>
      </c>
      <c r="H27" s="27">
        <f t="shared" ref="H27:H32" si="10">E27/((D27*10^-4)/(F27*10^-2)*9.81)^(1/2)</f>
        <v>13.282033146257202</v>
      </c>
      <c r="I27" s="24">
        <v>4.5</v>
      </c>
      <c r="J27" s="13">
        <v>2.3199999999999998</v>
      </c>
      <c r="K27" s="20">
        <f t="shared" si="9"/>
        <v>12.483444422481787</v>
      </c>
      <c r="M27" s="4">
        <f t="shared" ref="M27:M32" si="11">-(1.7*J27^2)/19.62</f>
        <v>-0.46636493374108046</v>
      </c>
    </row>
    <row r="28" spans="2:13" x14ac:dyDescent="0.3">
      <c r="B28" s="33" t="s">
        <v>8</v>
      </c>
      <c r="C28" s="24">
        <v>3</v>
      </c>
      <c r="D28" s="15">
        <v>5.1409430829999998</v>
      </c>
      <c r="E28" s="13">
        <f t="shared" si="8"/>
        <v>5.835505181763943</v>
      </c>
      <c r="F28" s="12">
        <v>5.8784999999999998</v>
      </c>
      <c r="G28" s="23">
        <v>1.385627E-3</v>
      </c>
      <c r="H28" s="27">
        <f t="shared" si="10"/>
        <v>19.923049719385801</v>
      </c>
      <c r="I28" s="24">
        <v>4.5</v>
      </c>
      <c r="J28" s="13">
        <v>7.27</v>
      </c>
      <c r="K28" s="20">
        <f t="shared" si="9"/>
        <v>3.1783750708084306</v>
      </c>
      <c r="M28" s="4">
        <f t="shared" si="11"/>
        <v>-4.579507135575942</v>
      </c>
    </row>
    <row r="29" spans="2:13" x14ac:dyDescent="0.3">
      <c r="B29" s="33" t="s">
        <v>9</v>
      </c>
      <c r="C29" s="24">
        <v>4</v>
      </c>
      <c r="D29" s="15">
        <v>5.1409430829999998</v>
      </c>
      <c r="E29" s="13">
        <f t="shared" si="8"/>
        <v>7.7806735756852579</v>
      </c>
      <c r="F29" s="12">
        <v>5.8784999999999998</v>
      </c>
      <c r="G29" s="23">
        <v>1.385627E-3</v>
      </c>
      <c r="H29" s="27">
        <f t="shared" si="10"/>
        <v>26.564066292514404</v>
      </c>
      <c r="I29" s="24">
        <v>4.5</v>
      </c>
      <c r="J29" s="13">
        <v>13.03</v>
      </c>
      <c r="K29" s="20">
        <f t="shared" si="9"/>
        <v>-1.4956340135230084</v>
      </c>
      <c r="M29" s="4">
        <f t="shared" si="11"/>
        <v>-14.710883282364929</v>
      </c>
    </row>
    <row r="30" spans="2:13" x14ac:dyDescent="0.3">
      <c r="B30" s="33" t="s">
        <v>10</v>
      </c>
      <c r="C30" s="24">
        <v>5</v>
      </c>
      <c r="D30" s="15">
        <v>5.1409430829999998</v>
      </c>
      <c r="E30" s="13">
        <f t="shared" si="8"/>
        <v>9.7258419696065719</v>
      </c>
      <c r="F30" s="12">
        <v>5.8784999999999998</v>
      </c>
      <c r="G30" s="23">
        <v>1.385627E-3</v>
      </c>
      <c r="H30" s="27">
        <f t="shared" si="10"/>
        <v>33.205082865643007</v>
      </c>
      <c r="I30" s="24">
        <v>4.5</v>
      </c>
      <c r="J30" s="13">
        <v>19.239999999999998</v>
      </c>
      <c r="K30" s="20">
        <f t="shared" si="9"/>
        <v>-4.5587194562076627</v>
      </c>
      <c r="M30" s="4">
        <f t="shared" si="11"/>
        <v>-32.074511722731899</v>
      </c>
    </row>
    <row r="31" spans="2:13" x14ac:dyDescent="0.3">
      <c r="B31" s="33" t="s">
        <v>11</v>
      </c>
      <c r="C31" s="24">
        <v>6</v>
      </c>
      <c r="D31" s="15">
        <v>5.1409430829999998</v>
      </c>
      <c r="E31" s="13">
        <f t="shared" si="8"/>
        <v>11.671010363527886</v>
      </c>
      <c r="F31" s="12">
        <v>5.8784999999999998</v>
      </c>
      <c r="G31" s="23">
        <v>1.385627E-3</v>
      </c>
      <c r="H31" s="27">
        <f t="shared" si="10"/>
        <v>39.846099438771603</v>
      </c>
      <c r="I31" s="24">
        <v>4.5</v>
      </c>
      <c r="J31" s="13">
        <v>24.18</v>
      </c>
      <c r="K31" s="20">
        <f t="shared" si="9"/>
        <v>-5.8427799201905941</v>
      </c>
      <c r="M31" s="4">
        <f t="shared" si="11"/>
        <v>-50.659688073394491</v>
      </c>
    </row>
    <row r="32" spans="2:13" x14ac:dyDescent="0.3">
      <c r="B32" s="33" t="s">
        <v>12</v>
      </c>
      <c r="C32" s="24">
        <v>7.2</v>
      </c>
      <c r="D32" s="15">
        <v>5.1409430829999998</v>
      </c>
      <c r="E32" s="13">
        <f t="shared" si="8"/>
        <v>14.005212436233464</v>
      </c>
      <c r="F32" s="12">
        <v>5.8784999999999998</v>
      </c>
      <c r="G32" s="23">
        <v>1.385627E-3</v>
      </c>
      <c r="H32" s="27">
        <f t="shared" si="10"/>
        <v>47.81531932652593</v>
      </c>
      <c r="I32" s="24">
        <v>4.5</v>
      </c>
      <c r="J32" s="13">
        <v>29.58</v>
      </c>
      <c r="K32" s="20">
        <f t="shared" si="9"/>
        <v>-6.573555014195767</v>
      </c>
      <c r="M32" s="4">
        <f t="shared" si="11"/>
        <v>-75.813449541284399</v>
      </c>
    </row>
    <row r="33" spans="2:13" x14ac:dyDescent="0.3">
      <c r="B33" s="35"/>
      <c r="C33" s="21"/>
      <c r="D33" s="18"/>
      <c r="E33" s="17"/>
      <c r="F33" s="19"/>
      <c r="G33" s="19"/>
      <c r="H33" s="28"/>
      <c r="I33" s="21"/>
      <c r="J33" s="17"/>
      <c r="K33" s="14"/>
    </row>
    <row r="34" spans="2:13" x14ac:dyDescent="0.3">
      <c r="B34" s="25" t="s">
        <v>29</v>
      </c>
      <c r="C34" s="25"/>
      <c r="D34" s="25"/>
      <c r="E34" s="25"/>
      <c r="F34" s="25"/>
      <c r="G34" s="25"/>
      <c r="H34" s="25"/>
      <c r="I34" s="25"/>
      <c r="J34" s="25"/>
      <c r="K34" s="25"/>
    </row>
    <row r="35" spans="2:13" ht="18" x14ac:dyDescent="0.3">
      <c r="B35" s="33"/>
      <c r="C35" s="22" t="s">
        <v>18</v>
      </c>
      <c r="D35" s="8" t="s">
        <v>19</v>
      </c>
      <c r="E35" s="10" t="s">
        <v>20</v>
      </c>
      <c r="F35" s="9" t="s">
        <v>26</v>
      </c>
      <c r="G35" s="10" t="s">
        <v>16</v>
      </c>
      <c r="H35" s="26" t="s">
        <v>0</v>
      </c>
      <c r="I35" s="6" t="s">
        <v>22</v>
      </c>
      <c r="J35" s="10" t="s">
        <v>23</v>
      </c>
      <c r="K35" s="11" t="s">
        <v>14</v>
      </c>
      <c r="M35" s="4" t="s">
        <v>24</v>
      </c>
    </row>
    <row r="36" spans="2:13" ht="16.8" x14ac:dyDescent="0.3">
      <c r="B36" s="33" t="s">
        <v>1</v>
      </c>
      <c r="C36" s="22"/>
      <c r="D36" s="8" t="s">
        <v>25</v>
      </c>
      <c r="E36" s="10" t="s">
        <v>2</v>
      </c>
      <c r="F36" s="9" t="s">
        <v>3</v>
      </c>
      <c r="G36" s="10" t="s">
        <v>4</v>
      </c>
      <c r="H36" s="26" t="s">
        <v>4</v>
      </c>
      <c r="I36" s="6" t="s">
        <v>5</v>
      </c>
      <c r="J36" s="10" t="s">
        <v>2</v>
      </c>
      <c r="K36" s="11" t="s">
        <v>4</v>
      </c>
      <c r="M36" s="4" t="s">
        <v>15</v>
      </c>
    </row>
    <row r="37" spans="2:13" x14ac:dyDescent="0.3">
      <c r="B37" s="33" t="s">
        <v>6</v>
      </c>
      <c r="C37" s="24">
        <v>1</v>
      </c>
      <c r="D37" s="15">
        <v>5.1409430829999998</v>
      </c>
      <c r="E37" s="13">
        <f t="shared" ref="E37:E43" si="12">(C37*10^-3)/(D37*10^-4)</f>
        <v>1.9451683939213145</v>
      </c>
      <c r="F37" s="12">
        <v>5.8784999999999998</v>
      </c>
      <c r="G37" s="23">
        <v>9.2375200000000001E-4</v>
      </c>
      <c r="H37" s="27">
        <f>E37/((D37*10^-4)/(F37*10^-2)*9.81)^(1/2)</f>
        <v>6.6410165731286011</v>
      </c>
      <c r="I37" s="24">
        <v>4.5</v>
      </c>
      <c r="J37" s="13">
        <v>0.6</v>
      </c>
      <c r="K37" s="20">
        <f t="shared" ref="K37:K43" si="13">(10.33+M37-0.234)/((E37^2)/19.62)</f>
        <v>52.190332107286046</v>
      </c>
      <c r="M37" s="4">
        <f>-(1.7*J37^2)/19.62</f>
        <v>-3.1192660550458714E-2</v>
      </c>
    </row>
    <row r="38" spans="2:13" x14ac:dyDescent="0.3">
      <c r="B38" s="33" t="s">
        <v>7</v>
      </c>
      <c r="C38" s="24">
        <v>2</v>
      </c>
      <c r="D38" s="15">
        <v>5.1409430829999998</v>
      </c>
      <c r="E38" s="13">
        <f t="shared" si="12"/>
        <v>3.8903367878426289</v>
      </c>
      <c r="F38" s="12">
        <v>5.8784999999999998</v>
      </c>
      <c r="G38" s="23">
        <v>9.2375200000000001E-4</v>
      </c>
      <c r="H38" s="27">
        <f t="shared" ref="H38:H43" si="14">E38/((D38*10^-4)/(F38*10^-2)*9.81)^(1/2)</f>
        <v>13.282033146257202</v>
      </c>
      <c r="I38" s="24">
        <v>4.5</v>
      </c>
      <c r="J38" s="13">
        <v>2.19</v>
      </c>
      <c r="K38" s="20">
        <f t="shared" si="13"/>
        <v>12.54930028098059</v>
      </c>
      <c r="M38" s="4">
        <f t="shared" ref="M38:M43" si="15">-(1.7*J38^2)/19.62</f>
        <v>-0.41556422018348627</v>
      </c>
    </row>
    <row r="39" spans="2:13" x14ac:dyDescent="0.3">
      <c r="B39" s="33" t="s">
        <v>8</v>
      </c>
      <c r="C39" s="24">
        <v>3</v>
      </c>
      <c r="D39" s="15">
        <v>5.1409430829999998</v>
      </c>
      <c r="E39" s="13">
        <f t="shared" si="12"/>
        <v>5.835505181763943</v>
      </c>
      <c r="F39" s="12">
        <v>5.8784999999999998</v>
      </c>
      <c r="G39" s="23">
        <v>9.2375200000000001E-4</v>
      </c>
      <c r="H39" s="27">
        <f t="shared" si="14"/>
        <v>19.923049719385801</v>
      </c>
      <c r="I39" s="24">
        <v>4.5</v>
      </c>
      <c r="J39" s="13">
        <v>6.1</v>
      </c>
      <c r="K39" s="20">
        <f t="shared" si="13"/>
        <v>3.9592999738053063</v>
      </c>
      <c r="M39" s="4">
        <f t="shared" si="15"/>
        <v>-3.2241080530071349</v>
      </c>
    </row>
    <row r="40" spans="2:13" x14ac:dyDescent="0.3">
      <c r="B40" s="33" t="s">
        <v>9</v>
      </c>
      <c r="C40" s="24">
        <v>4</v>
      </c>
      <c r="D40" s="15">
        <v>5.1409430829999998</v>
      </c>
      <c r="E40" s="13">
        <f t="shared" si="12"/>
        <v>7.7806735756852579</v>
      </c>
      <c r="F40" s="12">
        <v>5.8784999999999998</v>
      </c>
      <c r="G40" s="23">
        <v>9.2375200000000001E-4</v>
      </c>
      <c r="H40" s="27">
        <f t="shared" si="14"/>
        <v>26.564066292514404</v>
      </c>
      <c r="I40" s="24">
        <v>4.5</v>
      </c>
      <c r="J40" s="13">
        <v>14.3</v>
      </c>
      <c r="K40" s="20">
        <f t="shared" si="13"/>
        <v>-2.4703046506630213</v>
      </c>
      <c r="M40" s="4">
        <f t="shared" si="15"/>
        <v>-17.718297655453618</v>
      </c>
    </row>
    <row r="41" spans="2:13" x14ac:dyDescent="0.3">
      <c r="B41" s="33" t="s">
        <v>10</v>
      </c>
      <c r="C41" s="24">
        <v>5</v>
      </c>
      <c r="D41" s="15">
        <v>5.1409430829999998</v>
      </c>
      <c r="E41" s="13">
        <f t="shared" si="12"/>
        <v>9.7258419696065719</v>
      </c>
      <c r="F41" s="12">
        <v>5.8784999999999998</v>
      </c>
      <c r="G41" s="23">
        <v>9.2375200000000001E-4</v>
      </c>
      <c r="H41" s="27">
        <f t="shared" si="14"/>
        <v>33.205082865643007</v>
      </c>
      <c r="I41" s="24">
        <v>4.5</v>
      </c>
      <c r="J41" s="13">
        <v>19.87</v>
      </c>
      <c r="K41" s="20">
        <f t="shared" si="13"/>
        <v>-5.0015350125602547</v>
      </c>
      <c r="M41" s="4">
        <f t="shared" si="15"/>
        <v>-34.209415392456677</v>
      </c>
    </row>
    <row r="42" spans="2:13" x14ac:dyDescent="0.3">
      <c r="B42" s="33" t="s">
        <v>11</v>
      </c>
      <c r="C42" s="24">
        <v>6</v>
      </c>
      <c r="D42" s="15">
        <v>5.1409430829999998</v>
      </c>
      <c r="E42" s="13">
        <f t="shared" si="12"/>
        <v>11.671010363527886</v>
      </c>
      <c r="F42" s="12">
        <v>5.8784999999999998</v>
      </c>
      <c r="G42" s="23">
        <v>9.2375200000000001E-4</v>
      </c>
      <c r="H42" s="27">
        <f t="shared" si="14"/>
        <v>39.846099438771603</v>
      </c>
      <c r="I42" s="24">
        <v>4.5</v>
      </c>
      <c r="J42" s="13">
        <v>24.58</v>
      </c>
      <c r="K42" s="20">
        <f t="shared" si="13"/>
        <v>-6.0861996075256002</v>
      </c>
      <c r="M42" s="4">
        <f t="shared" si="15"/>
        <v>-52.349637104994898</v>
      </c>
    </row>
    <row r="43" spans="2:13" x14ac:dyDescent="0.3">
      <c r="B43" s="33" t="s">
        <v>12</v>
      </c>
      <c r="C43" s="24">
        <v>7</v>
      </c>
      <c r="D43" s="15">
        <v>5.1409430829999998</v>
      </c>
      <c r="E43" s="13">
        <f t="shared" si="12"/>
        <v>13.6161787574492</v>
      </c>
      <c r="F43" s="12">
        <v>5.8784999999999998</v>
      </c>
      <c r="G43" s="23">
        <v>9.2375200000000001E-4</v>
      </c>
      <c r="H43" s="27">
        <f t="shared" si="14"/>
        <v>46.487116011900206</v>
      </c>
      <c r="I43" s="24">
        <v>4.5</v>
      </c>
      <c r="J43" s="13">
        <v>28.59</v>
      </c>
      <c r="K43" s="20">
        <f t="shared" si="13"/>
        <v>-6.4265057610708851</v>
      </c>
      <c r="M43" s="4">
        <f t="shared" si="15"/>
        <v>-70.823637614678901</v>
      </c>
    </row>
    <row r="44" spans="2:13" x14ac:dyDescent="0.3">
      <c r="B44" s="34"/>
      <c r="C44" s="21"/>
      <c r="D44" s="18"/>
      <c r="E44" s="17"/>
      <c r="F44" s="19"/>
      <c r="G44" s="19"/>
      <c r="H44" s="28"/>
      <c r="I44" s="21"/>
      <c r="J44" s="17"/>
      <c r="K44" s="14"/>
    </row>
    <row r="45" spans="2:13" x14ac:dyDescent="0.3">
      <c r="B45" s="25" t="s">
        <v>30</v>
      </c>
      <c r="C45" s="25"/>
      <c r="D45" s="25"/>
      <c r="E45" s="25"/>
      <c r="F45" s="25"/>
      <c r="G45" s="25"/>
      <c r="H45" s="25"/>
      <c r="I45" s="25"/>
      <c r="J45" s="25"/>
      <c r="K45" s="25"/>
    </row>
    <row r="46" spans="2:13" ht="18" x14ac:dyDescent="0.3">
      <c r="B46" s="33"/>
      <c r="C46" s="22" t="s">
        <v>18</v>
      </c>
      <c r="D46" s="8" t="s">
        <v>19</v>
      </c>
      <c r="E46" s="10" t="s">
        <v>20</v>
      </c>
      <c r="F46" s="9" t="s">
        <v>26</v>
      </c>
      <c r="G46" s="10" t="s">
        <v>16</v>
      </c>
      <c r="H46" s="26" t="s">
        <v>0</v>
      </c>
      <c r="I46" s="6" t="s">
        <v>22</v>
      </c>
      <c r="J46" s="10" t="s">
        <v>23</v>
      </c>
      <c r="K46" s="11" t="s">
        <v>14</v>
      </c>
      <c r="M46" s="4" t="s">
        <v>24</v>
      </c>
    </row>
    <row r="47" spans="2:13" ht="16.8" x14ac:dyDescent="0.3">
      <c r="B47" s="33" t="s">
        <v>1</v>
      </c>
      <c r="C47" s="22"/>
      <c r="D47" s="8" t="s">
        <v>25</v>
      </c>
      <c r="E47" s="10" t="s">
        <v>2</v>
      </c>
      <c r="F47" s="9" t="s">
        <v>3</v>
      </c>
      <c r="G47" s="10" t="s">
        <v>4</v>
      </c>
      <c r="H47" s="26" t="s">
        <v>4</v>
      </c>
      <c r="I47" s="6" t="s">
        <v>5</v>
      </c>
      <c r="J47" s="10" t="s">
        <v>2</v>
      </c>
      <c r="K47" s="11" t="s">
        <v>4</v>
      </c>
      <c r="M47" s="4" t="s">
        <v>15</v>
      </c>
    </row>
    <row r="48" spans="2:13" x14ac:dyDescent="0.3">
      <c r="B48" s="33" t="s">
        <v>6</v>
      </c>
      <c r="C48" s="24">
        <v>1.4</v>
      </c>
      <c r="D48" s="15">
        <v>7.7104226310000001</v>
      </c>
      <c r="E48" s="13">
        <f t="shared" ref="E48:E54" si="16">(C48*10^-3)/(D48*10^-4)</f>
        <v>1.8157240750607566</v>
      </c>
      <c r="F48" s="12">
        <v>6.5609999999999999</v>
      </c>
      <c r="G48" s="23">
        <v>6.6530699999999996E-3</v>
      </c>
      <c r="H48" s="27">
        <f>E48/((D48*10^-4)/(F48*10^-2)*9.81)^(1/2)</f>
        <v>5.3476290687550607</v>
      </c>
      <c r="I48" s="24">
        <v>4.5</v>
      </c>
      <c r="J48" s="13">
        <v>0</v>
      </c>
      <c r="K48" s="20">
        <f t="shared" ref="K48:K54" si="17">(10.33+M48-0.234)/((E48^2)/19.62)</f>
        <v>60.082589341705983</v>
      </c>
      <c r="M48" s="4">
        <f>-(1.7*J48^2)/19.62</f>
        <v>0</v>
      </c>
    </row>
    <row r="49" spans="2:13" x14ac:dyDescent="0.3">
      <c r="B49" s="33" t="s">
        <v>7</v>
      </c>
      <c r="C49" s="24">
        <v>2.8</v>
      </c>
      <c r="D49" s="15">
        <v>7.7104226310000001</v>
      </c>
      <c r="E49" s="13">
        <f t="shared" si="16"/>
        <v>3.6314481501215132</v>
      </c>
      <c r="F49" s="12">
        <v>6.5609999999999999</v>
      </c>
      <c r="G49" s="23">
        <v>6.6530699999999996E-3</v>
      </c>
      <c r="H49" s="27">
        <f t="shared" ref="H49:H54" si="18">E49/((D49*10^-4)/(F49*10^-2)*9.81)^(1/2)</f>
        <v>10.695258137510121</v>
      </c>
      <c r="I49" s="24">
        <v>4.5</v>
      </c>
      <c r="J49" s="13">
        <v>1.58</v>
      </c>
      <c r="K49" s="20">
        <f t="shared" si="17"/>
        <v>14.698834471772468</v>
      </c>
      <c r="M49" s="4">
        <f t="shared" ref="M49:M54" si="19">-(1.7*J49^2)/19.62</f>
        <v>-0.21630377166156986</v>
      </c>
    </row>
    <row r="50" spans="2:13" x14ac:dyDescent="0.3">
      <c r="B50" s="33" t="s">
        <v>8</v>
      </c>
      <c r="C50" s="24">
        <v>4.2</v>
      </c>
      <c r="D50" s="15">
        <v>7.7104226310000001</v>
      </c>
      <c r="E50" s="13">
        <f t="shared" si="16"/>
        <v>5.4471722251822703</v>
      </c>
      <c r="F50" s="12">
        <v>6.5609999999999999</v>
      </c>
      <c r="G50" s="23">
        <v>6.6530699999999996E-3</v>
      </c>
      <c r="H50" s="27">
        <f t="shared" si="18"/>
        <v>16.042887206265185</v>
      </c>
      <c r="I50" s="24">
        <v>4.5</v>
      </c>
      <c r="J50" s="13">
        <v>5.92</v>
      </c>
      <c r="K50" s="20">
        <f t="shared" si="17"/>
        <v>4.6679060804704013</v>
      </c>
      <c r="M50" s="4">
        <f t="shared" si="19"/>
        <v>-3.0366401630988786</v>
      </c>
    </row>
    <row r="51" spans="2:13" x14ac:dyDescent="0.3">
      <c r="B51" s="33" t="s">
        <v>9</v>
      </c>
      <c r="C51" s="24">
        <v>5.6</v>
      </c>
      <c r="D51" s="15">
        <v>7.7104226310000001</v>
      </c>
      <c r="E51" s="13">
        <f t="shared" si="16"/>
        <v>7.2628963002430265</v>
      </c>
      <c r="F51" s="12">
        <v>6.5609999999999999</v>
      </c>
      <c r="G51" s="23">
        <v>6.6530699999999996E-3</v>
      </c>
      <c r="H51" s="27">
        <f t="shared" si="18"/>
        <v>21.390516275020243</v>
      </c>
      <c r="I51" s="24">
        <v>4.5</v>
      </c>
      <c r="J51" s="13">
        <v>10.93</v>
      </c>
      <c r="K51" s="20">
        <f t="shared" si="17"/>
        <v>-9.4916436366698623E-2</v>
      </c>
      <c r="M51" s="4">
        <f t="shared" si="19"/>
        <v>-10.351189092762487</v>
      </c>
    </row>
    <row r="52" spans="2:13" x14ac:dyDescent="0.3">
      <c r="B52" s="33" t="s">
        <v>10</v>
      </c>
      <c r="C52" s="24">
        <v>7</v>
      </c>
      <c r="D52" s="15">
        <v>7.7104226310000001</v>
      </c>
      <c r="E52" s="13">
        <f t="shared" si="16"/>
        <v>9.0786203753037835</v>
      </c>
      <c r="F52" s="12">
        <v>6.5609999999999999</v>
      </c>
      <c r="G52" s="23">
        <v>6.6530699999999996E-3</v>
      </c>
      <c r="H52" s="27">
        <f t="shared" si="18"/>
        <v>26.738145343775308</v>
      </c>
      <c r="I52" s="24">
        <v>4.5</v>
      </c>
      <c r="J52" s="13">
        <v>14.87</v>
      </c>
      <c r="K52" s="20">
        <f t="shared" si="17"/>
        <v>-2.1573926475335665</v>
      </c>
      <c r="M52" s="4">
        <f t="shared" si="19"/>
        <v>-19.158956676860342</v>
      </c>
    </row>
    <row r="53" spans="2:13" x14ac:dyDescent="0.3">
      <c r="B53" s="33" t="s">
        <v>11</v>
      </c>
      <c r="C53" s="24">
        <v>8.4</v>
      </c>
      <c r="D53" s="15">
        <v>7.7104226310000001</v>
      </c>
      <c r="E53" s="13">
        <f t="shared" si="16"/>
        <v>10.894344450364541</v>
      </c>
      <c r="F53" s="12">
        <v>6.5609999999999999</v>
      </c>
      <c r="G53" s="23">
        <v>6.6530699999999996E-3</v>
      </c>
      <c r="H53" s="27">
        <f t="shared" si="18"/>
        <v>32.08577441253037</v>
      </c>
      <c r="I53" s="24">
        <v>4.5</v>
      </c>
      <c r="J53" s="13">
        <v>18.93</v>
      </c>
      <c r="K53" s="20">
        <f t="shared" si="17"/>
        <v>-3.463763572284416</v>
      </c>
      <c r="M53" s="4">
        <f t="shared" si="19"/>
        <v>-31.049252293577979</v>
      </c>
    </row>
    <row r="54" spans="2:13" x14ac:dyDescent="0.3">
      <c r="B54" s="33" t="s">
        <v>12</v>
      </c>
      <c r="C54" s="24">
        <v>9.9</v>
      </c>
      <c r="D54" s="15">
        <v>7.7104226310000001</v>
      </c>
      <c r="E54" s="13">
        <f t="shared" si="16"/>
        <v>12.83976310221535</v>
      </c>
      <c r="F54" s="12">
        <v>6.5609999999999999</v>
      </c>
      <c r="G54" s="23">
        <v>6.6530699999999996E-3</v>
      </c>
      <c r="H54" s="27">
        <f t="shared" si="18"/>
        <v>37.815376986196505</v>
      </c>
      <c r="I54" s="24">
        <v>4.5</v>
      </c>
      <c r="J54" s="13">
        <v>23.04</v>
      </c>
      <c r="K54" s="20">
        <f t="shared" si="17"/>
        <v>-4.2724085018788314</v>
      </c>
      <c r="M54" s="4">
        <f t="shared" si="19"/>
        <v>-45.995449541284401</v>
      </c>
    </row>
    <row r="55" spans="2:13" x14ac:dyDescent="0.3">
      <c r="B55" s="34"/>
      <c r="C55" s="21"/>
      <c r="D55" s="18"/>
      <c r="E55" s="17"/>
      <c r="F55" s="19"/>
      <c r="G55" s="19"/>
      <c r="H55" s="28"/>
      <c r="I55" s="21"/>
      <c r="J55" s="17"/>
      <c r="K55" s="14"/>
    </row>
    <row r="56" spans="2:13" x14ac:dyDescent="0.3">
      <c r="B56" s="25" t="s">
        <v>31</v>
      </c>
      <c r="C56" s="25"/>
      <c r="D56" s="25"/>
      <c r="E56" s="25"/>
      <c r="F56" s="25"/>
      <c r="G56" s="25"/>
      <c r="H56" s="25"/>
      <c r="I56" s="25"/>
      <c r="J56" s="25"/>
      <c r="K56" s="25"/>
    </row>
    <row r="57" spans="2:13" ht="18" x14ac:dyDescent="0.3">
      <c r="B57" s="33"/>
      <c r="C57" s="22" t="s">
        <v>18</v>
      </c>
      <c r="D57" s="8" t="s">
        <v>19</v>
      </c>
      <c r="E57" s="10" t="s">
        <v>20</v>
      </c>
      <c r="F57" s="9" t="s">
        <v>26</v>
      </c>
      <c r="G57" s="10" t="s">
        <v>16</v>
      </c>
      <c r="H57" s="26" t="s">
        <v>0</v>
      </c>
      <c r="I57" s="6" t="s">
        <v>22</v>
      </c>
      <c r="J57" s="10" t="s">
        <v>23</v>
      </c>
      <c r="K57" s="11" t="s">
        <v>14</v>
      </c>
      <c r="M57" s="4" t="s">
        <v>24</v>
      </c>
    </row>
    <row r="58" spans="2:13" ht="16.8" x14ac:dyDescent="0.3">
      <c r="B58" s="33" t="s">
        <v>1</v>
      </c>
      <c r="C58" s="22"/>
      <c r="D58" s="8" t="s">
        <v>25</v>
      </c>
      <c r="E58" s="10" t="s">
        <v>2</v>
      </c>
      <c r="F58" s="9" t="s">
        <v>3</v>
      </c>
      <c r="G58" s="10" t="s">
        <v>4</v>
      </c>
      <c r="H58" s="26" t="s">
        <v>4</v>
      </c>
      <c r="I58" s="6" t="s">
        <v>5</v>
      </c>
      <c r="J58" s="10" t="s">
        <v>2</v>
      </c>
      <c r="K58" s="11" t="s">
        <v>4</v>
      </c>
      <c r="M58" s="4" t="s">
        <v>15</v>
      </c>
    </row>
    <row r="59" spans="2:13" x14ac:dyDescent="0.3">
      <c r="B59" s="33" t="s">
        <v>6</v>
      </c>
      <c r="C59" s="24">
        <v>1.4</v>
      </c>
      <c r="D59" s="15">
        <v>7.7104226310000001</v>
      </c>
      <c r="E59" s="13">
        <f t="shared" ref="E59:E65" si="20">(C59*10^-3)/(D59*10^-4)</f>
        <v>1.8157240750607566</v>
      </c>
      <c r="F59" s="12">
        <v>6.5609999999999999</v>
      </c>
      <c r="G59" s="23">
        <v>3.3265349999999998E-3</v>
      </c>
      <c r="H59" s="27">
        <f>E59/((D59*10^-4)/(F59*10^-2)*9.81)^(1/2)</f>
        <v>5.3476290687550607</v>
      </c>
      <c r="I59" s="24">
        <v>4.5</v>
      </c>
      <c r="J59" s="13">
        <v>0.43</v>
      </c>
      <c r="K59" s="20">
        <f t="shared" ref="K59:K65" si="21">(10.33+M59-0.234)/((E59^2)/19.62)</f>
        <v>59.987246931051232</v>
      </c>
      <c r="M59" s="4">
        <f>-(1.7*J59^2)/19.62</f>
        <v>-1.6020897043832819E-2</v>
      </c>
    </row>
    <row r="60" spans="2:13" x14ac:dyDescent="0.3">
      <c r="B60" s="33" t="s">
        <v>7</v>
      </c>
      <c r="C60" s="24">
        <v>2.8</v>
      </c>
      <c r="D60" s="15">
        <v>7.7104226310000001</v>
      </c>
      <c r="E60" s="13">
        <f t="shared" si="20"/>
        <v>3.6314481501215132</v>
      </c>
      <c r="F60" s="12">
        <v>6.5609999999999999</v>
      </c>
      <c r="G60" s="23">
        <v>3.3265349999999998E-3</v>
      </c>
      <c r="H60" s="27">
        <f t="shared" ref="H60:H65" si="22">E60/((D60*10^-4)/(F60*10^-2)*9.81)^(1/2)</f>
        <v>10.695258137510121</v>
      </c>
      <c r="I60" s="24">
        <v>4.5</v>
      </c>
      <c r="J60" s="13">
        <v>2.25</v>
      </c>
      <c r="K60" s="20">
        <f t="shared" si="21"/>
        <v>14.368036526962904</v>
      </c>
      <c r="M60" s="4">
        <f t="shared" ref="M60:M65" si="23">-(1.7*J60^2)/19.62</f>
        <v>-0.43864678899082565</v>
      </c>
    </row>
    <row r="61" spans="2:13" x14ac:dyDescent="0.3">
      <c r="B61" s="33" t="s">
        <v>8</v>
      </c>
      <c r="C61" s="24">
        <v>4.2</v>
      </c>
      <c r="D61" s="15">
        <v>7.7104226310000001</v>
      </c>
      <c r="E61" s="13">
        <f t="shared" si="20"/>
        <v>5.4471722251822703</v>
      </c>
      <c r="F61" s="12">
        <v>6.5609999999999999</v>
      </c>
      <c r="G61" s="23">
        <v>3.3265349999999998E-3</v>
      </c>
      <c r="H61" s="27">
        <f t="shared" si="22"/>
        <v>16.042887206265185</v>
      </c>
      <c r="I61" s="24">
        <v>4.5</v>
      </c>
      <c r="J61" s="13">
        <v>8.08</v>
      </c>
      <c r="K61" s="20">
        <f t="shared" si="21"/>
        <v>2.9353452378529816</v>
      </c>
      <c r="M61" s="4">
        <f t="shared" si="23"/>
        <v>-5.6568236493374107</v>
      </c>
    </row>
    <row r="62" spans="2:13" x14ac:dyDescent="0.3">
      <c r="B62" s="33" t="s">
        <v>9</v>
      </c>
      <c r="C62" s="24">
        <v>5.6</v>
      </c>
      <c r="D62" s="15">
        <v>7.7104226310000001</v>
      </c>
      <c r="E62" s="13">
        <f t="shared" si="20"/>
        <v>7.2628963002430265</v>
      </c>
      <c r="F62" s="12">
        <v>6.5609999999999999</v>
      </c>
      <c r="G62" s="23">
        <v>3.3265349999999998E-3</v>
      </c>
      <c r="H62" s="27">
        <f t="shared" si="22"/>
        <v>21.390516275020243</v>
      </c>
      <c r="I62" s="24">
        <v>4.5</v>
      </c>
      <c r="J62" s="13">
        <v>15.53</v>
      </c>
      <c r="K62" s="20">
        <f t="shared" si="21"/>
        <v>-4.0175424691052006</v>
      </c>
      <c r="M62" s="4">
        <f t="shared" si="23"/>
        <v>-20.897427624872577</v>
      </c>
    </row>
    <row r="63" spans="2:13" x14ac:dyDescent="0.3">
      <c r="B63" s="33" t="s">
        <v>10</v>
      </c>
      <c r="C63" s="24">
        <v>7</v>
      </c>
      <c r="D63" s="15">
        <v>7.7104226310000001</v>
      </c>
      <c r="E63" s="13">
        <f t="shared" si="20"/>
        <v>9.0786203753037835</v>
      </c>
      <c r="F63" s="12">
        <v>6.5609999999999999</v>
      </c>
      <c r="G63" s="23">
        <v>3.3265349999999998E-3</v>
      </c>
      <c r="H63" s="27">
        <f t="shared" si="22"/>
        <v>26.738145343775308</v>
      </c>
      <c r="I63" s="24">
        <v>4.5</v>
      </c>
      <c r="J63" s="13">
        <v>22.61</v>
      </c>
      <c r="K63" s="20">
        <f t="shared" si="21"/>
        <v>-8.1408162683820056</v>
      </c>
      <c r="M63" s="4">
        <f t="shared" si="23"/>
        <v>-44.294626401630978</v>
      </c>
    </row>
    <row r="64" spans="2:13" x14ac:dyDescent="0.3">
      <c r="B64" s="33" t="s">
        <v>11</v>
      </c>
      <c r="C64" s="24">
        <v>8.4</v>
      </c>
      <c r="D64" s="15">
        <v>7.7104226310000001</v>
      </c>
      <c r="E64" s="13">
        <f t="shared" si="20"/>
        <v>10.894344450364541</v>
      </c>
      <c r="F64" s="12">
        <v>6.5609999999999999</v>
      </c>
      <c r="G64" s="23">
        <v>3.3265349999999998E-3</v>
      </c>
      <c r="H64" s="27">
        <f t="shared" si="22"/>
        <v>32.08577441253037</v>
      </c>
      <c r="I64" s="24">
        <v>4.5</v>
      </c>
      <c r="J64" s="13">
        <v>26.39</v>
      </c>
      <c r="K64" s="20">
        <f t="shared" si="21"/>
        <v>-8.3063284210787618</v>
      </c>
      <c r="M64" s="4">
        <f t="shared" si="23"/>
        <v>-60.34325025484199</v>
      </c>
    </row>
    <row r="65" spans="2:13" x14ac:dyDescent="0.3">
      <c r="B65" s="33" t="s">
        <v>12</v>
      </c>
      <c r="C65" s="24">
        <v>9.9</v>
      </c>
      <c r="D65" s="15">
        <v>7.7104226310000001</v>
      </c>
      <c r="E65" s="13">
        <f t="shared" si="20"/>
        <v>12.83976310221535</v>
      </c>
      <c r="F65" s="12">
        <v>6.5609999999999999</v>
      </c>
      <c r="G65" s="23">
        <v>3.3265349999999998E-3</v>
      </c>
      <c r="H65" s="27">
        <f t="shared" si="22"/>
        <v>37.815376986196505</v>
      </c>
      <c r="I65" s="24">
        <v>4.5</v>
      </c>
      <c r="J65" s="13">
        <v>31.68</v>
      </c>
      <c r="K65" s="20">
        <f t="shared" si="21"/>
        <v>-9.1476342514191522</v>
      </c>
      <c r="M65" s="4">
        <f t="shared" si="23"/>
        <v>-86.960146788990812</v>
      </c>
    </row>
    <row r="66" spans="2:13" x14ac:dyDescent="0.3">
      <c r="B66" s="35"/>
      <c r="C66" s="21"/>
      <c r="D66" s="18"/>
      <c r="E66" s="17"/>
      <c r="F66" s="19"/>
      <c r="G66" s="19"/>
      <c r="H66" s="28"/>
      <c r="I66" s="21"/>
      <c r="J66" s="17"/>
      <c r="K66" s="14"/>
    </row>
    <row r="67" spans="2:13" x14ac:dyDescent="0.3">
      <c r="B67" s="25" t="s">
        <v>32</v>
      </c>
      <c r="C67" s="25"/>
      <c r="D67" s="25"/>
      <c r="E67" s="25"/>
      <c r="F67" s="25"/>
      <c r="G67" s="25"/>
      <c r="H67" s="25"/>
      <c r="I67" s="25"/>
      <c r="J67" s="25"/>
      <c r="K67" s="25"/>
    </row>
    <row r="68" spans="2:13" ht="18" x14ac:dyDescent="0.3">
      <c r="B68" s="33"/>
      <c r="C68" s="22" t="s">
        <v>18</v>
      </c>
      <c r="D68" s="8" t="s">
        <v>19</v>
      </c>
      <c r="E68" s="10" t="s">
        <v>20</v>
      </c>
      <c r="F68" s="9" t="s">
        <v>26</v>
      </c>
      <c r="G68" s="10" t="s">
        <v>16</v>
      </c>
      <c r="H68" s="26" t="s">
        <v>0</v>
      </c>
      <c r="I68" s="6" t="s">
        <v>22</v>
      </c>
      <c r="J68" s="10" t="s">
        <v>23</v>
      </c>
      <c r="K68" s="11" t="s">
        <v>14</v>
      </c>
      <c r="M68" s="4" t="s">
        <v>24</v>
      </c>
    </row>
    <row r="69" spans="2:13" ht="16.8" x14ac:dyDescent="0.3">
      <c r="B69" s="33" t="s">
        <v>1</v>
      </c>
      <c r="C69" s="22"/>
      <c r="D69" s="8" t="s">
        <v>25</v>
      </c>
      <c r="E69" s="10" t="s">
        <v>2</v>
      </c>
      <c r="F69" s="9" t="s">
        <v>3</v>
      </c>
      <c r="G69" s="10" t="s">
        <v>4</v>
      </c>
      <c r="H69" s="26" t="s">
        <v>4</v>
      </c>
      <c r="I69" s="6" t="s">
        <v>5</v>
      </c>
      <c r="J69" s="10" t="s">
        <v>2</v>
      </c>
      <c r="K69" s="11" t="s">
        <v>4</v>
      </c>
      <c r="M69" s="4" t="s">
        <v>15</v>
      </c>
    </row>
    <row r="70" spans="2:13" x14ac:dyDescent="0.3">
      <c r="B70" s="33" t="s">
        <v>6</v>
      </c>
      <c r="C70" s="24">
        <v>1.4</v>
      </c>
      <c r="D70" s="15">
        <v>7.7104226310000001</v>
      </c>
      <c r="E70" s="13">
        <f t="shared" ref="E70:E76" si="24">(C70*10^-3)/(D70*10^-4)</f>
        <v>1.8157240750607566</v>
      </c>
      <c r="F70" s="12">
        <v>6.5609999999999999</v>
      </c>
      <c r="G70" s="23">
        <v>1.6632680000000001E-3</v>
      </c>
      <c r="H70" s="27">
        <f>E70/((D70*10^-4)/(F70*10^-2)*9.81)^(1/2)</f>
        <v>5.3476290687550607</v>
      </c>
      <c r="I70" s="24">
        <v>4.5</v>
      </c>
      <c r="J70" s="13">
        <v>0.66</v>
      </c>
      <c r="K70" s="20">
        <f t="shared" ref="K70:K76" si="25">(10.33+M70-0.234)/((E70^2)/19.62)</f>
        <v>59.857975203895222</v>
      </c>
      <c r="M70" s="4">
        <f>-(1.7*J70^2)/19.62</f>
        <v>-3.7743119266055045E-2</v>
      </c>
    </row>
    <row r="71" spans="2:13" x14ac:dyDescent="0.3">
      <c r="B71" s="33" t="s">
        <v>7</v>
      </c>
      <c r="C71" s="24">
        <v>2.8</v>
      </c>
      <c r="D71" s="15">
        <v>7.7104226310000001</v>
      </c>
      <c r="E71" s="13">
        <f t="shared" si="24"/>
        <v>3.6314481501215132</v>
      </c>
      <c r="F71" s="12">
        <v>6.5609999999999999</v>
      </c>
      <c r="G71" s="23">
        <v>1.6632680000000001E-3</v>
      </c>
      <c r="H71" s="27">
        <f t="shared" ref="H71:H76" si="26">E71/((D71*10^-4)/(F71*10^-2)*9.81)^(1/2)</f>
        <v>10.695258137510121</v>
      </c>
      <c r="I71" s="24">
        <v>4.5</v>
      </c>
      <c r="J71" s="13">
        <v>2.58</v>
      </c>
      <c r="K71" s="20">
        <f t="shared" si="25"/>
        <v>14.162565639533742</v>
      </c>
      <c r="M71" s="4">
        <f t="shared" ref="M71:M76" si="27">-(1.7*J71^2)/19.62</f>
        <v>-0.57675229357798163</v>
      </c>
    </row>
    <row r="72" spans="2:13" x14ac:dyDescent="0.3">
      <c r="B72" s="33" t="s">
        <v>8</v>
      </c>
      <c r="C72" s="24">
        <v>4.2</v>
      </c>
      <c r="D72" s="15">
        <v>7.7104226310000001</v>
      </c>
      <c r="E72" s="13">
        <f t="shared" si="24"/>
        <v>5.4471722251822703</v>
      </c>
      <c r="F72" s="12">
        <v>6.5609999999999999</v>
      </c>
      <c r="G72" s="23">
        <v>1.6632680000000001E-3</v>
      </c>
      <c r="H72" s="27">
        <f t="shared" si="26"/>
        <v>16.042887206265185</v>
      </c>
      <c r="I72" s="24">
        <v>4.5</v>
      </c>
      <c r="J72" s="13">
        <v>8.0500000000000007</v>
      </c>
      <c r="K72" s="20">
        <f t="shared" si="25"/>
        <v>2.9630696489555794</v>
      </c>
      <c r="M72" s="4">
        <f t="shared" si="27"/>
        <v>-5.6148955147808364</v>
      </c>
    </row>
    <row r="73" spans="2:13" x14ac:dyDescent="0.3">
      <c r="B73" s="33" t="s">
        <v>9</v>
      </c>
      <c r="C73" s="24">
        <v>5.6</v>
      </c>
      <c r="D73" s="15">
        <v>7.7104226310000001</v>
      </c>
      <c r="E73" s="13">
        <f t="shared" si="24"/>
        <v>7.2628963002430265</v>
      </c>
      <c r="F73" s="12">
        <v>6.5609999999999999</v>
      </c>
      <c r="G73" s="23">
        <v>1.6632680000000001E-3</v>
      </c>
      <c r="H73" s="27">
        <f t="shared" si="26"/>
        <v>21.390516275020243</v>
      </c>
      <c r="I73" s="24">
        <v>4.5</v>
      </c>
      <c r="J73" s="13">
        <v>16.28</v>
      </c>
      <c r="K73" s="20">
        <f t="shared" si="25"/>
        <v>-4.7864146845580491</v>
      </c>
      <c r="M73" s="4">
        <f t="shared" si="27"/>
        <v>-22.964591233435272</v>
      </c>
    </row>
    <row r="74" spans="2:13" x14ac:dyDescent="0.3">
      <c r="B74" s="33" t="s">
        <v>10</v>
      </c>
      <c r="C74" s="24">
        <v>7</v>
      </c>
      <c r="D74" s="15">
        <v>7.7104226310000001</v>
      </c>
      <c r="E74" s="13">
        <f t="shared" si="24"/>
        <v>9.0786203753037835</v>
      </c>
      <c r="F74" s="12">
        <v>6.5609999999999999</v>
      </c>
      <c r="G74" s="23">
        <v>1.6632680000000001E-3</v>
      </c>
      <c r="H74" s="27">
        <f t="shared" si="26"/>
        <v>26.738145343775308</v>
      </c>
      <c r="I74" s="24">
        <v>4.5</v>
      </c>
      <c r="J74" s="13">
        <v>21.82</v>
      </c>
      <c r="K74" s="20">
        <f t="shared" si="25"/>
        <v>-7.416859532577023</v>
      </c>
      <c r="M74" s="4">
        <f t="shared" si="27"/>
        <v>-41.253367991845053</v>
      </c>
    </row>
    <row r="75" spans="2:13" x14ac:dyDescent="0.3">
      <c r="B75" s="33" t="s">
        <v>11</v>
      </c>
      <c r="C75" s="24">
        <v>8.4</v>
      </c>
      <c r="D75" s="15">
        <v>7.7104226310000001</v>
      </c>
      <c r="E75" s="13">
        <f t="shared" si="24"/>
        <v>10.894344450364541</v>
      </c>
      <c r="F75" s="12">
        <v>6.5609999999999999</v>
      </c>
      <c r="G75" s="23">
        <v>1.6632680000000001E-3</v>
      </c>
      <c r="H75" s="27">
        <f t="shared" si="26"/>
        <v>32.08577441253037</v>
      </c>
      <c r="I75" s="24">
        <v>4.5</v>
      </c>
      <c r="J75" s="13">
        <v>27.43</v>
      </c>
      <c r="K75" s="20">
        <f t="shared" si="25"/>
        <v>-9.1080503252756557</v>
      </c>
      <c r="M75" s="4">
        <f t="shared" si="27"/>
        <v>-65.193085117227312</v>
      </c>
    </row>
    <row r="76" spans="2:13" x14ac:dyDescent="0.3">
      <c r="B76" s="33" t="s">
        <v>12</v>
      </c>
      <c r="C76" s="24">
        <v>9.9</v>
      </c>
      <c r="D76" s="15">
        <v>7.7104226310000001</v>
      </c>
      <c r="E76" s="13">
        <f t="shared" si="24"/>
        <v>12.83976310221535</v>
      </c>
      <c r="F76" s="12">
        <v>6.5609999999999999</v>
      </c>
      <c r="G76" s="23">
        <v>1.6632680000000001E-3</v>
      </c>
      <c r="H76" s="27">
        <f t="shared" si="26"/>
        <v>37.815376986196505</v>
      </c>
      <c r="I76" s="24">
        <v>4.5</v>
      </c>
      <c r="J76" s="13">
        <v>34.71</v>
      </c>
      <c r="K76" s="20">
        <f t="shared" si="25"/>
        <v>-11.221975467604974</v>
      </c>
      <c r="M76" s="4">
        <f t="shared" si="27"/>
        <v>-104.39005963302752</v>
      </c>
    </row>
    <row r="77" spans="2:13" x14ac:dyDescent="0.3">
      <c r="B77" s="35"/>
      <c r="C77" s="21"/>
      <c r="D77" s="18"/>
      <c r="E77" s="17"/>
      <c r="F77" s="19"/>
      <c r="G77" s="19"/>
      <c r="H77" s="28"/>
      <c r="I77" s="21"/>
      <c r="J77" s="17"/>
      <c r="K77" s="14"/>
    </row>
    <row r="78" spans="2:13" x14ac:dyDescent="0.3">
      <c r="B78" s="25" t="s">
        <v>33</v>
      </c>
      <c r="C78" s="25"/>
      <c r="D78" s="25"/>
      <c r="E78" s="25"/>
      <c r="F78" s="25"/>
      <c r="G78" s="25"/>
      <c r="H78" s="25"/>
      <c r="I78" s="25"/>
      <c r="J78" s="25"/>
      <c r="K78" s="25"/>
    </row>
    <row r="79" spans="2:13" ht="18" x14ac:dyDescent="0.3">
      <c r="B79" s="33"/>
      <c r="C79" s="22" t="s">
        <v>18</v>
      </c>
      <c r="D79" s="8" t="s">
        <v>19</v>
      </c>
      <c r="E79" s="10" t="s">
        <v>20</v>
      </c>
      <c r="F79" s="9" t="s">
        <v>26</v>
      </c>
      <c r="G79" s="10" t="s">
        <v>16</v>
      </c>
      <c r="H79" s="26" t="s">
        <v>0</v>
      </c>
      <c r="I79" s="6" t="s">
        <v>22</v>
      </c>
      <c r="J79" s="10" t="s">
        <v>23</v>
      </c>
      <c r="K79" s="11" t="s">
        <v>14</v>
      </c>
      <c r="M79" s="4" t="s">
        <v>24</v>
      </c>
    </row>
    <row r="80" spans="2:13" ht="16.8" x14ac:dyDescent="0.3">
      <c r="B80" s="33" t="s">
        <v>1</v>
      </c>
      <c r="C80" s="22"/>
      <c r="D80" s="8" t="s">
        <v>25</v>
      </c>
      <c r="E80" s="10" t="s">
        <v>2</v>
      </c>
      <c r="F80" s="9" t="s">
        <v>3</v>
      </c>
      <c r="G80" s="10" t="s">
        <v>4</v>
      </c>
      <c r="H80" s="26" t="s">
        <v>4</v>
      </c>
      <c r="I80" s="6" t="s">
        <v>5</v>
      </c>
      <c r="J80" s="10" t="s">
        <v>2</v>
      </c>
      <c r="K80" s="11" t="s">
        <v>4</v>
      </c>
      <c r="M80" s="4" t="s">
        <v>15</v>
      </c>
    </row>
    <row r="81" spans="2:13" x14ac:dyDescent="0.3">
      <c r="B81" s="33" t="s">
        <v>6</v>
      </c>
      <c r="C81" s="24">
        <v>1.4</v>
      </c>
      <c r="D81" s="15">
        <v>7.7104226310000001</v>
      </c>
      <c r="E81" s="13">
        <f t="shared" ref="E81:E87" si="28">(C81*10^-3)/(D81*10^-4)</f>
        <v>1.8157240750607566</v>
      </c>
      <c r="F81" s="12">
        <v>6.5609999999999999</v>
      </c>
      <c r="G81" s="23">
        <v>1.108845E-3</v>
      </c>
      <c r="H81" s="27">
        <f>E81/((D81*10^-4)/(F81*10^-2)*9.81)^(1/2)</f>
        <v>5.3476290687550607</v>
      </c>
      <c r="I81" s="24">
        <v>4.5</v>
      </c>
      <c r="J81" s="13">
        <v>0.5</v>
      </c>
      <c r="K81" s="20">
        <f t="shared" ref="K81:K87" si="29">(10.33+M81-0.234)/((E81^2)/19.62)</f>
        <v>59.953678564725521</v>
      </c>
      <c r="M81" s="4">
        <f>-(1.7*J81^2)/19.62</f>
        <v>-2.1661569826707441E-2</v>
      </c>
    </row>
    <row r="82" spans="2:13" x14ac:dyDescent="0.3">
      <c r="B82" s="33" t="s">
        <v>7</v>
      </c>
      <c r="C82" s="24">
        <v>2.8</v>
      </c>
      <c r="D82" s="15">
        <v>7.7104226310000001</v>
      </c>
      <c r="E82" s="13">
        <f t="shared" si="28"/>
        <v>3.6314481501215132</v>
      </c>
      <c r="F82" s="12">
        <v>6.5609999999999999</v>
      </c>
      <c r="G82" s="23">
        <v>1.108845E-3</v>
      </c>
      <c r="H82" s="27">
        <f t="shared" ref="H82:H87" si="30">E82/((D82*10^-4)/(F82*10^-2)*9.81)^(1/2)</f>
        <v>10.695258137510121</v>
      </c>
      <c r="I82" s="24">
        <v>4.5</v>
      </c>
      <c r="J82" s="13">
        <v>2.72</v>
      </c>
      <c r="K82" s="20">
        <f t="shared" si="29"/>
        <v>14.066913843014239</v>
      </c>
      <c r="M82" s="4">
        <f t="shared" ref="M82:M87" si="31">-(1.7*J82^2)/19.62</f>
        <v>-0.64104383282364941</v>
      </c>
    </row>
    <row r="83" spans="2:13" x14ac:dyDescent="0.3">
      <c r="B83" s="33" t="s">
        <v>8</v>
      </c>
      <c r="C83" s="24">
        <v>4.2</v>
      </c>
      <c r="D83" s="15">
        <v>7.7104226310000001</v>
      </c>
      <c r="E83" s="13">
        <f t="shared" si="28"/>
        <v>5.4471722251822703</v>
      </c>
      <c r="F83" s="12">
        <v>6.5609999999999999</v>
      </c>
      <c r="G83" s="23">
        <v>1.108845E-3</v>
      </c>
      <c r="H83" s="27">
        <f t="shared" si="30"/>
        <v>16.042887206265185</v>
      </c>
      <c r="I83" s="24">
        <v>4.5</v>
      </c>
      <c r="J83" s="13">
        <v>9</v>
      </c>
      <c r="K83" s="20">
        <f t="shared" si="29"/>
        <v>2.035055288892893</v>
      </c>
      <c r="M83" s="4">
        <f t="shared" si="31"/>
        <v>-7.0183486238532105</v>
      </c>
    </row>
    <row r="84" spans="2:13" x14ac:dyDescent="0.3">
      <c r="B84" s="33" t="s">
        <v>9</v>
      </c>
      <c r="C84" s="24">
        <v>5.6</v>
      </c>
      <c r="D84" s="15">
        <v>7.7104226310000001</v>
      </c>
      <c r="E84" s="13">
        <f t="shared" si="28"/>
        <v>7.2628963002430265</v>
      </c>
      <c r="F84" s="12">
        <v>6.5609999999999999</v>
      </c>
      <c r="G84" s="23">
        <v>1.108845E-3</v>
      </c>
      <c r="H84" s="27">
        <f t="shared" si="30"/>
        <v>21.390516275020243</v>
      </c>
      <c r="I84" s="24">
        <v>4.5</v>
      </c>
      <c r="J84" s="13">
        <v>15.3</v>
      </c>
      <c r="K84" s="20">
        <f t="shared" si="29"/>
        <v>-3.7890191119825096</v>
      </c>
      <c r="M84" s="4">
        <f t="shared" si="31"/>
        <v>-20.283027522935779</v>
      </c>
    </row>
    <row r="85" spans="2:13" x14ac:dyDescent="0.3">
      <c r="B85" s="33" t="s">
        <v>10</v>
      </c>
      <c r="C85" s="24">
        <v>7</v>
      </c>
      <c r="D85" s="15">
        <v>7.7104226310000001</v>
      </c>
      <c r="E85" s="13">
        <f t="shared" si="28"/>
        <v>9.0786203753037835</v>
      </c>
      <c r="F85" s="12">
        <v>6.5609999999999999</v>
      </c>
      <c r="G85" s="23">
        <v>1.108845E-3</v>
      </c>
      <c r="H85" s="27">
        <f t="shared" si="30"/>
        <v>26.738145343775308</v>
      </c>
      <c r="I85" s="24">
        <v>4.5</v>
      </c>
      <c r="J85" s="13">
        <v>19.88</v>
      </c>
      <c r="K85" s="20">
        <f t="shared" si="29"/>
        <v>-5.7482796867905464</v>
      </c>
      <c r="M85" s="4">
        <f t="shared" si="31"/>
        <v>-34.243857288481138</v>
      </c>
    </row>
    <row r="86" spans="2:13" x14ac:dyDescent="0.3">
      <c r="B86" s="33" t="s">
        <v>11</v>
      </c>
      <c r="C86" s="24">
        <v>8.4</v>
      </c>
      <c r="D86" s="15">
        <v>7.7104226310000001</v>
      </c>
      <c r="E86" s="13">
        <f t="shared" si="28"/>
        <v>10.894344450364541</v>
      </c>
      <c r="F86" s="12">
        <v>6.5609999999999999</v>
      </c>
      <c r="G86" s="23">
        <v>1.108845E-3</v>
      </c>
      <c r="H86" s="27">
        <f t="shared" si="30"/>
        <v>32.08577441253037</v>
      </c>
      <c r="I86" s="24">
        <v>4.5</v>
      </c>
      <c r="J86" s="13">
        <v>23.66</v>
      </c>
      <c r="K86" s="20">
        <f t="shared" si="29"/>
        <v>-6.3492264900908735</v>
      </c>
      <c r="M86" s="4">
        <f t="shared" si="31"/>
        <v>-48.504205912334349</v>
      </c>
    </row>
    <row r="87" spans="2:13" x14ac:dyDescent="0.3">
      <c r="B87" s="33" t="s">
        <v>12</v>
      </c>
      <c r="C87" s="24">
        <v>9.9</v>
      </c>
      <c r="D87" s="15">
        <v>7.7104226310000001</v>
      </c>
      <c r="E87" s="13">
        <f t="shared" si="28"/>
        <v>12.83976310221535</v>
      </c>
      <c r="F87" s="12">
        <v>6.5609999999999999</v>
      </c>
      <c r="G87" s="23">
        <v>1.108845E-3</v>
      </c>
      <c r="H87" s="27">
        <f t="shared" si="30"/>
        <v>37.815376986196505</v>
      </c>
      <c r="I87" s="24">
        <v>4.5</v>
      </c>
      <c r="J87" s="13">
        <v>25.91</v>
      </c>
      <c r="K87" s="20">
        <f t="shared" si="29"/>
        <v>-5.7210785880219168</v>
      </c>
      <c r="M87" s="4">
        <f t="shared" si="31"/>
        <v>-58.16808205912335</v>
      </c>
    </row>
    <row r="88" spans="2:13" x14ac:dyDescent="0.3">
      <c r="B88" s="34"/>
      <c r="C88" s="21"/>
      <c r="D88" s="18"/>
      <c r="E88" s="17"/>
      <c r="F88" s="19"/>
      <c r="G88" s="19"/>
      <c r="H88" s="28"/>
      <c r="I88" s="21"/>
      <c r="J88" s="17"/>
      <c r="K88" s="14"/>
    </row>
    <row r="89" spans="2:13" x14ac:dyDescent="0.3">
      <c r="B89" s="25" t="s">
        <v>34</v>
      </c>
      <c r="C89" s="25"/>
      <c r="D89" s="25"/>
      <c r="E89" s="25"/>
      <c r="F89" s="25"/>
      <c r="G89" s="25"/>
      <c r="H89" s="25"/>
      <c r="I89" s="25"/>
      <c r="J89" s="25"/>
      <c r="K89" s="25"/>
    </row>
    <row r="90" spans="2:13" ht="18" x14ac:dyDescent="0.3">
      <c r="B90" s="33"/>
      <c r="C90" s="22" t="s">
        <v>18</v>
      </c>
      <c r="D90" s="8" t="s">
        <v>19</v>
      </c>
      <c r="E90" s="10" t="s">
        <v>20</v>
      </c>
      <c r="F90" s="9" t="s">
        <v>26</v>
      </c>
      <c r="G90" s="10" t="s">
        <v>16</v>
      </c>
      <c r="H90" s="26" t="s">
        <v>0</v>
      </c>
      <c r="I90" s="6" t="s">
        <v>22</v>
      </c>
      <c r="J90" s="10" t="s">
        <v>23</v>
      </c>
      <c r="K90" s="11" t="s">
        <v>14</v>
      </c>
      <c r="M90" s="4" t="s">
        <v>24</v>
      </c>
    </row>
    <row r="91" spans="2:13" ht="16.8" x14ac:dyDescent="0.3">
      <c r="B91" s="33" t="s">
        <v>1</v>
      </c>
      <c r="C91" s="22"/>
      <c r="D91" s="8" t="s">
        <v>25</v>
      </c>
      <c r="E91" s="10" t="s">
        <v>2</v>
      </c>
      <c r="F91" s="9" t="s">
        <v>3</v>
      </c>
      <c r="G91" s="10" t="s">
        <v>4</v>
      </c>
      <c r="H91" s="26" t="s">
        <v>4</v>
      </c>
      <c r="I91" s="6" t="s">
        <v>5</v>
      </c>
      <c r="J91" s="10" t="s">
        <v>2</v>
      </c>
      <c r="K91" s="11" t="s">
        <v>4</v>
      </c>
      <c r="M91" s="4" t="s">
        <v>15</v>
      </c>
    </row>
    <row r="92" spans="2:13" x14ac:dyDescent="0.3">
      <c r="B92" s="33" t="s">
        <v>6</v>
      </c>
      <c r="C92" s="24">
        <v>1.8</v>
      </c>
      <c r="D92" s="15">
        <v>7.7104226310000001</v>
      </c>
      <c r="E92" s="13">
        <f t="shared" ref="E92:E98" si="32">(C92*10^-3)/(D92*10^-4)</f>
        <v>2.3345023822209727</v>
      </c>
      <c r="F92" s="12">
        <v>7.0444000000000004</v>
      </c>
      <c r="G92" s="23">
        <v>7.5770359999999997E-3</v>
      </c>
      <c r="H92" s="27">
        <f>E92/((D92*10^-4)/(F92*10^-2)*9.81)^(1/2)</f>
        <v>7.1243087117233248</v>
      </c>
      <c r="I92" s="24">
        <v>3</v>
      </c>
      <c r="J92" s="13">
        <v>0.5</v>
      </c>
      <c r="K92" s="20">
        <f t="shared" ref="K92:K98" si="33">(10.33+M92-0.234)/((E92^2)/19.62)</f>
        <v>36.268274687303098</v>
      </c>
      <c r="M92" s="4">
        <f>-(1.7*J92^2)/19.62</f>
        <v>-2.1661569826707441E-2</v>
      </c>
    </row>
    <row r="93" spans="2:13" x14ac:dyDescent="0.3">
      <c r="B93" s="33" t="s">
        <v>7</v>
      </c>
      <c r="C93" s="24">
        <v>3.6</v>
      </c>
      <c r="D93" s="15">
        <v>7.7104226310000001</v>
      </c>
      <c r="E93" s="13">
        <f t="shared" si="32"/>
        <v>4.6690047644419455</v>
      </c>
      <c r="F93" s="12">
        <v>7.0444000000000004</v>
      </c>
      <c r="G93" s="23">
        <v>7.5770359999999997E-3</v>
      </c>
      <c r="H93" s="27">
        <f t="shared" ref="H93:H98" si="34">E93/((D93*10^-4)/(F93*10^-2)*9.81)^(1/2)</f>
        <v>14.24861742344665</v>
      </c>
      <c r="I93" s="24">
        <v>4.5</v>
      </c>
      <c r="J93" s="13">
        <v>1.85</v>
      </c>
      <c r="K93" s="20">
        <f t="shared" si="33"/>
        <v>8.8196674056707689</v>
      </c>
      <c r="M93" s="4">
        <f t="shared" ref="M93:M98" si="35">-(1.7*J93^2)/19.62</f>
        <v>-0.29654689092762487</v>
      </c>
    </row>
    <row r="94" spans="2:13" x14ac:dyDescent="0.3">
      <c r="B94" s="33" t="s">
        <v>8</v>
      </c>
      <c r="C94" s="24">
        <v>5.4</v>
      </c>
      <c r="D94" s="15">
        <v>7.7104226310000001</v>
      </c>
      <c r="E94" s="13">
        <f t="shared" si="32"/>
        <v>7.0035071466629182</v>
      </c>
      <c r="F94" s="12">
        <v>7.0444000000000004</v>
      </c>
      <c r="G94" s="23">
        <v>7.5770359999999997E-3</v>
      </c>
      <c r="H94" s="27">
        <f t="shared" si="34"/>
        <v>21.372926135169976</v>
      </c>
      <c r="I94" s="24">
        <v>4.5</v>
      </c>
      <c r="J94" s="13">
        <v>5.85</v>
      </c>
      <c r="K94" s="20">
        <f t="shared" si="33"/>
        <v>2.852350700907643</v>
      </c>
      <c r="M94" s="4">
        <f t="shared" si="35"/>
        <v>-2.965252293577981</v>
      </c>
    </row>
    <row r="95" spans="2:13" x14ac:dyDescent="0.3">
      <c r="B95" s="33" t="s">
        <v>9</v>
      </c>
      <c r="C95" s="24">
        <v>7.2</v>
      </c>
      <c r="D95" s="15">
        <v>7.7104226310000001</v>
      </c>
      <c r="E95" s="13">
        <f t="shared" si="32"/>
        <v>9.3380095288838909</v>
      </c>
      <c r="F95" s="12">
        <v>7.0444000000000004</v>
      </c>
      <c r="G95" s="23">
        <v>7.5770359999999997E-3</v>
      </c>
      <c r="H95" s="27">
        <f t="shared" si="34"/>
        <v>28.497234846893299</v>
      </c>
      <c r="I95" s="24">
        <v>4.5</v>
      </c>
      <c r="J95" s="13">
        <v>9.83</v>
      </c>
      <c r="K95" s="20">
        <f t="shared" si="33"/>
        <v>0.38778671952251154</v>
      </c>
      <c r="M95" s="4">
        <f t="shared" si="35"/>
        <v>-8.3725346585117215</v>
      </c>
    </row>
    <row r="96" spans="2:13" x14ac:dyDescent="0.3">
      <c r="B96" s="33" t="s">
        <v>10</v>
      </c>
      <c r="C96" s="24">
        <v>9</v>
      </c>
      <c r="D96" s="15">
        <v>7.7104226310000001</v>
      </c>
      <c r="E96" s="13">
        <f t="shared" si="32"/>
        <v>11.672511911104865</v>
      </c>
      <c r="F96" s="12">
        <v>7.0444000000000004</v>
      </c>
      <c r="G96" s="23">
        <v>7.5770359999999997E-3</v>
      </c>
      <c r="H96" s="27">
        <f t="shared" si="34"/>
        <v>35.621543558616629</v>
      </c>
      <c r="I96" s="24">
        <v>4.5</v>
      </c>
      <c r="J96" s="13">
        <v>13.62</v>
      </c>
      <c r="K96" s="20">
        <f t="shared" si="33"/>
        <v>-0.86074188857587142</v>
      </c>
      <c r="M96" s="4">
        <f t="shared" si="35"/>
        <v>-16.073266055045867</v>
      </c>
    </row>
    <row r="97" spans="2:13" x14ac:dyDescent="0.3">
      <c r="B97" s="33" t="s">
        <v>11</v>
      </c>
      <c r="C97" s="24">
        <v>10.8</v>
      </c>
      <c r="D97" s="15">
        <v>7.7104226310000001</v>
      </c>
      <c r="E97" s="13">
        <f t="shared" si="32"/>
        <v>14.007014293325836</v>
      </c>
      <c r="F97" s="12">
        <v>7.0444000000000004</v>
      </c>
      <c r="G97" s="23">
        <v>7.5770359999999997E-3</v>
      </c>
      <c r="H97" s="27">
        <f t="shared" si="34"/>
        <v>42.745852270339952</v>
      </c>
      <c r="I97" s="24">
        <v>4.5</v>
      </c>
      <c r="J97" s="13">
        <v>16.920000000000002</v>
      </c>
      <c r="K97" s="20">
        <f t="shared" si="33"/>
        <v>-1.4709917578163796</v>
      </c>
      <c r="M97" s="4">
        <f t="shared" si="35"/>
        <v>-24.805651376146791</v>
      </c>
    </row>
    <row r="98" spans="2:13" x14ac:dyDescent="0.3">
      <c r="B98" s="33" t="s">
        <v>12</v>
      </c>
      <c r="C98" s="24">
        <v>12.8</v>
      </c>
      <c r="D98" s="15">
        <v>7.7104226310000001</v>
      </c>
      <c r="E98" s="13">
        <f t="shared" si="32"/>
        <v>16.600905829126919</v>
      </c>
      <c r="F98" s="12">
        <v>7.0444000000000004</v>
      </c>
      <c r="G98" s="23">
        <v>7.5770359999999997E-3</v>
      </c>
      <c r="H98" s="27">
        <f t="shared" si="34"/>
        <v>50.661750838921428</v>
      </c>
      <c r="I98" s="24">
        <v>4.5</v>
      </c>
      <c r="J98" s="13">
        <v>22.62</v>
      </c>
      <c r="K98" s="20">
        <f t="shared" si="33"/>
        <v>-2.4374824151064209</v>
      </c>
      <c r="M98" s="4">
        <f t="shared" si="35"/>
        <v>-44.333816513761469</v>
      </c>
    </row>
    <row r="99" spans="2:13" x14ac:dyDescent="0.3">
      <c r="B99" s="34"/>
      <c r="C99" s="21"/>
      <c r="D99" s="18"/>
      <c r="E99" s="17"/>
      <c r="F99" s="19"/>
      <c r="G99" s="19"/>
      <c r="H99" s="28"/>
      <c r="I99" s="21"/>
      <c r="J99" s="17"/>
      <c r="K99" s="14"/>
    </row>
    <row r="100" spans="2:13" x14ac:dyDescent="0.3">
      <c r="B100" s="25" t="s">
        <v>35</v>
      </c>
      <c r="C100" s="25"/>
      <c r="D100" s="25"/>
      <c r="E100" s="25"/>
      <c r="F100" s="25"/>
      <c r="G100" s="25"/>
      <c r="H100" s="25"/>
      <c r="I100" s="25"/>
      <c r="J100" s="25"/>
      <c r="K100" s="25"/>
    </row>
    <row r="101" spans="2:13" ht="18" x14ac:dyDescent="0.3">
      <c r="B101" s="33"/>
      <c r="C101" s="22" t="s">
        <v>18</v>
      </c>
      <c r="D101" s="8" t="s">
        <v>19</v>
      </c>
      <c r="E101" s="10" t="s">
        <v>20</v>
      </c>
      <c r="F101" s="9" t="s">
        <v>26</v>
      </c>
      <c r="G101" s="10" t="s">
        <v>16</v>
      </c>
      <c r="H101" s="26" t="s">
        <v>0</v>
      </c>
      <c r="I101" s="6" t="s">
        <v>22</v>
      </c>
      <c r="J101" s="10" t="s">
        <v>23</v>
      </c>
      <c r="K101" s="11" t="s">
        <v>14</v>
      </c>
      <c r="M101" s="4" t="s">
        <v>24</v>
      </c>
    </row>
    <row r="102" spans="2:13" ht="16.8" x14ac:dyDescent="0.3">
      <c r="B102" s="33" t="s">
        <v>1</v>
      </c>
      <c r="C102" s="22"/>
      <c r="D102" s="8" t="s">
        <v>25</v>
      </c>
      <c r="E102" s="10" t="s">
        <v>2</v>
      </c>
      <c r="F102" s="9" t="s">
        <v>3</v>
      </c>
      <c r="G102" s="10" t="s">
        <v>4</v>
      </c>
      <c r="H102" s="26" t="s">
        <v>4</v>
      </c>
      <c r="I102" s="6" t="s">
        <v>5</v>
      </c>
      <c r="J102" s="10" t="s">
        <v>2</v>
      </c>
      <c r="K102" s="11" t="s">
        <v>4</v>
      </c>
      <c r="M102" s="4" t="s">
        <v>15</v>
      </c>
    </row>
    <row r="103" spans="2:13" x14ac:dyDescent="0.3">
      <c r="B103" s="33" t="s">
        <v>6</v>
      </c>
      <c r="C103" s="24">
        <v>1.8</v>
      </c>
      <c r="D103" s="15">
        <v>7.7104226310000001</v>
      </c>
      <c r="E103" s="13">
        <f t="shared" ref="E103:E109" si="36">(C103*10^-3)/(D103*10^-4)</f>
        <v>2.3345023822209727</v>
      </c>
      <c r="F103" s="12">
        <v>7.0444000000000004</v>
      </c>
      <c r="G103" s="23">
        <v>3.7885179999999998E-3</v>
      </c>
      <c r="H103" s="27">
        <f>E103/((D103*10^-4)/(F103*10^-2)*9.81)^(1/2)</f>
        <v>7.1243087117233248</v>
      </c>
      <c r="I103" s="24">
        <v>4.5</v>
      </c>
      <c r="J103" s="13">
        <v>0.42</v>
      </c>
      <c r="K103" s="20">
        <f t="shared" ref="K103:K109" si="37">(10.33+M103-0.234)/((E103^2)/19.62)</f>
        <v>36.291232900937779</v>
      </c>
      <c r="M103" s="4">
        <f>-(1.7*J103^2)/19.62</f>
        <v>-1.5284403669724765E-2</v>
      </c>
    </row>
    <row r="104" spans="2:13" x14ac:dyDescent="0.3">
      <c r="B104" s="33" t="s">
        <v>7</v>
      </c>
      <c r="C104" s="24">
        <v>3.6</v>
      </c>
      <c r="D104" s="15">
        <v>7.7104226310000001</v>
      </c>
      <c r="E104" s="13">
        <f t="shared" si="36"/>
        <v>4.6690047644419455</v>
      </c>
      <c r="F104" s="12">
        <v>7.0444000000000004</v>
      </c>
      <c r="G104" s="23">
        <v>3.7885179999999998E-3</v>
      </c>
      <c r="H104" s="27">
        <f t="shared" ref="H104:H109" si="38">E104/((D104*10^-4)/(F104*10^-2)*9.81)^(1/2)</f>
        <v>14.24861742344665</v>
      </c>
      <c r="I104" s="24">
        <v>4.5</v>
      </c>
      <c r="J104" s="13">
        <v>2.21</v>
      </c>
      <c r="K104" s="20">
        <f t="shared" si="37"/>
        <v>8.705687361348577</v>
      </c>
      <c r="M104" s="4">
        <f t="shared" ref="M104:M109" si="39">-(1.7*J104^2)/19.62</f>
        <v>-0.42318909276248723</v>
      </c>
    </row>
    <row r="105" spans="2:13" x14ac:dyDescent="0.3">
      <c r="B105" s="33" t="s">
        <v>8</v>
      </c>
      <c r="C105" s="24">
        <v>5.4</v>
      </c>
      <c r="D105" s="15">
        <v>7.7104226310000001</v>
      </c>
      <c r="E105" s="13">
        <f t="shared" si="36"/>
        <v>7.0035071466629182</v>
      </c>
      <c r="F105" s="12">
        <v>7.0444000000000004</v>
      </c>
      <c r="G105" s="23">
        <v>3.7885179999999998E-3</v>
      </c>
      <c r="H105" s="27">
        <f t="shared" si="38"/>
        <v>21.372926135169976</v>
      </c>
      <c r="I105" s="24">
        <v>4.5</v>
      </c>
      <c r="J105" s="13">
        <v>7.47</v>
      </c>
      <c r="K105" s="20">
        <f t="shared" si="37"/>
        <v>2.1044619371777897</v>
      </c>
      <c r="M105" s="4">
        <f t="shared" si="39"/>
        <v>-4.8349403669724769</v>
      </c>
    </row>
    <row r="106" spans="2:13" x14ac:dyDescent="0.3">
      <c r="B106" s="33" t="s">
        <v>9</v>
      </c>
      <c r="C106" s="24">
        <v>7.2</v>
      </c>
      <c r="D106" s="15">
        <v>7.7104226310000001</v>
      </c>
      <c r="E106" s="13">
        <f t="shared" si="36"/>
        <v>9.3380095288838909</v>
      </c>
      <c r="F106" s="12">
        <v>7.0444000000000004</v>
      </c>
      <c r="G106" s="23">
        <v>3.7885179999999998E-3</v>
      </c>
      <c r="H106" s="27">
        <f t="shared" si="38"/>
        <v>28.497234846893299</v>
      </c>
      <c r="I106" s="24">
        <v>4.5</v>
      </c>
      <c r="J106" s="13">
        <v>12.04</v>
      </c>
      <c r="K106" s="20">
        <f t="shared" si="37"/>
        <v>-0.55449627312445415</v>
      </c>
      <c r="M106" s="4">
        <f t="shared" si="39"/>
        <v>-12.56038328236493</v>
      </c>
    </row>
    <row r="107" spans="2:13" x14ac:dyDescent="0.3">
      <c r="B107" s="33" t="s">
        <v>10</v>
      </c>
      <c r="C107" s="24">
        <v>9</v>
      </c>
      <c r="D107" s="15">
        <v>7.7104226310000001</v>
      </c>
      <c r="E107" s="13">
        <f t="shared" si="36"/>
        <v>11.672511911104865</v>
      </c>
      <c r="F107" s="12">
        <v>7.0444000000000004</v>
      </c>
      <c r="G107" s="23">
        <v>3.7885179999999998E-3</v>
      </c>
      <c r="H107" s="27">
        <f t="shared" si="38"/>
        <v>35.621543558616629</v>
      </c>
      <c r="I107" s="24">
        <v>4.5</v>
      </c>
      <c r="J107" s="13">
        <v>17.61</v>
      </c>
      <c r="K107" s="20">
        <f t="shared" si="37"/>
        <v>-2.4155083000576933</v>
      </c>
      <c r="M107" s="4">
        <f t="shared" si="39"/>
        <v>-26.87005963302752</v>
      </c>
    </row>
    <row r="108" spans="2:13" x14ac:dyDescent="0.3">
      <c r="B108" s="33" t="s">
        <v>11</v>
      </c>
      <c r="C108" s="24">
        <v>10.8</v>
      </c>
      <c r="D108" s="15">
        <v>7.7104226310000001</v>
      </c>
      <c r="E108" s="13">
        <f t="shared" si="36"/>
        <v>14.007014293325836</v>
      </c>
      <c r="F108" s="12">
        <v>7.0444000000000004</v>
      </c>
      <c r="G108" s="23">
        <v>3.7885179999999998E-3</v>
      </c>
      <c r="H108" s="27">
        <f t="shared" si="38"/>
        <v>42.745852270339952</v>
      </c>
      <c r="I108" s="24">
        <v>4.5</v>
      </c>
      <c r="J108" s="13">
        <v>25.91</v>
      </c>
      <c r="K108" s="20">
        <f t="shared" si="37"/>
        <v>-4.8072952024350846</v>
      </c>
      <c r="M108" s="4">
        <f t="shared" si="39"/>
        <v>-58.16808205912335</v>
      </c>
    </row>
    <row r="109" spans="2:13" x14ac:dyDescent="0.3">
      <c r="B109" s="33" t="s">
        <v>12</v>
      </c>
      <c r="C109" s="24">
        <v>12.9</v>
      </c>
      <c r="D109" s="15">
        <v>7.7104226310000001</v>
      </c>
      <c r="E109" s="13">
        <f t="shared" si="36"/>
        <v>16.73060040591697</v>
      </c>
      <c r="F109" s="12">
        <v>7.0444000000000004</v>
      </c>
      <c r="G109" s="23">
        <v>3.7885179999999998E-3</v>
      </c>
      <c r="H109" s="27">
        <f t="shared" si="38"/>
        <v>51.05754576735049</v>
      </c>
      <c r="I109" s="24">
        <v>4.5</v>
      </c>
      <c r="J109" s="13">
        <v>31.4</v>
      </c>
      <c r="K109" s="20">
        <f t="shared" si="37"/>
        <v>-5.2803854522928182</v>
      </c>
      <c r="M109" s="4">
        <f t="shared" si="39"/>
        <v>-85.42976554536186</v>
      </c>
    </row>
    <row r="110" spans="2:13" x14ac:dyDescent="0.3">
      <c r="B110" s="35"/>
      <c r="C110" s="21"/>
      <c r="D110" s="18"/>
      <c r="E110" s="17"/>
      <c r="F110" s="19"/>
      <c r="G110" s="19"/>
      <c r="H110" s="28"/>
      <c r="I110" s="21"/>
      <c r="J110" s="17"/>
      <c r="K110" s="14"/>
    </row>
    <row r="111" spans="2:13" x14ac:dyDescent="0.3">
      <c r="B111" s="25" t="s">
        <v>36</v>
      </c>
      <c r="C111" s="25"/>
      <c r="D111" s="25"/>
      <c r="E111" s="25"/>
      <c r="F111" s="25"/>
      <c r="G111" s="25"/>
      <c r="H111" s="25"/>
      <c r="I111" s="25"/>
      <c r="J111" s="25"/>
      <c r="K111" s="25"/>
    </row>
    <row r="112" spans="2:13" ht="18" x14ac:dyDescent="0.3">
      <c r="B112" s="33"/>
      <c r="C112" s="22" t="s">
        <v>18</v>
      </c>
      <c r="D112" s="8" t="s">
        <v>19</v>
      </c>
      <c r="E112" s="10" t="s">
        <v>20</v>
      </c>
      <c r="F112" s="9" t="s">
        <v>26</v>
      </c>
      <c r="G112" s="10" t="s">
        <v>16</v>
      </c>
      <c r="H112" s="26" t="s">
        <v>0</v>
      </c>
      <c r="I112" s="6" t="s">
        <v>22</v>
      </c>
      <c r="J112" s="10" t="s">
        <v>23</v>
      </c>
      <c r="K112" s="11" t="s">
        <v>14</v>
      </c>
      <c r="M112" s="4" t="s">
        <v>24</v>
      </c>
    </row>
    <row r="113" spans="2:13" ht="16.8" x14ac:dyDescent="0.3">
      <c r="B113" s="33" t="s">
        <v>1</v>
      </c>
      <c r="C113" s="22"/>
      <c r="D113" s="8" t="s">
        <v>25</v>
      </c>
      <c r="E113" s="10" t="s">
        <v>2</v>
      </c>
      <c r="F113" s="9" t="s">
        <v>3</v>
      </c>
      <c r="G113" s="10" t="s">
        <v>4</v>
      </c>
      <c r="H113" s="26" t="s">
        <v>4</v>
      </c>
      <c r="I113" s="6" t="s">
        <v>5</v>
      </c>
      <c r="J113" s="10" t="s">
        <v>2</v>
      </c>
      <c r="K113" s="11" t="s">
        <v>4</v>
      </c>
      <c r="M113" s="4" t="s">
        <v>15</v>
      </c>
    </row>
    <row r="114" spans="2:13" x14ac:dyDescent="0.3">
      <c r="B114" s="33" t="s">
        <v>6</v>
      </c>
      <c r="C114" s="24">
        <v>1.8</v>
      </c>
      <c r="D114" s="15">
        <v>7.7104226310000001</v>
      </c>
      <c r="E114" s="13">
        <f t="shared" ref="E114:E120" si="40">(C114*10^-3)/(D114*10^-4)</f>
        <v>2.3345023822209727</v>
      </c>
      <c r="F114" s="12">
        <v>7.0444000000000004</v>
      </c>
      <c r="G114" s="23">
        <v>1.8942589999999999E-3</v>
      </c>
      <c r="H114" s="27">
        <f>E114/((D114*10^-4)/(F114*10^-2)*9.81)^(1/2)</f>
        <v>7.1243087117233248</v>
      </c>
      <c r="I114" s="24">
        <v>4.5</v>
      </c>
      <c r="J114" s="13">
        <v>0.67</v>
      </c>
      <c r="K114" s="20">
        <f t="shared" ref="K114:K120" si="41">(10.33+M114-0.234)/((E114^2)/19.62)</f>
        <v>36.206231362684363</v>
      </c>
      <c r="M114" s="4">
        <f>-(1.7*J114^2)/19.62</f>
        <v>-3.8895514780835881E-2</v>
      </c>
    </row>
    <row r="115" spans="2:13" x14ac:dyDescent="0.3">
      <c r="B115" s="33" t="s">
        <v>7</v>
      </c>
      <c r="C115" s="24">
        <v>3.6</v>
      </c>
      <c r="D115" s="15">
        <v>7.7104226310000001</v>
      </c>
      <c r="E115" s="13">
        <f t="shared" si="40"/>
        <v>4.6690047644419455</v>
      </c>
      <c r="F115" s="12">
        <v>7.0444000000000004</v>
      </c>
      <c r="G115" s="23">
        <v>1.8942589999999999E-3</v>
      </c>
      <c r="H115" s="27">
        <f t="shared" ref="H115:H120" si="42">E115/((D115*10^-4)/(F115*10^-2)*9.81)^(1/2)</f>
        <v>14.24861742344665</v>
      </c>
      <c r="I115" s="24">
        <v>4.5</v>
      </c>
      <c r="J115" s="13">
        <v>2.94</v>
      </c>
      <c r="K115" s="20">
        <f t="shared" si="41"/>
        <v>8.4125100374369168</v>
      </c>
      <c r="M115" s="4">
        <f t="shared" ref="M115:M120" si="43">-(1.7*J115^2)/19.62</f>
        <v>-0.7489357798165136</v>
      </c>
    </row>
    <row r="116" spans="2:13" x14ac:dyDescent="0.3">
      <c r="B116" s="33" t="s">
        <v>8</v>
      </c>
      <c r="C116" s="24">
        <v>5.4</v>
      </c>
      <c r="D116" s="15">
        <v>7.7104226310000001</v>
      </c>
      <c r="E116" s="13">
        <f t="shared" si="40"/>
        <v>7.0035071466629182</v>
      </c>
      <c r="F116" s="12">
        <v>7.0444000000000004</v>
      </c>
      <c r="G116" s="23">
        <v>1.8942589999999999E-3</v>
      </c>
      <c r="H116" s="27">
        <f t="shared" si="42"/>
        <v>21.372926135169976</v>
      </c>
      <c r="I116" s="24">
        <v>4.5</v>
      </c>
      <c r="J116" s="13">
        <v>7.65</v>
      </c>
      <c r="K116" s="20">
        <f t="shared" si="41"/>
        <v>2.0101336246352854</v>
      </c>
      <c r="M116" s="4">
        <f t="shared" si="43"/>
        <v>-5.0707568807339447</v>
      </c>
    </row>
    <row r="117" spans="2:13" x14ac:dyDescent="0.3">
      <c r="B117" s="33" t="s">
        <v>9</v>
      </c>
      <c r="C117" s="24">
        <v>7.2</v>
      </c>
      <c r="D117" s="15">
        <v>7.7104226310000001</v>
      </c>
      <c r="E117" s="13">
        <f t="shared" si="40"/>
        <v>9.3380095288838909</v>
      </c>
      <c r="F117" s="12">
        <v>7.0444000000000004</v>
      </c>
      <c r="G117" s="23">
        <v>1.8942589999999999E-3</v>
      </c>
      <c r="H117" s="27">
        <f t="shared" si="42"/>
        <v>28.497234846893299</v>
      </c>
      <c r="I117" s="24">
        <v>4.5</v>
      </c>
      <c r="J117" s="13">
        <v>12.53</v>
      </c>
      <c r="K117" s="20">
        <f t="shared" si="41"/>
        <v>-0.78921164456810666</v>
      </c>
      <c r="M117" s="4">
        <f t="shared" si="43"/>
        <v>-13.603543832823645</v>
      </c>
    </row>
    <row r="118" spans="2:13" x14ac:dyDescent="0.3">
      <c r="B118" s="33" t="s">
        <v>10</v>
      </c>
      <c r="C118" s="24">
        <v>9</v>
      </c>
      <c r="D118" s="15">
        <v>7.7104226310000001</v>
      </c>
      <c r="E118" s="13">
        <f t="shared" si="40"/>
        <v>11.672511911104865</v>
      </c>
      <c r="F118" s="12">
        <v>7.0444000000000004</v>
      </c>
      <c r="G118" s="23">
        <v>1.8942589999999999E-3</v>
      </c>
      <c r="H118" s="27">
        <f t="shared" si="42"/>
        <v>35.621543558616629</v>
      </c>
      <c r="I118" s="24">
        <v>4.5</v>
      </c>
      <c r="J118" s="13">
        <v>19.02</v>
      </c>
      <c r="K118" s="20">
        <f t="shared" si="41"/>
        <v>-3.0599391181382498</v>
      </c>
      <c r="M118" s="4">
        <f t="shared" si="43"/>
        <v>-31.345192660550456</v>
      </c>
    </row>
    <row r="119" spans="2:13" x14ac:dyDescent="0.3">
      <c r="B119" s="33" t="s">
        <v>11</v>
      </c>
      <c r="C119" s="24">
        <v>10.8</v>
      </c>
      <c r="D119" s="15">
        <v>7.7104226310000001</v>
      </c>
      <c r="E119" s="13">
        <f t="shared" si="40"/>
        <v>14.007014293325836</v>
      </c>
      <c r="F119" s="12">
        <v>7.0444000000000004</v>
      </c>
      <c r="G119" s="23">
        <v>1.8942589999999999E-3</v>
      </c>
      <c r="H119" s="27">
        <f t="shared" si="42"/>
        <v>42.745852270339952</v>
      </c>
      <c r="I119" s="24">
        <v>4.5</v>
      </c>
      <c r="J119" s="13">
        <v>26.24</v>
      </c>
      <c r="K119" s="20">
        <f t="shared" si="41"/>
        <v>-4.9564118153374404</v>
      </c>
      <c r="M119" s="4">
        <f t="shared" si="43"/>
        <v>-59.659221202854219</v>
      </c>
    </row>
    <row r="120" spans="2:13" x14ac:dyDescent="0.3">
      <c r="B120" s="33" t="s">
        <v>12</v>
      </c>
      <c r="C120" s="24">
        <v>12.8</v>
      </c>
      <c r="D120" s="15">
        <v>7.7104226310000001</v>
      </c>
      <c r="E120" s="13">
        <f t="shared" si="40"/>
        <v>16.600905829126919</v>
      </c>
      <c r="F120" s="12">
        <v>7.0444000000000004</v>
      </c>
      <c r="G120" s="23">
        <v>1.8942589999999999E-3</v>
      </c>
      <c r="H120" s="27">
        <f t="shared" si="42"/>
        <v>50.661750838921428</v>
      </c>
      <c r="I120" s="24">
        <v>4.5</v>
      </c>
      <c r="J120" s="13">
        <v>32.369999999999997</v>
      </c>
      <c r="K120" s="20">
        <f t="shared" si="41"/>
        <v>-5.7447831303367511</v>
      </c>
      <c r="M120" s="4">
        <f t="shared" si="43"/>
        <v>-90.789435779816486</v>
      </c>
    </row>
    <row r="121" spans="2:13" x14ac:dyDescent="0.3">
      <c r="B121" s="35"/>
      <c r="C121" s="21"/>
      <c r="D121" s="18"/>
      <c r="E121" s="17"/>
      <c r="F121" s="19"/>
      <c r="G121" s="19"/>
      <c r="H121" s="28"/>
      <c r="I121" s="21"/>
      <c r="J121" s="17"/>
      <c r="K121" s="14"/>
    </row>
    <row r="122" spans="2:13" x14ac:dyDescent="0.3">
      <c r="B122" s="25" t="s">
        <v>37</v>
      </c>
      <c r="C122" s="25"/>
      <c r="D122" s="25"/>
      <c r="E122" s="25"/>
      <c r="F122" s="25"/>
      <c r="G122" s="25"/>
      <c r="H122" s="25"/>
      <c r="I122" s="25"/>
      <c r="J122" s="25"/>
      <c r="K122" s="25"/>
    </row>
    <row r="123" spans="2:13" ht="18" x14ac:dyDescent="0.3">
      <c r="B123" s="33"/>
      <c r="C123" s="22" t="s">
        <v>18</v>
      </c>
      <c r="D123" s="8" t="s">
        <v>19</v>
      </c>
      <c r="E123" s="10" t="s">
        <v>20</v>
      </c>
      <c r="F123" s="9" t="s">
        <v>26</v>
      </c>
      <c r="G123" s="10" t="s">
        <v>16</v>
      </c>
      <c r="H123" s="26" t="s">
        <v>0</v>
      </c>
      <c r="I123" s="6" t="s">
        <v>22</v>
      </c>
      <c r="J123" s="10" t="s">
        <v>23</v>
      </c>
      <c r="K123" s="11" t="s">
        <v>14</v>
      </c>
      <c r="M123" s="4" t="s">
        <v>24</v>
      </c>
    </row>
    <row r="124" spans="2:13" ht="16.8" x14ac:dyDescent="0.3">
      <c r="B124" s="33" t="s">
        <v>1</v>
      </c>
      <c r="C124" s="22"/>
      <c r="D124" s="8" t="s">
        <v>25</v>
      </c>
      <c r="E124" s="10" t="s">
        <v>2</v>
      </c>
      <c r="F124" s="9" t="s">
        <v>3</v>
      </c>
      <c r="G124" s="10" t="s">
        <v>4</v>
      </c>
      <c r="H124" s="26" t="s">
        <v>4</v>
      </c>
      <c r="I124" s="6" t="s">
        <v>5</v>
      </c>
      <c r="J124" s="10" t="s">
        <v>2</v>
      </c>
      <c r="K124" s="11" t="s">
        <v>4</v>
      </c>
      <c r="M124" s="4" t="s">
        <v>15</v>
      </c>
    </row>
    <row r="125" spans="2:13" x14ac:dyDescent="0.3">
      <c r="B125" s="33" t="s">
        <v>6</v>
      </c>
      <c r="C125" s="24">
        <v>1.8</v>
      </c>
      <c r="D125" s="15">
        <v>7.7104226310000001</v>
      </c>
      <c r="E125" s="13">
        <f t="shared" ref="E125:E131" si="44">(C125*10^-3)/(D125*10^-4)</f>
        <v>2.3345023822209727</v>
      </c>
      <c r="F125" s="12">
        <v>7.0444000000000004</v>
      </c>
      <c r="G125" s="23">
        <v>1.262839E-3</v>
      </c>
      <c r="H125" s="27">
        <f>E125/((D125*10^-4)/(F125*10^-2)*9.81)^(1/2)</f>
        <v>7.1243087117233248</v>
      </c>
      <c r="I125" s="24">
        <v>4.5</v>
      </c>
      <c r="J125" s="13">
        <v>0.73</v>
      </c>
      <c r="K125" s="20">
        <f t="shared" ref="K125:K131" si="45">(10.33+M125-0.234)/((E125^2)/19.62)</f>
        <v>36.18002905364478</v>
      </c>
      <c r="M125" s="4">
        <f>-(1.7*J125^2)/19.62</f>
        <v>-4.6173802242609578E-2</v>
      </c>
    </row>
    <row r="126" spans="2:13" x14ac:dyDescent="0.3">
      <c r="B126" s="33" t="s">
        <v>7</v>
      </c>
      <c r="C126" s="24">
        <v>3.6</v>
      </c>
      <c r="D126" s="15">
        <v>7.7104226310000001</v>
      </c>
      <c r="E126" s="13">
        <f t="shared" si="44"/>
        <v>4.6690047644419455</v>
      </c>
      <c r="F126" s="12">
        <v>7.0444000000000004</v>
      </c>
      <c r="G126" s="23">
        <v>1.262839E-3</v>
      </c>
      <c r="H126" s="27">
        <f t="shared" ref="H126:H131" si="46">E126/((D126*10^-4)/(F126*10^-2)*9.81)^(1/2)</f>
        <v>14.24861742344665</v>
      </c>
      <c r="I126" s="24">
        <v>4.5</v>
      </c>
      <c r="J126" s="13">
        <v>3.14</v>
      </c>
      <c r="K126" s="20">
        <f t="shared" si="45"/>
        <v>8.3176826332936589</v>
      </c>
      <c r="M126" s="4">
        <f t="shared" ref="M126:M131" si="47">-(1.7*J126^2)/19.62</f>
        <v>-0.8542976554536188</v>
      </c>
    </row>
    <row r="127" spans="2:13" x14ac:dyDescent="0.3">
      <c r="B127" s="33" t="s">
        <v>8</v>
      </c>
      <c r="C127" s="24">
        <v>5.4</v>
      </c>
      <c r="D127" s="15">
        <v>7.7104226310000001</v>
      </c>
      <c r="E127" s="13">
        <f t="shared" si="44"/>
        <v>7.0035071466629182</v>
      </c>
      <c r="F127" s="12">
        <v>7.0444000000000004</v>
      </c>
      <c r="G127" s="23">
        <v>1.262839E-3</v>
      </c>
      <c r="H127" s="27">
        <f t="shared" si="46"/>
        <v>21.372926135169976</v>
      </c>
      <c r="I127" s="24">
        <v>4.5</v>
      </c>
      <c r="J127" s="13">
        <v>6.34</v>
      </c>
      <c r="K127" s="20">
        <f t="shared" si="45"/>
        <v>2.6453281980976668</v>
      </c>
      <c r="M127" s="4">
        <f t="shared" si="47"/>
        <v>-3.4827991845056063</v>
      </c>
    </row>
    <row r="128" spans="2:13" x14ac:dyDescent="0.3">
      <c r="B128" s="33" t="s">
        <v>9</v>
      </c>
      <c r="C128" s="24">
        <v>7.2</v>
      </c>
      <c r="D128" s="15">
        <v>7.7104226310000001</v>
      </c>
      <c r="E128" s="13">
        <f t="shared" si="44"/>
        <v>9.3380095288838909</v>
      </c>
      <c r="F128" s="12">
        <v>7.0444000000000004</v>
      </c>
      <c r="G128" s="23">
        <v>1.262839E-3</v>
      </c>
      <c r="H128" s="27">
        <f t="shared" si="46"/>
        <v>28.497234846893299</v>
      </c>
      <c r="I128" s="24">
        <v>4.5</v>
      </c>
      <c r="J128" s="13">
        <v>11.7</v>
      </c>
      <c r="K128" s="20">
        <f t="shared" si="45"/>
        <v>-0.39713425106797412</v>
      </c>
      <c r="M128" s="4">
        <f t="shared" si="47"/>
        <v>-11.861009174311924</v>
      </c>
    </row>
    <row r="129" spans="2:13" x14ac:dyDescent="0.3">
      <c r="B129" s="33" t="s">
        <v>10</v>
      </c>
      <c r="C129" s="24">
        <v>9</v>
      </c>
      <c r="D129" s="15">
        <v>7.7104226310000001</v>
      </c>
      <c r="E129" s="13">
        <f t="shared" si="44"/>
        <v>11.672511911104865</v>
      </c>
      <c r="F129" s="12">
        <v>7.0444000000000004</v>
      </c>
      <c r="G129" s="23">
        <v>1.262839E-3</v>
      </c>
      <c r="H129" s="27">
        <f t="shared" si="46"/>
        <v>35.621543558616629</v>
      </c>
      <c r="I129" s="24">
        <v>4.5</v>
      </c>
      <c r="J129" s="13">
        <v>18.690000000000001</v>
      </c>
      <c r="K129" s="20">
        <f t="shared" si="45"/>
        <v>-2.9046679779566791</v>
      </c>
      <c r="M129" s="4">
        <f t="shared" si="47"/>
        <v>-30.266940366972481</v>
      </c>
    </row>
    <row r="130" spans="2:13" x14ac:dyDescent="0.3">
      <c r="B130" s="33" t="s">
        <v>11</v>
      </c>
      <c r="C130" s="24">
        <v>10.8</v>
      </c>
      <c r="D130" s="15">
        <v>7.7104226310000001</v>
      </c>
      <c r="E130" s="13">
        <f t="shared" si="44"/>
        <v>14.007014293325836</v>
      </c>
      <c r="F130" s="12">
        <v>7.0444000000000004</v>
      </c>
      <c r="G130" s="23">
        <v>1.262839E-3</v>
      </c>
      <c r="H130" s="27">
        <f t="shared" si="46"/>
        <v>42.745852270339952</v>
      </c>
      <c r="I130" s="24">
        <v>4.5</v>
      </c>
      <c r="J130" s="13">
        <v>22.37</v>
      </c>
      <c r="K130" s="20">
        <f t="shared" si="45"/>
        <v>-3.3263864455811736</v>
      </c>
      <c r="M130" s="4">
        <f t="shared" si="47"/>
        <v>-43.359262487257901</v>
      </c>
    </row>
    <row r="131" spans="2:13" x14ac:dyDescent="0.3">
      <c r="B131" s="33" t="s">
        <v>12</v>
      </c>
      <c r="C131" s="24">
        <v>12.8</v>
      </c>
      <c r="D131" s="15">
        <v>7.7104226310000001</v>
      </c>
      <c r="E131" s="13">
        <f t="shared" si="44"/>
        <v>16.600905829126919</v>
      </c>
      <c r="F131" s="12">
        <v>7.0444000000000004</v>
      </c>
      <c r="G131" s="23">
        <v>1.262839E-3</v>
      </c>
      <c r="H131" s="27">
        <f t="shared" si="46"/>
        <v>50.661750838921428</v>
      </c>
      <c r="I131" s="24">
        <v>4.5</v>
      </c>
      <c r="J131" s="13">
        <v>28.71</v>
      </c>
      <c r="K131" s="20">
        <f t="shared" si="45"/>
        <v>-4.3657793294932556</v>
      </c>
      <c r="M131" s="4">
        <f t="shared" si="47"/>
        <v>-71.419417431192656</v>
      </c>
    </row>
    <row r="132" spans="2:13" x14ac:dyDescent="0.3">
      <c r="B132" s="34"/>
      <c r="C132" s="21"/>
      <c r="D132" s="18"/>
      <c r="E132" s="17"/>
      <c r="F132" s="19"/>
      <c r="G132" s="19"/>
      <c r="H132" s="28"/>
      <c r="I132" s="21"/>
      <c r="J132" s="17"/>
      <c r="K132" s="14"/>
    </row>
    <row r="133" spans="2:13" x14ac:dyDescent="0.3">
      <c r="B133" s="25" t="s">
        <v>50</v>
      </c>
      <c r="C133" s="25"/>
      <c r="D133" s="25"/>
      <c r="E133" s="25"/>
      <c r="F133" s="25"/>
      <c r="G133" s="25"/>
      <c r="H133" s="25"/>
      <c r="I133" s="25"/>
      <c r="J133" s="25"/>
      <c r="K133" s="25"/>
    </row>
    <row r="134" spans="2:13" ht="18" x14ac:dyDescent="0.3">
      <c r="B134" s="33"/>
      <c r="C134" s="22" t="s">
        <v>18</v>
      </c>
      <c r="D134" s="8" t="s">
        <v>19</v>
      </c>
      <c r="E134" s="10" t="s">
        <v>20</v>
      </c>
      <c r="F134" s="9" t="s">
        <v>26</v>
      </c>
      <c r="G134" s="10" t="s">
        <v>16</v>
      </c>
      <c r="H134" s="26" t="s">
        <v>0</v>
      </c>
      <c r="I134" s="6" t="s">
        <v>22</v>
      </c>
      <c r="J134" s="10" t="s">
        <v>23</v>
      </c>
      <c r="K134" s="11" t="s">
        <v>14</v>
      </c>
      <c r="M134" s="4" t="s">
        <v>24</v>
      </c>
    </row>
    <row r="135" spans="2:13" ht="16.8" x14ac:dyDescent="0.3">
      <c r="B135" s="33" t="s">
        <v>1</v>
      </c>
      <c r="C135" s="22"/>
      <c r="D135" s="8" t="s">
        <v>25</v>
      </c>
      <c r="E135" s="10" t="s">
        <v>2</v>
      </c>
      <c r="F135" s="9" t="s">
        <v>3</v>
      </c>
      <c r="G135" s="10" t="s">
        <v>4</v>
      </c>
      <c r="H135" s="26" t="s">
        <v>4</v>
      </c>
      <c r="I135" s="6" t="s">
        <v>5</v>
      </c>
      <c r="J135" s="10" t="s">
        <v>2</v>
      </c>
      <c r="K135" s="11" t="s">
        <v>4</v>
      </c>
      <c r="M135" s="4" t="s">
        <v>15</v>
      </c>
    </row>
    <row r="136" spans="2:13" x14ac:dyDescent="0.3">
      <c r="B136" s="33" t="s">
        <v>6</v>
      </c>
      <c r="C136" s="24">
        <v>2.5</v>
      </c>
      <c r="D136" s="15">
        <v>15.422011619999999</v>
      </c>
      <c r="E136" s="12">
        <f t="shared" ref="E136:E142" si="48">(C136*10^-3)/(D136*10^-4)</f>
        <v>1.621059600783779</v>
      </c>
      <c r="F136" s="12">
        <v>7.6656000000000004</v>
      </c>
      <c r="G136" s="23">
        <v>9.1083629999999995E-3</v>
      </c>
      <c r="H136" s="27">
        <f>E136/((D136*10^-4)/(F136*10^-2)*9.81)^(1/2)</f>
        <v>3.6489426924427844</v>
      </c>
      <c r="I136" s="24">
        <v>3</v>
      </c>
      <c r="J136" s="13">
        <v>0</v>
      </c>
      <c r="K136" s="20">
        <f t="shared" ref="K136:K142" si="49">(10.33+M136-0.234)/((E136^2)/19.62)</f>
        <v>75.379001381404876</v>
      </c>
      <c r="M136" s="4">
        <f>-(1.7*J136^2)/19.62</f>
        <v>0</v>
      </c>
    </row>
    <row r="137" spans="2:13" x14ac:dyDescent="0.3">
      <c r="B137" s="33" t="s">
        <v>7</v>
      </c>
      <c r="C137" s="24">
        <v>5</v>
      </c>
      <c r="D137" s="15">
        <v>15.422011619999999</v>
      </c>
      <c r="E137" s="12">
        <f t="shared" si="48"/>
        <v>3.242119201567558</v>
      </c>
      <c r="F137" s="12">
        <v>7.6656000000000004</v>
      </c>
      <c r="G137" s="23">
        <v>9.1083629999999995E-3</v>
      </c>
      <c r="H137" s="27">
        <f t="shared" ref="H137:H142" si="50">E137/((D137*10^-4)/(F137*10^-2)*9.81)^(1/2)</f>
        <v>7.2978853848855687</v>
      </c>
      <c r="I137" s="24">
        <v>4.5</v>
      </c>
      <c r="J137" s="13">
        <v>1.49</v>
      </c>
      <c r="K137" s="20">
        <f t="shared" si="49"/>
        <v>18.4856932596789</v>
      </c>
      <c r="M137" s="4">
        <f t="shared" ref="M137:M142" si="51">-(1.7*J137^2)/19.62</f>
        <v>-0.19236340468909274</v>
      </c>
    </row>
    <row r="138" spans="2:13" x14ac:dyDescent="0.3">
      <c r="B138" s="33" t="s">
        <v>8</v>
      </c>
      <c r="C138" s="24">
        <v>7.5</v>
      </c>
      <c r="D138" s="15">
        <v>15.422011619999999</v>
      </c>
      <c r="E138" s="12">
        <f t="shared" si="48"/>
        <v>4.8631788023513369</v>
      </c>
      <c r="F138" s="12">
        <v>7.6656000000000004</v>
      </c>
      <c r="G138" s="23">
        <v>9.1083629999999995E-3</v>
      </c>
      <c r="H138" s="27">
        <f t="shared" si="50"/>
        <v>10.946828077328352</v>
      </c>
      <c r="I138" s="24">
        <v>4.5</v>
      </c>
      <c r="J138" s="13">
        <v>3.11</v>
      </c>
      <c r="K138" s="20">
        <f t="shared" si="49"/>
        <v>7.6802134445161183</v>
      </c>
      <c r="M138" s="4">
        <f t="shared" si="51"/>
        <v>-0.83805147808358793</v>
      </c>
    </row>
    <row r="139" spans="2:13" x14ac:dyDescent="0.3">
      <c r="B139" s="33" t="s">
        <v>9</v>
      </c>
      <c r="C139" s="24">
        <v>10</v>
      </c>
      <c r="D139" s="15">
        <v>15.422011619999999</v>
      </c>
      <c r="E139" s="12">
        <f t="shared" si="48"/>
        <v>6.4842384031351159</v>
      </c>
      <c r="F139" s="12">
        <v>7.6656000000000004</v>
      </c>
      <c r="G139" s="23">
        <v>9.1083629999999995E-3</v>
      </c>
      <c r="H139" s="27">
        <f t="shared" si="50"/>
        <v>14.595770769771137</v>
      </c>
      <c r="I139" s="24">
        <v>4.5</v>
      </c>
      <c r="J139" s="13">
        <v>6.94</v>
      </c>
      <c r="K139" s="20">
        <f t="shared" si="49"/>
        <v>2.7638111335330633</v>
      </c>
      <c r="M139" s="4">
        <f t="shared" si="51"/>
        <v>-4.1731967380224253</v>
      </c>
    </row>
    <row r="140" spans="2:13" x14ac:dyDescent="0.3">
      <c r="B140" s="33" t="s">
        <v>10</v>
      </c>
      <c r="C140" s="24">
        <v>12.5</v>
      </c>
      <c r="D140" s="15">
        <v>15.422011619999999</v>
      </c>
      <c r="E140" s="12">
        <f t="shared" si="48"/>
        <v>8.1052980039188949</v>
      </c>
      <c r="F140" s="12">
        <v>7.6656000000000004</v>
      </c>
      <c r="G140" s="23">
        <v>9.1083629999999995E-3</v>
      </c>
      <c r="H140" s="27">
        <f t="shared" si="50"/>
        <v>18.24471346221392</v>
      </c>
      <c r="I140" s="24">
        <v>4.5</v>
      </c>
      <c r="J140" s="13">
        <v>10.43</v>
      </c>
      <c r="K140" s="20">
        <f t="shared" si="49"/>
        <v>0.20015250358522627</v>
      </c>
      <c r="M140" s="4">
        <f t="shared" si="51"/>
        <v>-9.4258068297655448</v>
      </c>
    </row>
    <row r="141" spans="2:13" x14ac:dyDescent="0.3">
      <c r="B141" s="33" t="s">
        <v>11</v>
      </c>
      <c r="C141" s="24">
        <v>15</v>
      </c>
      <c r="D141" s="15">
        <v>15.422011619999999</v>
      </c>
      <c r="E141" s="12">
        <f t="shared" si="48"/>
        <v>9.7263576047026739</v>
      </c>
      <c r="F141" s="12">
        <v>7.6656000000000004</v>
      </c>
      <c r="G141" s="23">
        <v>9.1083629999999995E-3</v>
      </c>
      <c r="H141" s="27">
        <f t="shared" si="50"/>
        <v>21.893656154656703</v>
      </c>
      <c r="I141" s="24">
        <v>4.5</v>
      </c>
      <c r="J141" s="13">
        <v>13.22</v>
      </c>
      <c r="K141" s="20">
        <f t="shared" si="49"/>
        <v>-1.0467297333903682</v>
      </c>
      <c r="M141" s="4">
        <f t="shared" si="51"/>
        <v>-15.143031600407747</v>
      </c>
    </row>
    <row r="142" spans="2:13" x14ac:dyDescent="0.3">
      <c r="B142" s="33" t="s">
        <v>12</v>
      </c>
      <c r="C142" s="24">
        <v>17.899999999999999</v>
      </c>
      <c r="D142" s="15">
        <v>15.422011619999999</v>
      </c>
      <c r="E142" s="12">
        <f t="shared" si="48"/>
        <v>11.606786741611856</v>
      </c>
      <c r="F142" s="12">
        <v>7.6656000000000004</v>
      </c>
      <c r="G142" s="23">
        <v>9.1083629999999995E-3</v>
      </c>
      <c r="H142" s="27">
        <f t="shared" si="50"/>
        <v>26.126429677890332</v>
      </c>
      <c r="I142" s="24">
        <v>4.5</v>
      </c>
      <c r="J142" s="13">
        <v>19.440000000000001</v>
      </c>
      <c r="K142" s="20">
        <f t="shared" si="49"/>
        <v>-3.2985291818983833</v>
      </c>
      <c r="M142" s="4">
        <f t="shared" si="51"/>
        <v>-32.744807339449544</v>
      </c>
    </row>
    <row r="143" spans="2:13" x14ac:dyDescent="0.3">
      <c r="B143" s="34"/>
      <c r="C143" s="21"/>
      <c r="D143" s="18"/>
      <c r="E143" s="17"/>
      <c r="F143" s="19"/>
      <c r="G143" s="19"/>
      <c r="H143" s="28"/>
      <c r="I143" s="21"/>
      <c r="J143" s="17"/>
      <c r="K143" s="14"/>
    </row>
    <row r="144" spans="2:13" x14ac:dyDescent="0.3">
      <c r="B144" s="25" t="s">
        <v>39</v>
      </c>
      <c r="C144" s="25"/>
      <c r="D144" s="25"/>
      <c r="E144" s="25"/>
      <c r="F144" s="25"/>
      <c r="G144" s="25"/>
      <c r="H144" s="25"/>
      <c r="I144" s="25"/>
      <c r="J144" s="25"/>
      <c r="K144" s="25"/>
    </row>
    <row r="145" spans="2:13" ht="18" x14ac:dyDescent="0.3">
      <c r="B145" s="33"/>
      <c r="C145" s="22" t="s">
        <v>18</v>
      </c>
      <c r="D145" s="8" t="s">
        <v>19</v>
      </c>
      <c r="E145" s="10" t="s">
        <v>20</v>
      </c>
      <c r="F145" s="9" t="s">
        <v>26</v>
      </c>
      <c r="G145" s="10" t="s">
        <v>16</v>
      </c>
      <c r="H145" s="26" t="s">
        <v>0</v>
      </c>
      <c r="I145" s="6" t="s">
        <v>22</v>
      </c>
      <c r="J145" s="10" t="s">
        <v>23</v>
      </c>
      <c r="K145" s="11" t="s">
        <v>14</v>
      </c>
      <c r="M145" s="4" t="s">
        <v>24</v>
      </c>
    </row>
    <row r="146" spans="2:13" ht="16.8" x14ac:dyDescent="0.3">
      <c r="B146" s="33" t="s">
        <v>1</v>
      </c>
      <c r="C146" s="22"/>
      <c r="D146" s="8" t="s">
        <v>25</v>
      </c>
      <c r="E146" s="10" t="s">
        <v>2</v>
      </c>
      <c r="F146" s="9" t="s">
        <v>3</v>
      </c>
      <c r="G146" s="10" t="s">
        <v>4</v>
      </c>
      <c r="H146" s="26" t="s">
        <v>4</v>
      </c>
      <c r="I146" s="6" t="s">
        <v>5</v>
      </c>
      <c r="J146" s="10" t="s">
        <v>2</v>
      </c>
      <c r="K146" s="11" t="s">
        <v>4</v>
      </c>
      <c r="M146" s="4" t="s">
        <v>15</v>
      </c>
    </row>
    <row r="147" spans="2:13" x14ac:dyDescent="0.3">
      <c r="B147" s="33" t="s">
        <v>6</v>
      </c>
      <c r="C147" s="24">
        <v>2.5</v>
      </c>
      <c r="D147" s="15">
        <v>15.422011619999999</v>
      </c>
      <c r="E147" s="12">
        <f t="shared" ref="E147:E153" si="52">(C147*10^-3)/(D147*10^-4)</f>
        <v>1.621059600783779</v>
      </c>
      <c r="F147" s="12">
        <v>7.6656000000000004</v>
      </c>
      <c r="G147" s="23">
        <v>4.5541820000000004E-3</v>
      </c>
      <c r="H147" s="27">
        <f>E147/((D147*10^-4)/(F147*10^-2)*9.81)^(1/2)</f>
        <v>3.6489426924427844</v>
      </c>
      <c r="I147" s="24">
        <v>4.5</v>
      </c>
      <c r="J147" s="13">
        <v>0.52</v>
      </c>
      <c r="K147" s="20">
        <f t="shared" ref="K147:K153" si="53">(10.33+M147-0.234)/((E147^2)/19.62)</f>
        <v>75.204074061075531</v>
      </c>
      <c r="M147" s="4">
        <f>-(1.7*J147^2)/19.62</f>
        <v>-2.3429153924566768E-2</v>
      </c>
    </row>
    <row r="148" spans="2:13" x14ac:dyDescent="0.3">
      <c r="B148" s="33" t="s">
        <v>7</v>
      </c>
      <c r="C148" s="24">
        <v>5</v>
      </c>
      <c r="D148" s="15">
        <v>15.422011619999999</v>
      </c>
      <c r="E148" s="12">
        <f t="shared" si="52"/>
        <v>3.242119201567558</v>
      </c>
      <c r="F148" s="12">
        <v>7.6656000000000004</v>
      </c>
      <c r="G148" s="23">
        <v>4.5541820000000004E-3</v>
      </c>
      <c r="H148" s="27">
        <f t="shared" ref="H148:H153" si="54">E148/((D148*10^-4)/(F148*10^-2)*9.81)^(1/2)</f>
        <v>7.2978853848855687</v>
      </c>
      <c r="I148" s="24">
        <v>4.5</v>
      </c>
      <c r="J148" s="13">
        <v>2.25</v>
      </c>
      <c r="K148" s="20">
        <f t="shared" si="53"/>
        <v>18.025991507363695</v>
      </c>
      <c r="M148" s="4">
        <f t="shared" ref="M148:M153" si="55">-(1.7*J148^2)/19.62</f>
        <v>-0.43864678899082565</v>
      </c>
    </row>
    <row r="149" spans="2:13" x14ac:dyDescent="0.3">
      <c r="B149" s="33" t="s">
        <v>8</v>
      </c>
      <c r="C149" s="24">
        <v>7.5</v>
      </c>
      <c r="D149" s="15">
        <v>15.422011619999999</v>
      </c>
      <c r="E149" s="12">
        <f t="shared" si="52"/>
        <v>4.8631788023513369</v>
      </c>
      <c r="F149" s="12">
        <v>7.6656000000000004</v>
      </c>
      <c r="G149" s="23">
        <v>4.5541820000000004E-3</v>
      </c>
      <c r="H149" s="27">
        <f t="shared" si="54"/>
        <v>10.946828077328352</v>
      </c>
      <c r="I149" s="24">
        <v>4.5</v>
      </c>
      <c r="J149" s="13">
        <v>5.16</v>
      </c>
      <c r="K149" s="20">
        <f t="shared" si="53"/>
        <v>6.461594803324652</v>
      </c>
      <c r="M149" s="4">
        <f t="shared" si="55"/>
        <v>-2.3070091743119265</v>
      </c>
    </row>
    <row r="150" spans="2:13" x14ac:dyDescent="0.3">
      <c r="B150" s="33" t="s">
        <v>9</v>
      </c>
      <c r="C150" s="24">
        <v>10</v>
      </c>
      <c r="D150" s="15">
        <v>15.422011619999999</v>
      </c>
      <c r="E150" s="12">
        <f t="shared" si="52"/>
        <v>6.4842384031351159</v>
      </c>
      <c r="F150" s="12">
        <v>7.6656000000000004</v>
      </c>
      <c r="G150" s="23">
        <v>4.5541820000000004E-3</v>
      </c>
      <c r="H150" s="27">
        <f t="shared" si="54"/>
        <v>14.595770769771137</v>
      </c>
      <c r="I150" s="24">
        <v>4.5</v>
      </c>
      <c r="J150" s="13">
        <v>10.1</v>
      </c>
      <c r="K150" s="20">
        <f t="shared" si="53"/>
        <v>0.58666466964113628</v>
      </c>
      <c r="M150" s="4">
        <f t="shared" si="55"/>
        <v>-8.838786952089702</v>
      </c>
    </row>
    <row r="151" spans="2:13" x14ac:dyDescent="0.3">
      <c r="B151" s="33" t="s">
        <v>10</v>
      </c>
      <c r="C151" s="24">
        <v>12.5</v>
      </c>
      <c r="D151" s="15">
        <v>15.422011619999999</v>
      </c>
      <c r="E151" s="12">
        <f t="shared" si="52"/>
        <v>8.1052980039188949</v>
      </c>
      <c r="F151" s="12">
        <v>7.6656000000000004</v>
      </c>
      <c r="G151" s="23">
        <v>4.5541820000000004E-3</v>
      </c>
      <c r="H151" s="27">
        <f t="shared" si="54"/>
        <v>18.24471346221392</v>
      </c>
      <c r="I151" s="24">
        <v>4.5</v>
      </c>
      <c r="J151" s="13">
        <v>14.94</v>
      </c>
      <c r="K151" s="20">
        <f t="shared" si="53"/>
        <v>-2.7606398908773788</v>
      </c>
      <c r="M151" s="4">
        <f t="shared" si="55"/>
        <v>-19.339761467889907</v>
      </c>
    </row>
    <row r="152" spans="2:13" x14ac:dyDescent="0.3">
      <c r="B152" s="33" t="s">
        <v>11</v>
      </c>
      <c r="C152" s="24">
        <v>15</v>
      </c>
      <c r="D152" s="15">
        <v>15.422011619999999</v>
      </c>
      <c r="E152" s="12">
        <f t="shared" si="52"/>
        <v>9.7263576047026739</v>
      </c>
      <c r="F152" s="12">
        <v>7.6656000000000004</v>
      </c>
      <c r="G152" s="23">
        <v>4.5541820000000004E-3</v>
      </c>
      <c r="H152" s="27">
        <f t="shared" si="54"/>
        <v>21.893656154656703</v>
      </c>
      <c r="I152" s="24">
        <v>4.5</v>
      </c>
      <c r="J152" s="13">
        <v>21.39</v>
      </c>
      <c r="K152" s="20">
        <f t="shared" si="53"/>
        <v>-6.1279978472351644</v>
      </c>
      <c r="M152" s="4">
        <f t="shared" si="55"/>
        <v>-39.643454128440368</v>
      </c>
    </row>
    <row r="153" spans="2:13" x14ac:dyDescent="0.3">
      <c r="B153" s="33" t="s">
        <v>12</v>
      </c>
      <c r="C153" s="24">
        <v>17.8</v>
      </c>
      <c r="D153" s="15">
        <v>15.422011619999999</v>
      </c>
      <c r="E153" s="12">
        <f t="shared" si="52"/>
        <v>11.541944357580507</v>
      </c>
      <c r="F153" s="12">
        <v>7.6656000000000004</v>
      </c>
      <c r="G153" s="23">
        <v>4.5541820000000004E-3</v>
      </c>
      <c r="H153" s="27">
        <f t="shared" si="54"/>
        <v>25.980471970192625</v>
      </c>
      <c r="I153" s="24">
        <v>4.5</v>
      </c>
      <c r="J153" s="13">
        <v>27.12</v>
      </c>
      <c r="K153" s="20">
        <f t="shared" si="53"/>
        <v>-7.8988497783979801</v>
      </c>
      <c r="M153" s="4">
        <f t="shared" si="55"/>
        <v>-63.727853211009176</v>
      </c>
    </row>
    <row r="154" spans="2:13" x14ac:dyDescent="0.3">
      <c r="B154" s="35"/>
      <c r="C154" s="21"/>
      <c r="D154" s="18"/>
      <c r="E154" s="17"/>
      <c r="F154" s="19"/>
      <c r="G154" s="19"/>
      <c r="H154" s="28"/>
      <c r="I154" s="21"/>
      <c r="J154" s="17"/>
      <c r="K154" s="14"/>
    </row>
    <row r="155" spans="2:13" x14ac:dyDescent="0.3">
      <c r="B155" s="25" t="s">
        <v>40</v>
      </c>
      <c r="C155" s="25"/>
      <c r="D155" s="25"/>
      <c r="E155" s="25"/>
      <c r="F155" s="25"/>
      <c r="G155" s="25"/>
      <c r="H155" s="25"/>
      <c r="I155" s="25"/>
      <c r="J155" s="25"/>
      <c r="K155" s="25"/>
    </row>
    <row r="156" spans="2:13" ht="18" x14ac:dyDescent="0.3">
      <c r="B156" s="33"/>
      <c r="C156" s="22" t="s">
        <v>18</v>
      </c>
      <c r="D156" s="8" t="s">
        <v>19</v>
      </c>
      <c r="E156" s="10" t="s">
        <v>20</v>
      </c>
      <c r="F156" s="9" t="s">
        <v>26</v>
      </c>
      <c r="G156" s="10" t="s">
        <v>16</v>
      </c>
      <c r="H156" s="26" t="s">
        <v>0</v>
      </c>
      <c r="I156" s="6" t="s">
        <v>22</v>
      </c>
      <c r="J156" s="10" t="s">
        <v>23</v>
      </c>
      <c r="K156" s="11" t="s">
        <v>14</v>
      </c>
      <c r="M156" s="4" t="s">
        <v>24</v>
      </c>
    </row>
    <row r="157" spans="2:13" ht="16.8" x14ac:dyDescent="0.3">
      <c r="B157" s="33" t="s">
        <v>1</v>
      </c>
      <c r="C157" s="22"/>
      <c r="D157" s="8" t="s">
        <v>25</v>
      </c>
      <c r="E157" s="10" t="s">
        <v>2</v>
      </c>
      <c r="F157" s="9" t="s">
        <v>3</v>
      </c>
      <c r="G157" s="10" t="s">
        <v>4</v>
      </c>
      <c r="H157" s="26" t="s">
        <v>4</v>
      </c>
      <c r="I157" s="6" t="s">
        <v>5</v>
      </c>
      <c r="J157" s="10" t="s">
        <v>2</v>
      </c>
      <c r="K157" s="11" t="s">
        <v>4</v>
      </c>
      <c r="M157" s="4" t="s">
        <v>15</v>
      </c>
    </row>
    <row r="158" spans="2:13" x14ac:dyDescent="0.3">
      <c r="B158" s="33" t="s">
        <v>6</v>
      </c>
      <c r="C158" s="24">
        <v>2.5</v>
      </c>
      <c r="D158" s="15">
        <v>15.422011619999999</v>
      </c>
      <c r="E158" s="12">
        <f t="shared" ref="E158:E164" si="56">(C158*10^-3)/(D158*10^-4)</f>
        <v>1.621059600783779</v>
      </c>
      <c r="F158" s="12">
        <v>7.6656000000000004</v>
      </c>
      <c r="G158" s="23">
        <v>2.2770910000000002E-3</v>
      </c>
      <c r="H158" s="27">
        <f>E158/((D158*10^-4)/(F158*10^-2)*9.81)^(1/2)</f>
        <v>3.6489426924427844</v>
      </c>
      <c r="I158" s="24">
        <v>3</v>
      </c>
      <c r="J158" s="13">
        <v>0</v>
      </c>
      <c r="K158" s="20">
        <f t="shared" ref="K158:K164" si="57">(10.33+M158-0.234)/((E158^2)/19.62)</f>
        <v>75.379001381404876</v>
      </c>
      <c r="M158" s="4">
        <f>-(1.7*J158^2)/19.62</f>
        <v>0</v>
      </c>
    </row>
    <row r="159" spans="2:13" x14ac:dyDescent="0.3">
      <c r="B159" s="33" t="s">
        <v>7</v>
      </c>
      <c r="C159" s="24">
        <v>5</v>
      </c>
      <c r="D159" s="15">
        <v>15.422011619999999</v>
      </c>
      <c r="E159" s="12">
        <f t="shared" si="56"/>
        <v>3.242119201567558</v>
      </c>
      <c r="F159" s="12">
        <v>7.6656000000000004</v>
      </c>
      <c r="G159" s="23">
        <v>2.2770910000000002E-3</v>
      </c>
      <c r="H159" s="27">
        <f t="shared" ref="H159:H164" si="58">E159/((D159*10^-4)/(F159*10^-2)*9.81)^(1/2)</f>
        <v>7.2978853848855687</v>
      </c>
      <c r="I159" s="24">
        <v>4.5</v>
      </c>
      <c r="J159" s="13">
        <v>2.64</v>
      </c>
      <c r="K159" s="20">
        <f t="shared" si="57"/>
        <v>17.717555955773371</v>
      </c>
      <c r="M159" s="4">
        <f t="shared" ref="M159:M164" si="59">-(1.7*J159^2)/19.62</f>
        <v>-0.60388990825688071</v>
      </c>
    </row>
    <row r="160" spans="2:13" x14ac:dyDescent="0.3">
      <c r="B160" s="33" t="s">
        <v>8</v>
      </c>
      <c r="C160" s="24">
        <v>7.5</v>
      </c>
      <c r="D160" s="15">
        <v>15.422011619999999</v>
      </c>
      <c r="E160" s="12">
        <f t="shared" si="56"/>
        <v>4.8631788023513369</v>
      </c>
      <c r="F160" s="12">
        <v>7.6656000000000004</v>
      </c>
      <c r="G160" s="23">
        <v>2.2770910000000002E-3</v>
      </c>
      <c r="H160" s="27">
        <f t="shared" si="58"/>
        <v>10.946828077328352</v>
      </c>
      <c r="I160" s="24">
        <v>4.5</v>
      </c>
      <c r="J160" s="13">
        <v>6.18</v>
      </c>
      <c r="K160" s="20">
        <f t="shared" si="57"/>
        <v>5.6301724953095862</v>
      </c>
      <c r="M160" s="4">
        <f t="shared" si="59"/>
        <v>-3.3092293577981651</v>
      </c>
    </row>
    <row r="161" spans="2:13" x14ac:dyDescent="0.3">
      <c r="B161" s="33" t="s">
        <v>9</v>
      </c>
      <c r="C161" s="24">
        <v>10</v>
      </c>
      <c r="D161" s="15">
        <v>15.422011619999999</v>
      </c>
      <c r="E161" s="12">
        <f t="shared" si="56"/>
        <v>6.4842384031351159</v>
      </c>
      <c r="F161" s="12">
        <v>7.6656000000000004</v>
      </c>
      <c r="G161" s="23">
        <v>2.2770910000000002E-3</v>
      </c>
      <c r="H161" s="27">
        <f t="shared" si="58"/>
        <v>14.595770769771137</v>
      </c>
      <c r="I161" s="24">
        <v>4.5</v>
      </c>
      <c r="J161" s="13">
        <v>10.37</v>
      </c>
      <c r="K161" s="20">
        <f t="shared" si="57"/>
        <v>0.36319809079307375</v>
      </c>
      <c r="M161" s="4">
        <f t="shared" si="59"/>
        <v>-9.3176722731906203</v>
      </c>
    </row>
    <row r="162" spans="2:13" x14ac:dyDescent="0.3">
      <c r="B162" s="33" t="s">
        <v>10</v>
      </c>
      <c r="C162" s="24">
        <v>12.5</v>
      </c>
      <c r="D162" s="15">
        <v>15.422011619999999</v>
      </c>
      <c r="E162" s="12">
        <f t="shared" si="56"/>
        <v>8.1052980039188949</v>
      </c>
      <c r="F162" s="12">
        <v>7.6656000000000004</v>
      </c>
      <c r="G162" s="23">
        <v>2.2770910000000002E-3</v>
      </c>
      <c r="H162" s="27">
        <f t="shared" si="58"/>
        <v>18.24471346221392</v>
      </c>
      <c r="I162" s="24">
        <v>4.5</v>
      </c>
      <c r="J162" s="13">
        <v>15.3</v>
      </c>
      <c r="K162" s="20">
        <f t="shared" si="57"/>
        <v>-3.042345331710719</v>
      </c>
      <c r="M162" s="4">
        <f t="shared" si="59"/>
        <v>-20.283027522935779</v>
      </c>
    </row>
    <row r="163" spans="2:13" x14ac:dyDescent="0.3">
      <c r="B163" s="33" t="s">
        <v>11</v>
      </c>
      <c r="C163" s="24">
        <v>15</v>
      </c>
      <c r="D163" s="15">
        <v>15.422011619999999</v>
      </c>
      <c r="E163" s="12">
        <f t="shared" si="56"/>
        <v>9.7263576047026739</v>
      </c>
      <c r="F163" s="12">
        <v>7.6656000000000004</v>
      </c>
      <c r="G163" s="23">
        <v>2.2770910000000002E-3</v>
      </c>
      <c r="H163" s="27">
        <f t="shared" si="58"/>
        <v>21.893656154656703</v>
      </c>
      <c r="I163" s="24">
        <v>4.5</v>
      </c>
      <c r="J163" s="13">
        <v>22.47</v>
      </c>
      <c r="K163" s="20">
        <f t="shared" si="57"/>
        <v>-6.9792159244886829</v>
      </c>
      <c r="M163" s="4">
        <f t="shared" si="59"/>
        <v>-43.747784403669712</v>
      </c>
    </row>
    <row r="164" spans="2:13" x14ac:dyDescent="0.3">
      <c r="B164" s="33" t="s">
        <v>12</v>
      </c>
      <c r="C164" s="24">
        <v>17.8</v>
      </c>
      <c r="D164" s="15">
        <v>15.422011619999999</v>
      </c>
      <c r="E164" s="12">
        <f t="shared" si="56"/>
        <v>11.541944357580507</v>
      </c>
      <c r="F164" s="12">
        <v>7.6656000000000004</v>
      </c>
      <c r="G164" s="23">
        <v>2.2770910000000002E-3</v>
      </c>
      <c r="H164" s="27">
        <f t="shared" si="58"/>
        <v>25.980471970192625</v>
      </c>
      <c r="I164" s="24">
        <v>4.5</v>
      </c>
      <c r="J164" s="13">
        <v>27.36</v>
      </c>
      <c r="K164" s="20">
        <f t="shared" si="57"/>
        <v>-8.0657048107070697</v>
      </c>
      <c r="M164" s="4">
        <f t="shared" si="59"/>
        <v>-64.860770642201828</v>
      </c>
    </row>
    <row r="165" spans="2:13" x14ac:dyDescent="0.3">
      <c r="B165" s="35"/>
      <c r="C165" s="21"/>
      <c r="D165" s="18"/>
      <c r="E165" s="17"/>
      <c r="F165" s="19"/>
      <c r="G165" s="19"/>
      <c r="H165" s="28"/>
      <c r="I165" s="21"/>
      <c r="J165" s="17"/>
      <c r="K165" s="14"/>
    </row>
    <row r="166" spans="2:13" x14ac:dyDescent="0.3">
      <c r="B166" s="25" t="s">
        <v>41</v>
      </c>
      <c r="C166" s="25"/>
      <c r="D166" s="25"/>
      <c r="E166" s="25"/>
      <c r="F166" s="25"/>
      <c r="G166" s="25"/>
      <c r="H166" s="25"/>
      <c r="I166" s="25"/>
      <c r="J166" s="25"/>
      <c r="K166" s="25"/>
    </row>
    <row r="167" spans="2:13" ht="18" x14ac:dyDescent="0.3">
      <c r="B167" s="33"/>
      <c r="C167" s="22" t="s">
        <v>18</v>
      </c>
      <c r="D167" s="8" t="s">
        <v>19</v>
      </c>
      <c r="E167" s="10" t="s">
        <v>20</v>
      </c>
      <c r="F167" s="9" t="s">
        <v>26</v>
      </c>
      <c r="G167" s="10" t="s">
        <v>16</v>
      </c>
      <c r="H167" s="26" t="s">
        <v>0</v>
      </c>
      <c r="I167" s="6" t="s">
        <v>22</v>
      </c>
      <c r="J167" s="10" t="s">
        <v>23</v>
      </c>
      <c r="K167" s="11" t="s">
        <v>14</v>
      </c>
      <c r="M167" s="4" t="s">
        <v>24</v>
      </c>
    </row>
    <row r="168" spans="2:13" ht="16.8" x14ac:dyDescent="0.3">
      <c r="B168" s="33" t="s">
        <v>1</v>
      </c>
      <c r="C168" s="22"/>
      <c r="D168" s="8" t="s">
        <v>25</v>
      </c>
      <c r="E168" s="10" t="s">
        <v>2</v>
      </c>
      <c r="F168" s="9" t="s">
        <v>3</v>
      </c>
      <c r="G168" s="10" t="s">
        <v>4</v>
      </c>
      <c r="H168" s="26" t="s">
        <v>4</v>
      </c>
      <c r="I168" s="6" t="s">
        <v>5</v>
      </c>
      <c r="J168" s="10" t="s">
        <v>2</v>
      </c>
      <c r="K168" s="11" t="s">
        <v>4</v>
      </c>
      <c r="M168" s="4" t="s">
        <v>15</v>
      </c>
    </row>
    <row r="169" spans="2:13" x14ac:dyDescent="0.3">
      <c r="B169" s="33" t="s">
        <v>6</v>
      </c>
      <c r="C169" s="24">
        <v>2.5</v>
      </c>
      <c r="D169" s="15">
        <v>15.422011619999999</v>
      </c>
      <c r="E169" s="12">
        <f t="shared" ref="E169:E175" si="60">(C169*10^-3)/(D169*10^-4)</f>
        <v>1.621059600783779</v>
      </c>
      <c r="F169" s="12">
        <v>7.6656000000000004</v>
      </c>
      <c r="G169" s="23">
        <v>1.518061E-3</v>
      </c>
      <c r="H169" s="27">
        <f>E169/((D169*10^-4)/(F169*10^-2)*9.81)^(1/2)</f>
        <v>3.6489426924427844</v>
      </c>
      <c r="I169" s="24">
        <v>3</v>
      </c>
      <c r="J169" s="13">
        <v>0</v>
      </c>
      <c r="K169" s="20">
        <f t="shared" ref="K169:K175" si="61">(10.33+M169-0.234)/((E169^2)/19.62)</f>
        <v>75.379001381404876</v>
      </c>
      <c r="M169" s="4">
        <f>-(1.7*J169^2)/19.62</f>
        <v>0</v>
      </c>
    </row>
    <row r="170" spans="2:13" x14ac:dyDescent="0.3">
      <c r="B170" s="33" t="s">
        <v>7</v>
      </c>
      <c r="C170" s="24">
        <v>5</v>
      </c>
      <c r="D170" s="15">
        <v>15.422011619999999</v>
      </c>
      <c r="E170" s="12">
        <f t="shared" si="60"/>
        <v>3.242119201567558</v>
      </c>
      <c r="F170" s="12">
        <v>7.6656000000000004</v>
      </c>
      <c r="G170" s="23">
        <v>1.518061E-3</v>
      </c>
      <c r="H170" s="27">
        <f t="shared" ref="H170:H175" si="62">E170/((D170*10^-4)/(F170*10^-2)*9.81)^(1/2)</f>
        <v>7.2978853848855687</v>
      </c>
      <c r="I170" s="24">
        <v>4.5</v>
      </c>
      <c r="J170" s="13">
        <v>2.3199999999999998</v>
      </c>
      <c r="K170" s="20">
        <f t="shared" si="61"/>
        <v>17.974254035309922</v>
      </c>
      <c r="M170" s="4">
        <f t="shared" ref="M170:M175" si="63">-(1.7*J170^2)/19.62</f>
        <v>-0.46636493374108046</v>
      </c>
    </row>
    <row r="171" spans="2:13" x14ac:dyDescent="0.3">
      <c r="B171" s="33" t="s">
        <v>8</v>
      </c>
      <c r="C171" s="24">
        <v>7.5</v>
      </c>
      <c r="D171" s="15">
        <v>15.422011619999999</v>
      </c>
      <c r="E171" s="12">
        <f t="shared" si="60"/>
        <v>4.8631788023513369</v>
      </c>
      <c r="F171" s="12">
        <v>7.6656000000000004</v>
      </c>
      <c r="G171" s="23">
        <v>1.518061E-3</v>
      </c>
      <c r="H171" s="27">
        <f t="shared" si="62"/>
        <v>10.946828077328352</v>
      </c>
      <c r="I171" s="24">
        <v>4.5</v>
      </c>
      <c r="J171" s="13">
        <v>6.02</v>
      </c>
      <c r="K171" s="20">
        <f t="shared" si="61"/>
        <v>5.7704823774935443</v>
      </c>
      <c r="M171" s="4">
        <f t="shared" si="63"/>
        <v>-3.1400958205912324</v>
      </c>
    </row>
    <row r="172" spans="2:13" x14ac:dyDescent="0.3">
      <c r="B172" s="33" t="s">
        <v>9</v>
      </c>
      <c r="C172" s="24">
        <v>10</v>
      </c>
      <c r="D172" s="15">
        <v>15.422011619999999</v>
      </c>
      <c r="E172" s="12">
        <f t="shared" si="60"/>
        <v>6.4842384031351159</v>
      </c>
      <c r="F172" s="12">
        <v>7.6656000000000004</v>
      </c>
      <c r="G172" s="23">
        <v>1.518061E-3</v>
      </c>
      <c r="H172" s="27">
        <f t="shared" si="62"/>
        <v>14.595770769771137</v>
      </c>
      <c r="I172" s="24">
        <v>4.5</v>
      </c>
      <c r="J172" s="13">
        <v>11.29</v>
      </c>
      <c r="K172" s="20">
        <f t="shared" si="61"/>
        <v>-0.44250912482890353</v>
      </c>
      <c r="M172" s="4">
        <f t="shared" si="63"/>
        <v>-11.044290010193679</v>
      </c>
    </row>
    <row r="173" spans="2:13" x14ac:dyDescent="0.3">
      <c r="B173" s="33" t="s">
        <v>10</v>
      </c>
      <c r="C173" s="24">
        <v>12.5</v>
      </c>
      <c r="D173" s="15">
        <v>15.422011619999999</v>
      </c>
      <c r="E173" s="12">
        <f t="shared" si="60"/>
        <v>8.1052980039188949</v>
      </c>
      <c r="F173" s="12">
        <v>7.6656000000000004</v>
      </c>
      <c r="G173" s="23">
        <v>1.518061E-3</v>
      </c>
      <c r="H173" s="27">
        <f t="shared" si="62"/>
        <v>18.24471346221392</v>
      </c>
      <c r="I173" s="24">
        <v>4.5</v>
      </c>
      <c r="J173" s="13">
        <v>14.82</v>
      </c>
      <c r="K173" s="20">
        <f t="shared" si="61"/>
        <v>-2.6682285822442195</v>
      </c>
      <c r="M173" s="4">
        <f t="shared" si="63"/>
        <v>-19.030330275229357</v>
      </c>
    </row>
    <row r="174" spans="2:13" x14ac:dyDescent="0.3">
      <c r="B174" s="33" t="s">
        <v>11</v>
      </c>
      <c r="C174" s="24">
        <v>15</v>
      </c>
      <c r="D174" s="15">
        <v>15.422011619999999</v>
      </c>
      <c r="E174" s="12">
        <f t="shared" si="60"/>
        <v>9.7263576047026739</v>
      </c>
      <c r="F174" s="12">
        <v>7.6656000000000004</v>
      </c>
      <c r="G174" s="23">
        <v>1.518061E-3</v>
      </c>
      <c r="H174" s="27">
        <f t="shared" si="62"/>
        <v>21.893656154656703</v>
      </c>
      <c r="I174" s="24">
        <v>4.5</v>
      </c>
      <c r="J174" s="13">
        <v>16.16</v>
      </c>
      <c r="K174" s="20">
        <f t="shared" si="61"/>
        <v>-2.5989293690691864</v>
      </c>
      <c r="M174" s="4">
        <f t="shared" si="63"/>
        <v>-22.627294597349643</v>
      </c>
    </row>
    <row r="175" spans="2:13" x14ac:dyDescent="0.3">
      <c r="B175" s="33" t="s">
        <v>12</v>
      </c>
      <c r="C175" s="24">
        <v>17.8</v>
      </c>
      <c r="D175" s="15">
        <v>15.422011619999999</v>
      </c>
      <c r="E175" s="12">
        <f t="shared" si="60"/>
        <v>11.541944357580507</v>
      </c>
      <c r="F175" s="12">
        <v>7.6656000000000004</v>
      </c>
      <c r="G175" s="23">
        <v>1.518061E-3</v>
      </c>
      <c r="H175" s="27">
        <f t="shared" si="62"/>
        <v>25.980471970192625</v>
      </c>
      <c r="I175" s="24">
        <v>4.5</v>
      </c>
      <c r="J175" s="13">
        <v>21.61</v>
      </c>
      <c r="K175" s="20">
        <f t="shared" si="61"/>
        <v>-4.4724425386184574</v>
      </c>
      <c r="M175" s="4">
        <f t="shared" si="63"/>
        <v>-40.463127930682973</v>
      </c>
    </row>
    <row r="176" spans="2:13" x14ac:dyDescent="0.3">
      <c r="B176" s="34"/>
      <c r="C176" s="21"/>
      <c r="D176" s="18"/>
      <c r="E176" s="17"/>
      <c r="F176" s="19"/>
      <c r="G176" s="19"/>
      <c r="H176" s="28"/>
      <c r="I176" s="21"/>
      <c r="J176" s="17"/>
      <c r="K176" s="14"/>
    </row>
    <row r="177" spans="2:13" x14ac:dyDescent="0.3">
      <c r="B177" s="25" t="s">
        <v>42</v>
      </c>
      <c r="C177" s="25"/>
      <c r="D177" s="25"/>
      <c r="E177" s="25"/>
      <c r="F177" s="25"/>
      <c r="G177" s="25"/>
      <c r="H177" s="25"/>
      <c r="I177" s="25"/>
      <c r="J177" s="25"/>
      <c r="K177" s="25"/>
    </row>
    <row r="178" spans="2:13" ht="18" x14ac:dyDescent="0.3">
      <c r="B178" s="33"/>
      <c r="C178" s="22" t="s">
        <v>18</v>
      </c>
      <c r="D178" s="8" t="s">
        <v>19</v>
      </c>
      <c r="E178" s="10" t="s">
        <v>20</v>
      </c>
      <c r="F178" s="9" t="s">
        <v>26</v>
      </c>
      <c r="G178" s="10" t="s">
        <v>16</v>
      </c>
      <c r="H178" s="26" t="s">
        <v>0</v>
      </c>
      <c r="I178" s="6" t="s">
        <v>22</v>
      </c>
      <c r="J178" s="10" t="s">
        <v>23</v>
      </c>
      <c r="K178" s="11" t="s">
        <v>14</v>
      </c>
      <c r="M178" s="4" t="s">
        <v>24</v>
      </c>
    </row>
    <row r="179" spans="2:13" ht="16.8" x14ac:dyDescent="0.3">
      <c r="B179" s="33" t="s">
        <v>1</v>
      </c>
      <c r="C179" s="22"/>
      <c r="D179" s="8" t="s">
        <v>25</v>
      </c>
      <c r="E179" s="10" t="s">
        <v>2</v>
      </c>
      <c r="F179" s="9" t="s">
        <v>3</v>
      </c>
      <c r="G179" s="10" t="s">
        <v>4</v>
      </c>
      <c r="H179" s="26" t="s">
        <v>4</v>
      </c>
      <c r="I179" s="6" t="s">
        <v>5</v>
      </c>
      <c r="J179" s="10" t="s">
        <v>2</v>
      </c>
      <c r="K179" s="11" t="s">
        <v>4</v>
      </c>
      <c r="M179" s="4" t="s">
        <v>15</v>
      </c>
    </row>
    <row r="180" spans="2:13" x14ac:dyDescent="0.3">
      <c r="B180" s="33" t="s">
        <v>6</v>
      </c>
      <c r="C180" s="24">
        <v>3.2</v>
      </c>
      <c r="D180" s="15">
        <v>20.561469760000001</v>
      </c>
      <c r="E180" s="13">
        <f t="shared" ref="E180:E186" si="64">(C180*10^-3)/(D180*10^-4)</f>
        <v>1.5563089785659368</v>
      </c>
      <c r="F180" s="12">
        <v>7.9885999999999999</v>
      </c>
      <c r="G180" s="23">
        <v>1.0389860000000001E-2</v>
      </c>
      <c r="H180" s="27">
        <f>E180/((D180*10^-4)/(F180*10^-2)*9.81)^(1/2)</f>
        <v>3.0972023463023919</v>
      </c>
      <c r="I180" s="24">
        <v>3</v>
      </c>
      <c r="J180" s="13">
        <v>0</v>
      </c>
      <c r="K180" s="20">
        <f t="shared" ref="K180:K186" si="65">(10.33+M180-0.234)/((E180^2)/19.62)</f>
        <v>81.781806395124647</v>
      </c>
      <c r="M180" s="4">
        <f>-(1.7*J180^2)/19.62</f>
        <v>0</v>
      </c>
    </row>
    <row r="181" spans="2:13" x14ac:dyDescent="0.3">
      <c r="B181" s="33" t="s">
        <v>7</v>
      </c>
      <c r="C181" s="24">
        <v>6.4</v>
      </c>
      <c r="D181" s="15">
        <v>20.561469760000001</v>
      </c>
      <c r="E181" s="13">
        <f t="shared" si="64"/>
        <v>3.1126179571318735</v>
      </c>
      <c r="F181" s="12">
        <v>7.9885999999999999</v>
      </c>
      <c r="G181" s="23">
        <v>1.0389860000000001E-2</v>
      </c>
      <c r="H181" s="27">
        <f t="shared" ref="H181:H186" si="66">E181/((D181*10^-4)/(F181*10^-2)*9.81)^(1/2)</f>
        <v>6.1944046926047838</v>
      </c>
      <c r="I181" s="24">
        <v>4.5</v>
      </c>
      <c r="J181" s="13">
        <v>1.75</v>
      </c>
      <c r="K181" s="20">
        <f t="shared" si="65"/>
        <v>19.908081642985977</v>
      </c>
      <c r="M181" s="4">
        <f t="shared" ref="M181:M186" si="67">-(1.7*J181^2)/19.62</f>
        <v>-0.26535423037716616</v>
      </c>
    </row>
    <row r="182" spans="2:13" x14ac:dyDescent="0.3">
      <c r="B182" s="33" t="s">
        <v>8</v>
      </c>
      <c r="C182" s="24">
        <v>9.6</v>
      </c>
      <c r="D182" s="15">
        <v>20.561469760000001</v>
      </c>
      <c r="E182" s="13">
        <f t="shared" si="64"/>
        <v>4.6689269356978089</v>
      </c>
      <c r="F182" s="12">
        <v>7.9885999999999999</v>
      </c>
      <c r="G182" s="23">
        <v>1.0389860000000001E-2</v>
      </c>
      <c r="H182" s="27">
        <f t="shared" si="66"/>
        <v>9.2916070389071734</v>
      </c>
      <c r="I182" s="24">
        <v>4.5</v>
      </c>
      <c r="J182" s="13">
        <v>4.4000000000000004</v>
      </c>
      <c r="K182" s="20">
        <f t="shared" si="65"/>
        <v>7.5770649508676753</v>
      </c>
      <c r="M182" s="4">
        <f t="shared" si="67"/>
        <v>-1.6774719673802245</v>
      </c>
    </row>
    <row r="183" spans="2:13" x14ac:dyDescent="0.3">
      <c r="B183" s="33" t="s">
        <v>9</v>
      </c>
      <c r="C183" s="24">
        <v>12.8</v>
      </c>
      <c r="D183" s="15">
        <v>20.561469760000001</v>
      </c>
      <c r="E183" s="13">
        <f t="shared" si="64"/>
        <v>6.225235914263747</v>
      </c>
      <c r="F183" s="12">
        <v>7.9885999999999999</v>
      </c>
      <c r="G183" s="23">
        <v>1.0389860000000001E-2</v>
      </c>
      <c r="H183" s="27">
        <f t="shared" si="66"/>
        <v>12.388809385209568</v>
      </c>
      <c r="I183" s="24">
        <v>4.5</v>
      </c>
      <c r="J183" s="13">
        <v>7.01</v>
      </c>
      <c r="K183" s="20">
        <f t="shared" si="65"/>
        <v>2.9557373188976652</v>
      </c>
      <c r="M183" s="4">
        <f t="shared" si="67"/>
        <v>-4.2578068297655447</v>
      </c>
    </row>
    <row r="184" spans="2:13" x14ac:dyDescent="0.3">
      <c r="B184" s="33" t="s">
        <v>10</v>
      </c>
      <c r="C184" s="24">
        <v>16</v>
      </c>
      <c r="D184" s="15">
        <v>20.561469760000001</v>
      </c>
      <c r="E184" s="13">
        <f t="shared" si="64"/>
        <v>7.7815448928296833</v>
      </c>
      <c r="F184" s="12">
        <v>7.9885999999999999</v>
      </c>
      <c r="G184" s="23">
        <v>1.0389860000000001E-2</v>
      </c>
      <c r="H184" s="27">
        <f t="shared" si="66"/>
        <v>15.48601173151196</v>
      </c>
      <c r="I184" s="24">
        <v>4.5</v>
      </c>
      <c r="J184" s="13">
        <v>11.09</v>
      </c>
      <c r="K184" s="20">
        <f t="shared" si="65"/>
        <v>-0.1815987899593845</v>
      </c>
      <c r="M184" s="4">
        <f t="shared" si="67"/>
        <v>-10.656461264016309</v>
      </c>
    </row>
    <row r="185" spans="2:13" x14ac:dyDescent="0.3">
      <c r="B185" s="33" t="s">
        <v>11</v>
      </c>
      <c r="C185" s="24">
        <v>19.2</v>
      </c>
      <c r="D185" s="15">
        <v>20.561469760000001</v>
      </c>
      <c r="E185" s="13">
        <f t="shared" si="64"/>
        <v>9.3378538713956178</v>
      </c>
      <c r="F185" s="12">
        <v>7.9885999999999999</v>
      </c>
      <c r="G185" s="23">
        <v>1.0389860000000001E-2</v>
      </c>
      <c r="H185" s="27">
        <f t="shared" si="66"/>
        <v>18.583214077814347</v>
      </c>
      <c r="I185" s="24">
        <v>4.5</v>
      </c>
      <c r="J185" s="13">
        <v>15.59</v>
      </c>
      <c r="K185" s="20">
        <f t="shared" si="65"/>
        <v>-2.4668499313137833</v>
      </c>
      <c r="M185" s="4">
        <f t="shared" si="67"/>
        <v>-21.05921355759429</v>
      </c>
    </row>
    <row r="186" spans="2:13" x14ac:dyDescent="0.3">
      <c r="B186" s="33" t="s">
        <v>12</v>
      </c>
      <c r="C186" s="24">
        <v>22.6</v>
      </c>
      <c r="D186" s="15">
        <v>20.561469760000001</v>
      </c>
      <c r="E186" s="13">
        <f t="shared" si="64"/>
        <v>10.991432161121928</v>
      </c>
      <c r="F186" s="12">
        <v>7.9885999999999999</v>
      </c>
      <c r="G186" s="23">
        <v>1.0389860000000001E-2</v>
      </c>
      <c r="H186" s="27">
        <f t="shared" si="66"/>
        <v>21.873991570760644</v>
      </c>
      <c r="I186" s="24">
        <v>4.5</v>
      </c>
      <c r="J186" s="13">
        <v>19.75</v>
      </c>
      <c r="K186" s="20">
        <f t="shared" si="65"/>
        <v>-3.8491568964953773</v>
      </c>
      <c r="M186" s="4">
        <f t="shared" si="67"/>
        <v>-33.797464322120277</v>
      </c>
    </row>
    <row r="187" spans="2:13" x14ac:dyDescent="0.3">
      <c r="B187" s="34"/>
      <c r="C187" s="21"/>
      <c r="D187" s="18"/>
      <c r="E187" s="17"/>
      <c r="F187" s="19"/>
      <c r="G187" s="19"/>
      <c r="H187" s="28"/>
      <c r="I187" s="21"/>
      <c r="J187" s="17"/>
      <c r="K187" s="14"/>
    </row>
    <row r="188" spans="2:13" x14ac:dyDescent="0.3">
      <c r="B188" s="25" t="s">
        <v>43</v>
      </c>
      <c r="C188" s="25"/>
      <c r="D188" s="25"/>
      <c r="E188" s="25"/>
      <c r="F188" s="25"/>
      <c r="G188" s="25"/>
      <c r="H188" s="25"/>
      <c r="I188" s="25"/>
      <c r="J188" s="25"/>
      <c r="K188" s="25"/>
    </row>
    <row r="189" spans="2:13" ht="18" x14ac:dyDescent="0.3">
      <c r="B189" s="33"/>
      <c r="C189" s="22" t="s">
        <v>18</v>
      </c>
      <c r="D189" s="8" t="s">
        <v>19</v>
      </c>
      <c r="E189" s="10" t="s">
        <v>20</v>
      </c>
      <c r="F189" s="9" t="s">
        <v>26</v>
      </c>
      <c r="G189" s="10" t="s">
        <v>16</v>
      </c>
      <c r="H189" s="26" t="s">
        <v>0</v>
      </c>
      <c r="I189" s="6" t="s">
        <v>22</v>
      </c>
      <c r="J189" s="10" t="s">
        <v>23</v>
      </c>
      <c r="K189" s="11" t="s">
        <v>14</v>
      </c>
      <c r="M189" s="4" t="s">
        <v>24</v>
      </c>
    </row>
    <row r="190" spans="2:13" ht="16.8" x14ac:dyDescent="0.3">
      <c r="B190" s="33" t="s">
        <v>1</v>
      </c>
      <c r="C190" s="22"/>
      <c r="D190" s="8" t="s">
        <v>25</v>
      </c>
      <c r="E190" s="10" t="s">
        <v>2</v>
      </c>
      <c r="F190" s="9" t="s">
        <v>3</v>
      </c>
      <c r="G190" s="10" t="s">
        <v>4</v>
      </c>
      <c r="H190" s="26" t="s">
        <v>4</v>
      </c>
      <c r="I190" s="6" t="s">
        <v>5</v>
      </c>
      <c r="J190" s="10" t="s">
        <v>2</v>
      </c>
      <c r="K190" s="11" t="s">
        <v>4</v>
      </c>
      <c r="M190" s="4" t="s">
        <v>15</v>
      </c>
    </row>
    <row r="191" spans="2:13" x14ac:dyDescent="0.3">
      <c r="B191" s="33" t="s">
        <v>6</v>
      </c>
      <c r="C191" s="24">
        <v>3.2</v>
      </c>
      <c r="D191" s="15">
        <v>20.561469760000001</v>
      </c>
      <c r="E191" s="13">
        <f t="shared" ref="E191:E197" si="68">(C191*10^-3)/(D191*10^-4)</f>
        <v>1.5563089785659368</v>
      </c>
      <c r="F191" s="12">
        <v>7.9885999999999999</v>
      </c>
      <c r="G191" s="23">
        <v>5.1949300000000004E-3</v>
      </c>
      <c r="H191" s="27">
        <f>E191/((D191*10^-4)/(F191*10^-2)*9.81)^(1/2)</f>
        <v>3.0972023463023919</v>
      </c>
      <c r="I191" s="24">
        <v>3</v>
      </c>
      <c r="J191" s="13">
        <v>0</v>
      </c>
      <c r="K191" s="20">
        <f t="shared" ref="K191:K197" si="69">(10.33+M191-0.234)/((E191^2)/19.62)</f>
        <v>81.781806395124647</v>
      </c>
      <c r="M191" s="4">
        <f>-(1.7*J191^2)/19.62</f>
        <v>0</v>
      </c>
    </row>
    <row r="192" spans="2:13" x14ac:dyDescent="0.3">
      <c r="B192" s="33" t="s">
        <v>7</v>
      </c>
      <c r="C192" s="24">
        <v>6.4</v>
      </c>
      <c r="D192" s="15">
        <v>20.561469760000001</v>
      </c>
      <c r="E192" s="13">
        <f t="shared" si="68"/>
        <v>3.1126179571318735</v>
      </c>
      <c r="F192" s="12">
        <v>7.9885999999999999</v>
      </c>
      <c r="G192" s="23">
        <v>5.1949300000000004E-3</v>
      </c>
      <c r="H192" s="27">
        <f t="shared" ref="H192:H197" si="70">E192/((D192*10^-4)/(F192*10^-2)*9.81)^(1/2)</f>
        <v>6.1944046926047838</v>
      </c>
      <c r="I192" s="24">
        <v>4.5</v>
      </c>
      <c r="J192" s="13">
        <v>2.23</v>
      </c>
      <c r="K192" s="20">
        <f t="shared" si="69"/>
        <v>19.572868071214184</v>
      </c>
      <c r="M192" s="4">
        <f t="shared" ref="M192:M197" si="71">-(1.7*J192^2)/19.62</f>
        <v>-0.43088328236493373</v>
      </c>
    </row>
    <row r="193" spans="2:13" x14ac:dyDescent="0.3">
      <c r="B193" s="33" t="s">
        <v>8</v>
      </c>
      <c r="C193" s="24">
        <v>9.6</v>
      </c>
      <c r="D193" s="15">
        <v>20.561469760000001</v>
      </c>
      <c r="E193" s="13">
        <f t="shared" si="68"/>
        <v>4.6689269356978089</v>
      </c>
      <c r="F193" s="12">
        <v>7.9885999999999999</v>
      </c>
      <c r="G193" s="23">
        <v>5.1949300000000004E-3</v>
      </c>
      <c r="H193" s="27">
        <f t="shared" si="70"/>
        <v>9.2916070389071734</v>
      </c>
      <c r="I193" s="24">
        <v>4.5</v>
      </c>
      <c r="J193" s="13">
        <v>5.07</v>
      </c>
      <c r="K193" s="20">
        <f t="shared" si="69"/>
        <v>7.0822537207506873</v>
      </c>
      <c r="M193" s="4">
        <f t="shared" si="71"/>
        <v>-2.2272339449541287</v>
      </c>
    </row>
    <row r="194" spans="2:13" x14ac:dyDescent="0.3">
      <c r="B194" s="33" t="s">
        <v>9</v>
      </c>
      <c r="C194" s="24">
        <v>12.8</v>
      </c>
      <c r="D194" s="15">
        <v>20.561469760000001</v>
      </c>
      <c r="E194" s="13">
        <f t="shared" si="68"/>
        <v>6.225235914263747</v>
      </c>
      <c r="F194" s="12">
        <v>7.9885999999999999</v>
      </c>
      <c r="G194" s="23">
        <v>5.1949300000000004E-3</v>
      </c>
      <c r="H194" s="27">
        <f t="shared" si="70"/>
        <v>12.388809385209568</v>
      </c>
      <c r="I194" s="24">
        <v>4.5</v>
      </c>
      <c r="J194" s="13">
        <v>9.27</v>
      </c>
      <c r="K194" s="20">
        <f t="shared" si="69"/>
        <v>1.3417499466869678</v>
      </c>
      <c r="M194" s="4">
        <f t="shared" si="71"/>
        <v>-7.4457660550458709</v>
      </c>
    </row>
    <row r="195" spans="2:13" x14ac:dyDescent="0.3">
      <c r="B195" s="33" t="s">
        <v>10</v>
      </c>
      <c r="C195" s="24">
        <v>16</v>
      </c>
      <c r="D195" s="15">
        <v>20.561469760000001</v>
      </c>
      <c r="E195" s="13">
        <f t="shared" si="68"/>
        <v>7.7815448928296833</v>
      </c>
      <c r="F195" s="12">
        <v>7.9885999999999999</v>
      </c>
      <c r="G195" s="23">
        <v>5.1949300000000004E-3</v>
      </c>
      <c r="H195" s="27">
        <f t="shared" si="70"/>
        <v>15.48601173151196</v>
      </c>
      <c r="I195" s="24">
        <v>4.5</v>
      </c>
      <c r="J195" s="13">
        <v>14.7</v>
      </c>
      <c r="K195" s="20">
        <f t="shared" si="69"/>
        <v>-2.7954195971403206</v>
      </c>
      <c r="M195" s="4">
        <f t="shared" si="71"/>
        <v>-18.72339449541284</v>
      </c>
    </row>
    <row r="196" spans="2:13" x14ac:dyDescent="0.3">
      <c r="B196" s="33" t="s">
        <v>11</v>
      </c>
      <c r="C196" s="24">
        <v>19.2</v>
      </c>
      <c r="D196" s="15">
        <v>20.561469760000001</v>
      </c>
      <c r="E196" s="13">
        <f t="shared" si="68"/>
        <v>9.3378538713956178</v>
      </c>
      <c r="F196" s="12">
        <v>7.9885999999999999</v>
      </c>
      <c r="G196" s="23">
        <v>5.1949300000000004E-3</v>
      </c>
      <c r="H196" s="27">
        <f t="shared" si="70"/>
        <v>18.583214077814347</v>
      </c>
      <c r="I196" s="24">
        <v>4.5</v>
      </c>
      <c r="J196" s="13">
        <v>19.12</v>
      </c>
      <c r="K196" s="20">
        <f t="shared" si="69"/>
        <v>-4.8556736016901105</v>
      </c>
      <c r="M196" s="4">
        <f t="shared" si="71"/>
        <v>-31.675661569826708</v>
      </c>
    </row>
    <row r="197" spans="2:13" x14ac:dyDescent="0.3">
      <c r="B197" s="33" t="s">
        <v>12</v>
      </c>
      <c r="C197" s="24">
        <v>23</v>
      </c>
      <c r="D197" s="15">
        <v>20.561469760000001</v>
      </c>
      <c r="E197" s="13">
        <f t="shared" si="68"/>
        <v>11.185970783442668</v>
      </c>
      <c r="F197" s="12">
        <v>7.9885999999999999</v>
      </c>
      <c r="G197" s="23">
        <v>5.1949300000000004E-3</v>
      </c>
      <c r="H197" s="27">
        <f t="shared" si="70"/>
        <v>22.26114186404844</v>
      </c>
      <c r="I197" s="24">
        <v>4.5</v>
      </c>
      <c r="J197" s="13">
        <v>25.79</v>
      </c>
      <c r="K197" s="20">
        <f t="shared" si="69"/>
        <v>-7.453509898505799</v>
      </c>
      <c r="M197" s="4">
        <f t="shared" si="71"/>
        <v>-57.630528542303765</v>
      </c>
    </row>
    <row r="198" spans="2:13" x14ac:dyDescent="0.3">
      <c r="B198" s="35"/>
      <c r="C198" s="21"/>
      <c r="D198" s="18"/>
      <c r="E198" s="17"/>
      <c r="F198" s="19"/>
      <c r="G198" s="19"/>
      <c r="H198" s="28"/>
      <c r="I198" s="21"/>
      <c r="J198" s="17"/>
      <c r="K198" s="14"/>
    </row>
    <row r="199" spans="2:13" x14ac:dyDescent="0.3">
      <c r="B199" s="25" t="s">
        <v>44</v>
      </c>
      <c r="C199" s="25"/>
      <c r="D199" s="25"/>
      <c r="E199" s="25"/>
      <c r="F199" s="25"/>
      <c r="G199" s="25"/>
      <c r="H199" s="25"/>
      <c r="I199" s="25"/>
      <c r="J199" s="25"/>
      <c r="K199" s="25"/>
    </row>
    <row r="200" spans="2:13" ht="18" x14ac:dyDescent="0.3">
      <c r="B200" s="33"/>
      <c r="C200" s="22" t="s">
        <v>18</v>
      </c>
      <c r="D200" s="8" t="s">
        <v>19</v>
      </c>
      <c r="E200" s="10" t="s">
        <v>20</v>
      </c>
      <c r="F200" s="9" t="s">
        <v>26</v>
      </c>
      <c r="G200" s="10" t="s">
        <v>16</v>
      </c>
      <c r="H200" s="26" t="s">
        <v>0</v>
      </c>
      <c r="I200" s="6" t="s">
        <v>22</v>
      </c>
      <c r="J200" s="10" t="s">
        <v>23</v>
      </c>
      <c r="K200" s="11" t="s">
        <v>14</v>
      </c>
      <c r="M200" s="4" t="s">
        <v>24</v>
      </c>
    </row>
    <row r="201" spans="2:13" ht="16.8" x14ac:dyDescent="0.3">
      <c r="B201" s="33" t="s">
        <v>1</v>
      </c>
      <c r="C201" s="22"/>
      <c r="D201" s="8" t="s">
        <v>25</v>
      </c>
      <c r="E201" s="10" t="s">
        <v>2</v>
      </c>
      <c r="F201" s="9" t="s">
        <v>3</v>
      </c>
      <c r="G201" s="10" t="s">
        <v>4</v>
      </c>
      <c r="H201" s="26" t="s">
        <v>4</v>
      </c>
      <c r="I201" s="6" t="s">
        <v>5</v>
      </c>
      <c r="J201" s="10" t="s">
        <v>2</v>
      </c>
      <c r="K201" s="11" t="s">
        <v>4</v>
      </c>
      <c r="M201" s="4" t="s">
        <v>15</v>
      </c>
    </row>
    <row r="202" spans="2:13" x14ac:dyDescent="0.3">
      <c r="B202" s="33" t="s">
        <v>6</v>
      </c>
      <c r="C202" s="24">
        <v>3.2</v>
      </c>
      <c r="D202" s="15">
        <v>20.561469760000001</v>
      </c>
      <c r="E202" s="13">
        <f t="shared" ref="E202:E208" si="72">(C202*10^-3)/(D202*10^-4)</f>
        <v>1.5563089785659368</v>
      </c>
      <c r="F202" s="12">
        <v>7.9885999999999999</v>
      </c>
      <c r="G202" s="23">
        <v>2.5974650000000002E-3</v>
      </c>
      <c r="H202" s="27">
        <f>E202/((D202*10^-4)/(F202*10^-2)*9.81)^(1/2)</f>
        <v>3.0972023463023919</v>
      </c>
      <c r="I202" s="24">
        <v>3</v>
      </c>
      <c r="J202" s="13">
        <v>0</v>
      </c>
      <c r="K202" s="20">
        <f t="shared" ref="K202:K208" si="73">(10.33+M202-0.234)/((E202^2)/19.62)</f>
        <v>81.781806395124647</v>
      </c>
      <c r="M202" s="4">
        <f>-(1.7*J202^2)/19.62</f>
        <v>0</v>
      </c>
    </row>
    <row r="203" spans="2:13" x14ac:dyDescent="0.3">
      <c r="B203" s="33" t="s">
        <v>7</v>
      </c>
      <c r="C203" s="24">
        <v>6.4</v>
      </c>
      <c r="D203" s="15">
        <v>20.561469760000001</v>
      </c>
      <c r="E203" s="13">
        <f t="shared" si="72"/>
        <v>3.1126179571318735</v>
      </c>
      <c r="F203" s="12">
        <v>7.9885999999999999</v>
      </c>
      <c r="G203" s="23">
        <v>2.5974650000000002E-3</v>
      </c>
      <c r="H203" s="27">
        <f t="shared" ref="H203:H208" si="74">E203/((D203*10^-4)/(F203*10^-2)*9.81)^(1/2)</f>
        <v>6.1944046926047838</v>
      </c>
      <c r="I203" s="24">
        <v>4.5</v>
      </c>
      <c r="J203" s="13">
        <v>2.82</v>
      </c>
      <c r="K203" s="20">
        <f t="shared" si="73"/>
        <v>19.050061937894426</v>
      </c>
      <c r="M203" s="4">
        <f t="shared" ref="M203:M208" si="75">-(1.7*J203^2)/19.62</f>
        <v>-0.68904587155963293</v>
      </c>
    </row>
    <row r="204" spans="2:13" x14ac:dyDescent="0.3">
      <c r="B204" s="33" t="s">
        <v>8</v>
      </c>
      <c r="C204" s="24">
        <v>9.6</v>
      </c>
      <c r="D204" s="15">
        <v>20.561469760000001</v>
      </c>
      <c r="E204" s="13">
        <f t="shared" si="72"/>
        <v>4.6689269356978089</v>
      </c>
      <c r="F204" s="12">
        <v>7.9885999999999999</v>
      </c>
      <c r="G204" s="23">
        <v>2.5974650000000002E-3</v>
      </c>
      <c r="H204" s="27">
        <f t="shared" si="74"/>
        <v>9.2916070389071734</v>
      </c>
      <c r="I204" s="24">
        <v>4.5</v>
      </c>
      <c r="J204" s="13">
        <v>5.86</v>
      </c>
      <c r="K204" s="20">
        <f t="shared" si="73"/>
        <v>6.4088709205976286</v>
      </c>
      <c r="M204" s="4">
        <f t="shared" si="75"/>
        <v>-2.9753985728848114</v>
      </c>
    </row>
    <row r="205" spans="2:13" x14ac:dyDescent="0.3">
      <c r="B205" s="33" t="s">
        <v>9</v>
      </c>
      <c r="C205" s="24">
        <v>12.8</v>
      </c>
      <c r="D205" s="15">
        <v>20.561469760000001</v>
      </c>
      <c r="E205" s="13">
        <f t="shared" si="72"/>
        <v>6.225235914263747</v>
      </c>
      <c r="F205" s="12">
        <v>7.9885999999999999</v>
      </c>
      <c r="G205" s="23">
        <v>2.5974650000000002E-3</v>
      </c>
      <c r="H205" s="27">
        <f t="shared" si="74"/>
        <v>12.388809385209568</v>
      </c>
      <c r="I205" s="24">
        <v>4.5</v>
      </c>
      <c r="J205" s="13">
        <v>10.09</v>
      </c>
      <c r="K205" s="20">
        <f t="shared" si="73"/>
        <v>0.64535357752454314</v>
      </c>
      <c r="M205" s="4">
        <f t="shared" si="75"/>
        <v>-8.8212930682976545</v>
      </c>
    </row>
    <row r="206" spans="2:13" x14ac:dyDescent="0.3">
      <c r="B206" s="33" t="s">
        <v>10</v>
      </c>
      <c r="C206" s="24">
        <v>16</v>
      </c>
      <c r="D206" s="15">
        <v>20.561469760000001</v>
      </c>
      <c r="E206" s="13">
        <f t="shared" si="72"/>
        <v>7.7815448928296833</v>
      </c>
      <c r="F206" s="12">
        <v>7.9885999999999999</v>
      </c>
      <c r="G206" s="23">
        <v>2.5974650000000002E-3</v>
      </c>
      <c r="H206" s="27">
        <f t="shared" si="74"/>
        <v>15.48601173151196</v>
      </c>
      <c r="I206" s="24">
        <v>4.5</v>
      </c>
      <c r="J206" s="13">
        <v>15.56</v>
      </c>
      <c r="K206" s="20">
        <f t="shared" si="73"/>
        <v>-3.5260279645071941</v>
      </c>
      <c r="M206" s="4">
        <f t="shared" si="75"/>
        <v>-20.978242609582058</v>
      </c>
    </row>
    <row r="207" spans="2:13" x14ac:dyDescent="0.3">
      <c r="B207" s="33" t="s">
        <v>11</v>
      </c>
      <c r="C207" s="24">
        <v>19.2</v>
      </c>
      <c r="D207" s="15">
        <v>20.561469760000001</v>
      </c>
      <c r="E207" s="13">
        <f t="shared" si="72"/>
        <v>9.3378538713956178</v>
      </c>
      <c r="F207" s="12">
        <v>7.9885999999999999</v>
      </c>
      <c r="G207" s="23">
        <v>2.5974650000000002E-3</v>
      </c>
      <c r="H207" s="27">
        <f t="shared" si="74"/>
        <v>18.583214077814347</v>
      </c>
      <c r="I207" s="24">
        <v>4.5</v>
      </c>
      <c r="J207" s="13">
        <v>19.43</v>
      </c>
      <c r="K207" s="20">
        <f t="shared" si="73"/>
        <v>-5.0886655166735242</v>
      </c>
      <c r="M207" s="4">
        <f t="shared" si="75"/>
        <v>-32.711127930682977</v>
      </c>
    </row>
    <row r="208" spans="2:13" x14ac:dyDescent="0.3">
      <c r="B208" s="33" t="s">
        <v>12</v>
      </c>
      <c r="C208" s="24">
        <v>22.9</v>
      </c>
      <c r="D208" s="15">
        <v>20.561469760000001</v>
      </c>
      <c r="E208" s="13">
        <f t="shared" si="72"/>
        <v>11.137336127862485</v>
      </c>
      <c r="F208" s="12">
        <v>7.9885999999999999</v>
      </c>
      <c r="G208" s="23">
        <v>2.5974650000000002E-3</v>
      </c>
      <c r="H208" s="27">
        <f t="shared" si="74"/>
        <v>22.164354290726493</v>
      </c>
      <c r="I208" s="24">
        <v>4.5</v>
      </c>
      <c r="J208" s="13">
        <v>23.69</v>
      </c>
      <c r="K208" s="20">
        <f t="shared" si="73"/>
        <v>-6.094665346770074</v>
      </c>
      <c r="M208" s="4">
        <f t="shared" si="75"/>
        <v>-48.627286952089705</v>
      </c>
    </row>
    <row r="209" spans="2:13" x14ac:dyDescent="0.3">
      <c r="B209" s="35"/>
      <c r="C209" s="21"/>
      <c r="D209" s="18"/>
      <c r="E209" s="17"/>
      <c r="F209" s="19"/>
      <c r="G209" s="19"/>
      <c r="H209" s="28"/>
      <c r="I209" s="21"/>
      <c r="J209" s="17"/>
      <c r="K209" s="14"/>
    </row>
    <row r="210" spans="2:13" x14ac:dyDescent="0.3">
      <c r="B210" s="25" t="s">
        <v>45</v>
      </c>
      <c r="C210" s="25"/>
      <c r="D210" s="25"/>
      <c r="E210" s="25"/>
      <c r="F210" s="25"/>
      <c r="G210" s="25"/>
      <c r="H210" s="25"/>
      <c r="I210" s="25"/>
      <c r="J210" s="25"/>
      <c r="K210" s="25"/>
    </row>
    <row r="211" spans="2:13" ht="18" x14ac:dyDescent="0.3">
      <c r="B211" s="33"/>
      <c r="C211" s="22" t="s">
        <v>18</v>
      </c>
      <c r="D211" s="8" t="s">
        <v>19</v>
      </c>
      <c r="E211" s="10" t="s">
        <v>20</v>
      </c>
      <c r="F211" s="9" t="s">
        <v>26</v>
      </c>
      <c r="G211" s="10" t="s">
        <v>16</v>
      </c>
      <c r="H211" s="26" t="s">
        <v>0</v>
      </c>
      <c r="I211" s="6" t="s">
        <v>22</v>
      </c>
      <c r="J211" s="10" t="s">
        <v>23</v>
      </c>
      <c r="K211" s="11" t="s">
        <v>14</v>
      </c>
      <c r="M211" s="4" t="s">
        <v>24</v>
      </c>
    </row>
    <row r="212" spans="2:13" ht="16.8" x14ac:dyDescent="0.3">
      <c r="B212" s="33" t="s">
        <v>1</v>
      </c>
      <c r="C212" s="22"/>
      <c r="D212" s="8" t="s">
        <v>25</v>
      </c>
      <c r="E212" s="10" t="s">
        <v>2</v>
      </c>
      <c r="F212" s="9" t="s">
        <v>3</v>
      </c>
      <c r="G212" s="10" t="s">
        <v>4</v>
      </c>
      <c r="H212" s="26" t="s">
        <v>4</v>
      </c>
      <c r="I212" s="6" t="s">
        <v>5</v>
      </c>
      <c r="J212" s="10" t="s">
        <v>2</v>
      </c>
      <c r="K212" s="11" t="s">
        <v>4</v>
      </c>
      <c r="M212" s="4" t="s">
        <v>15</v>
      </c>
    </row>
    <row r="213" spans="2:13" x14ac:dyDescent="0.3">
      <c r="B213" s="33" t="s">
        <v>6</v>
      </c>
      <c r="C213" s="24">
        <v>3.2</v>
      </c>
      <c r="D213" s="15">
        <v>20.561469760000001</v>
      </c>
      <c r="E213" s="13">
        <f t="shared" ref="E213:E219" si="76">(C213*10^-3)/(D213*10^-4)</f>
        <v>1.5563089785659368</v>
      </c>
      <c r="F213" s="12">
        <v>7.9885999999999999</v>
      </c>
      <c r="G213" s="23">
        <v>1.7316429999999999E-3</v>
      </c>
      <c r="H213" s="27">
        <f>E213/((D213*10^-4)/(F213*10^-2)*9.81)^(1/2)</f>
        <v>3.0972023463023919</v>
      </c>
      <c r="I213" s="24">
        <v>3</v>
      </c>
      <c r="J213" s="13">
        <v>0</v>
      </c>
      <c r="K213" s="20">
        <f t="shared" ref="K213:K219" si="77">(10.33+M213-0.234)/((E213^2)/19.62)</f>
        <v>81.781806395124647</v>
      </c>
      <c r="M213" s="4">
        <f>-(1.7*J213^2)/19.62</f>
        <v>0</v>
      </c>
    </row>
    <row r="214" spans="2:13" x14ac:dyDescent="0.3">
      <c r="B214" s="33" t="s">
        <v>7</v>
      </c>
      <c r="C214" s="24">
        <v>6.4</v>
      </c>
      <c r="D214" s="15">
        <v>20.561469760000001</v>
      </c>
      <c r="E214" s="13">
        <f t="shared" si="76"/>
        <v>3.1126179571318735</v>
      </c>
      <c r="F214" s="12">
        <v>7.9885999999999999</v>
      </c>
      <c r="G214" s="23">
        <v>1.7316429999999999E-3</v>
      </c>
      <c r="H214" s="27">
        <f t="shared" ref="H214:H219" si="78">E214/((D214*10^-4)/(F214*10^-2)*9.81)^(1/2)</f>
        <v>6.1944046926047838</v>
      </c>
      <c r="I214" s="24">
        <v>4.5</v>
      </c>
      <c r="J214" s="13">
        <v>2.62</v>
      </c>
      <c r="K214" s="20">
        <f t="shared" si="77"/>
        <v>19.24097083974101</v>
      </c>
      <c r="M214" s="4">
        <f t="shared" ref="M214:M219" si="79">-(1.7*J214^2)/19.62</f>
        <v>-0.59477471967380224</v>
      </c>
    </row>
    <row r="215" spans="2:13" x14ac:dyDescent="0.3">
      <c r="B215" s="33" t="s">
        <v>8</v>
      </c>
      <c r="C215" s="24">
        <v>9.6</v>
      </c>
      <c r="D215" s="15">
        <v>20.561469760000001</v>
      </c>
      <c r="E215" s="13">
        <f t="shared" si="76"/>
        <v>4.6689269356978089</v>
      </c>
      <c r="F215" s="12">
        <v>7.9885999999999999</v>
      </c>
      <c r="G215" s="23">
        <v>1.7316429999999999E-3</v>
      </c>
      <c r="H215" s="27">
        <f t="shared" si="78"/>
        <v>9.2916070389071734</v>
      </c>
      <c r="I215" s="24">
        <v>4.5</v>
      </c>
      <c r="J215" s="13">
        <v>5.75</v>
      </c>
      <c r="K215" s="20">
        <f t="shared" si="77"/>
        <v>6.5084664102006808</v>
      </c>
      <c r="M215" s="4">
        <f t="shared" si="79"/>
        <v>-2.8647426095820587</v>
      </c>
    </row>
    <row r="216" spans="2:13" x14ac:dyDescent="0.3">
      <c r="B216" s="33" t="s">
        <v>9</v>
      </c>
      <c r="C216" s="24">
        <v>12.8</v>
      </c>
      <c r="D216" s="15">
        <v>20.561469760000001</v>
      </c>
      <c r="E216" s="13">
        <f t="shared" si="76"/>
        <v>6.225235914263747</v>
      </c>
      <c r="F216" s="12">
        <v>7.9885999999999999</v>
      </c>
      <c r="G216" s="23">
        <v>1.7316429999999999E-3</v>
      </c>
      <c r="H216" s="27">
        <f t="shared" si="78"/>
        <v>12.388809385209568</v>
      </c>
      <c r="I216" s="24">
        <v>4.5</v>
      </c>
      <c r="J216" s="13">
        <v>9.69</v>
      </c>
      <c r="K216" s="20">
        <f t="shared" si="77"/>
        <v>0.99242876856548212</v>
      </c>
      <c r="M216" s="4">
        <f t="shared" si="79"/>
        <v>-8.1357477064220163</v>
      </c>
    </row>
    <row r="217" spans="2:13" x14ac:dyDescent="0.3">
      <c r="B217" s="33" t="s">
        <v>10</v>
      </c>
      <c r="C217" s="24">
        <v>16</v>
      </c>
      <c r="D217" s="15">
        <v>20.561469760000001</v>
      </c>
      <c r="E217" s="13">
        <f t="shared" si="76"/>
        <v>7.7815448928296833</v>
      </c>
      <c r="F217" s="12">
        <v>7.9885999999999999</v>
      </c>
      <c r="G217" s="23">
        <v>1.7316429999999999E-3</v>
      </c>
      <c r="H217" s="27">
        <f t="shared" si="78"/>
        <v>15.48601173151196</v>
      </c>
      <c r="I217" s="24">
        <v>4.5</v>
      </c>
      <c r="J217" s="13">
        <v>10.85</v>
      </c>
      <c r="K217" s="20">
        <f t="shared" si="77"/>
        <v>-3.3767920317712405E-2</v>
      </c>
      <c r="M217" s="4">
        <f t="shared" si="79"/>
        <v>-10.200216615698265</v>
      </c>
    </row>
    <row r="218" spans="2:13" x14ac:dyDescent="0.3">
      <c r="B218" s="33" t="s">
        <v>11</v>
      </c>
      <c r="C218" s="24">
        <v>19.2</v>
      </c>
      <c r="D218" s="15">
        <v>20.561469760000001</v>
      </c>
      <c r="E218" s="13">
        <f t="shared" si="76"/>
        <v>9.3378538713956178</v>
      </c>
      <c r="F218" s="12">
        <v>7.9885999999999999</v>
      </c>
      <c r="G218" s="23">
        <v>1.7316429999999999E-3</v>
      </c>
      <c r="H218" s="27">
        <f t="shared" si="78"/>
        <v>18.583214077814347</v>
      </c>
      <c r="I218" s="24">
        <v>4.5</v>
      </c>
      <c r="J218" s="13">
        <v>12.99</v>
      </c>
      <c r="K218" s="20">
        <f t="shared" si="77"/>
        <v>-1.018110278697782</v>
      </c>
      <c r="M218" s="4">
        <f t="shared" si="79"/>
        <v>-14.620701834862386</v>
      </c>
    </row>
    <row r="219" spans="2:13" x14ac:dyDescent="0.3">
      <c r="B219" s="33" t="s">
        <v>12</v>
      </c>
      <c r="C219" s="24">
        <v>22.6</v>
      </c>
      <c r="D219" s="15">
        <v>20.561469760000001</v>
      </c>
      <c r="E219" s="13">
        <f t="shared" si="76"/>
        <v>10.991432161121928</v>
      </c>
      <c r="F219" s="12">
        <v>7.9885999999999999</v>
      </c>
      <c r="G219" s="23">
        <v>1.7316429999999999E-3</v>
      </c>
      <c r="H219" s="27">
        <f t="shared" si="78"/>
        <v>21.873991570760644</v>
      </c>
      <c r="I219" s="24">
        <v>4.5</v>
      </c>
      <c r="J219" s="13">
        <v>15.37</v>
      </c>
      <c r="K219" s="20">
        <f t="shared" si="77"/>
        <v>-1.6846001715675076</v>
      </c>
      <c r="M219" s="4">
        <f t="shared" si="79"/>
        <v>-20.469048419979607</v>
      </c>
    </row>
    <row r="220" spans="2:13" x14ac:dyDescent="0.3">
      <c r="B220" s="34"/>
      <c r="C220" s="21"/>
      <c r="D220" s="18"/>
      <c r="E220" s="17"/>
      <c r="F220" s="19"/>
      <c r="G220" s="19"/>
      <c r="H220" s="28"/>
      <c r="I220" s="21"/>
      <c r="J220" s="17"/>
      <c r="K220" s="14"/>
    </row>
    <row r="221" spans="2:13" x14ac:dyDescent="0.3">
      <c r="B221" s="25" t="s">
        <v>46</v>
      </c>
      <c r="C221" s="25"/>
      <c r="D221" s="25"/>
      <c r="E221" s="25"/>
      <c r="F221" s="25"/>
      <c r="G221" s="25"/>
      <c r="H221" s="25"/>
      <c r="I221" s="25"/>
      <c r="J221" s="25"/>
      <c r="K221" s="25"/>
    </row>
    <row r="222" spans="2:13" ht="18" x14ac:dyDescent="0.3">
      <c r="B222" s="33"/>
      <c r="C222" s="22" t="s">
        <v>18</v>
      </c>
      <c r="D222" s="8" t="s">
        <v>19</v>
      </c>
      <c r="E222" s="10" t="s">
        <v>20</v>
      </c>
      <c r="F222" s="9" t="s">
        <v>26</v>
      </c>
      <c r="G222" s="10" t="s">
        <v>16</v>
      </c>
      <c r="H222" s="26" t="s">
        <v>0</v>
      </c>
      <c r="I222" s="6" t="s">
        <v>22</v>
      </c>
      <c r="J222" s="10" t="s">
        <v>23</v>
      </c>
      <c r="K222" s="11" t="s">
        <v>14</v>
      </c>
      <c r="M222" s="4" t="s">
        <v>24</v>
      </c>
    </row>
    <row r="223" spans="2:13" ht="16.8" x14ac:dyDescent="0.3">
      <c r="B223" s="33" t="s">
        <v>1</v>
      </c>
      <c r="C223" s="22"/>
      <c r="D223" s="8" t="s">
        <v>25</v>
      </c>
      <c r="E223" s="10" t="s">
        <v>2</v>
      </c>
      <c r="F223" s="9" t="s">
        <v>3</v>
      </c>
      <c r="G223" s="10" t="s">
        <v>4</v>
      </c>
      <c r="H223" s="26" t="s">
        <v>4</v>
      </c>
      <c r="I223" s="6" t="s">
        <v>5</v>
      </c>
      <c r="J223" s="10" t="s">
        <v>2</v>
      </c>
      <c r="K223" s="11" t="s">
        <v>4</v>
      </c>
      <c r="M223" s="4" t="s">
        <v>15</v>
      </c>
    </row>
    <row r="224" spans="2:13" x14ac:dyDescent="0.3">
      <c r="B224" s="33" t="s">
        <v>6</v>
      </c>
      <c r="C224" s="24">
        <v>4.2</v>
      </c>
      <c r="D224" s="15">
        <v>30.8453421</v>
      </c>
      <c r="E224" s="12">
        <f t="shared" ref="E224:E230" si="80">(C224*10^-3)/(D224*10^-4)</f>
        <v>1.3616318426243035</v>
      </c>
      <c r="F224" s="12">
        <v>7.9885999999999999</v>
      </c>
      <c r="G224" s="23">
        <v>1.2535021E-2</v>
      </c>
      <c r="H224" s="27">
        <f>E224/((D224*10^-4)/(F224*10^-2)*9.81)^(1/2)</f>
        <v>2.2124106366767977</v>
      </c>
      <c r="I224" s="24">
        <v>3</v>
      </c>
      <c r="J224" s="13">
        <v>0</v>
      </c>
      <c r="K224" s="20">
        <f t="shared" ref="K224:K230" si="81">(10.33+M224-0.234)/((E224^2)/19.62)</f>
        <v>106.83878654006276</v>
      </c>
      <c r="M224" s="4">
        <f>-(1.7*J224^2)/19.62</f>
        <v>0</v>
      </c>
    </row>
    <row r="225" spans="2:13" x14ac:dyDescent="0.3">
      <c r="B225" s="33" t="s">
        <v>7</v>
      </c>
      <c r="C225" s="24">
        <v>8.4</v>
      </c>
      <c r="D225" s="15">
        <v>30.8453421</v>
      </c>
      <c r="E225" s="12">
        <f t="shared" si="80"/>
        <v>2.723263685248607</v>
      </c>
      <c r="F225" s="12">
        <v>7.9885999999999999</v>
      </c>
      <c r="G225" s="23">
        <v>1.2535021E-2</v>
      </c>
      <c r="H225" s="27">
        <f t="shared" ref="H225:H230" si="82">E225/((D225*10^-4)/(F225*10^-2)*9.81)^(1/2)</f>
        <v>4.4248212733535954</v>
      </c>
      <c r="I225" s="24">
        <v>4.5</v>
      </c>
      <c r="J225" s="13">
        <v>1.4</v>
      </c>
      <c r="K225" s="20">
        <f t="shared" si="81"/>
        <v>26.260407823973399</v>
      </c>
      <c r="M225" s="4">
        <f t="shared" ref="M225:M230" si="83">-(1.7*J225^2)/19.62</f>
        <v>-0.16982670744138631</v>
      </c>
    </row>
    <row r="226" spans="2:13" x14ac:dyDescent="0.3">
      <c r="B226" s="33" t="s">
        <v>8</v>
      </c>
      <c r="C226" s="24">
        <v>12.6</v>
      </c>
      <c r="D226" s="15">
        <v>30.8453421</v>
      </c>
      <c r="E226" s="12">
        <f t="shared" si="80"/>
        <v>4.0848955278729093</v>
      </c>
      <c r="F226" s="12">
        <v>7.9885999999999999</v>
      </c>
      <c r="G226" s="23">
        <v>1.2535021E-2</v>
      </c>
      <c r="H226" s="27">
        <f t="shared" si="82"/>
        <v>6.6372319100303914</v>
      </c>
      <c r="I226" s="24">
        <v>4.5</v>
      </c>
      <c r="J226" s="13">
        <v>4.47</v>
      </c>
      <c r="K226" s="20">
        <f t="shared" si="81"/>
        <v>9.8353312018312522</v>
      </c>
      <c r="M226" s="4">
        <f t="shared" si="83"/>
        <v>-1.7312706422018347</v>
      </c>
    </row>
    <row r="227" spans="2:13" x14ac:dyDescent="0.3">
      <c r="B227" s="33" t="s">
        <v>9</v>
      </c>
      <c r="C227" s="24">
        <v>16.8</v>
      </c>
      <c r="D227" s="15">
        <v>30.8453421</v>
      </c>
      <c r="E227" s="12">
        <f t="shared" si="80"/>
        <v>5.4465273704972139</v>
      </c>
      <c r="F227" s="12">
        <v>7.9885999999999999</v>
      </c>
      <c r="G227" s="23">
        <v>1.2535021E-2</v>
      </c>
      <c r="H227" s="27">
        <f t="shared" si="82"/>
        <v>8.8496425467071909</v>
      </c>
      <c r="I227" s="24">
        <v>4.5</v>
      </c>
      <c r="J227" s="13">
        <v>9.3000000000000007</v>
      </c>
      <c r="K227" s="20">
        <f t="shared" si="81"/>
        <v>1.7209204257120947</v>
      </c>
      <c r="M227" s="4">
        <f t="shared" si="83"/>
        <v>-7.494036697247707</v>
      </c>
    </row>
    <row r="228" spans="2:13" x14ac:dyDescent="0.3">
      <c r="B228" s="33" t="s">
        <v>10</v>
      </c>
      <c r="C228" s="24">
        <v>21</v>
      </c>
      <c r="D228" s="15">
        <v>30.8453421</v>
      </c>
      <c r="E228" s="12">
        <f t="shared" si="80"/>
        <v>6.8081592131215167</v>
      </c>
      <c r="F228" s="12">
        <v>7.9885999999999999</v>
      </c>
      <c r="G228" s="23">
        <v>1.2535021E-2</v>
      </c>
      <c r="H228" s="27">
        <f t="shared" si="82"/>
        <v>11.062053183383988</v>
      </c>
      <c r="I228" s="24">
        <v>4.5</v>
      </c>
      <c r="J228" s="13">
        <v>11.93</v>
      </c>
      <c r="K228" s="20">
        <f t="shared" si="81"/>
        <v>-0.94644732229244855</v>
      </c>
      <c r="M228" s="4">
        <f t="shared" si="83"/>
        <v>-12.331923037716614</v>
      </c>
    </row>
    <row r="229" spans="2:13" x14ac:dyDescent="0.3">
      <c r="B229" s="33" t="s">
        <v>11</v>
      </c>
      <c r="C229" s="24">
        <v>25.2</v>
      </c>
      <c r="D229" s="15">
        <v>30.8453421</v>
      </c>
      <c r="E229" s="12">
        <f t="shared" si="80"/>
        <v>8.1697910557458187</v>
      </c>
      <c r="F229" s="12">
        <v>7.9885999999999999</v>
      </c>
      <c r="G229" s="23">
        <v>1.2535021E-2</v>
      </c>
      <c r="H229" s="27">
        <f t="shared" si="82"/>
        <v>13.274463820060783</v>
      </c>
      <c r="I229" s="24">
        <v>4.5</v>
      </c>
      <c r="J229" s="13">
        <v>14.51</v>
      </c>
      <c r="K229" s="20">
        <f t="shared" si="81"/>
        <v>-2.3946885374770268</v>
      </c>
      <c r="M229" s="4">
        <f t="shared" si="83"/>
        <v>-18.242516309887868</v>
      </c>
    </row>
    <row r="230" spans="2:13" x14ac:dyDescent="0.3">
      <c r="B230" s="33" t="s">
        <v>12</v>
      </c>
      <c r="C230" s="24">
        <v>29.4</v>
      </c>
      <c r="D230" s="15">
        <v>30.8453421</v>
      </c>
      <c r="E230" s="12">
        <f t="shared" si="80"/>
        <v>9.5314228983701224</v>
      </c>
      <c r="F230" s="12">
        <v>7.9885999999999999</v>
      </c>
      <c r="G230" s="23">
        <v>1.2535021E-2</v>
      </c>
      <c r="H230" s="27">
        <f t="shared" si="82"/>
        <v>15.48687445673758</v>
      </c>
      <c r="I230" s="24">
        <v>4.5</v>
      </c>
      <c r="J230" s="13">
        <v>18.8</v>
      </c>
      <c r="K230" s="20">
        <f t="shared" si="81"/>
        <v>-4.433387420664614</v>
      </c>
      <c r="M230" s="4">
        <f t="shared" si="83"/>
        <v>-30.624260958205916</v>
      </c>
    </row>
    <row r="231" spans="2:13" x14ac:dyDescent="0.3">
      <c r="B231" s="34"/>
      <c r="C231" s="21"/>
      <c r="D231" s="18"/>
      <c r="E231" s="17"/>
      <c r="F231" s="19"/>
      <c r="G231" s="19"/>
      <c r="H231" s="28"/>
      <c r="I231" s="21"/>
      <c r="J231" s="17"/>
      <c r="K231" s="14"/>
    </row>
    <row r="232" spans="2:13" x14ac:dyDescent="0.3">
      <c r="B232" s="25" t="s">
        <v>52</v>
      </c>
      <c r="C232" s="25"/>
      <c r="D232" s="25"/>
      <c r="E232" s="25"/>
      <c r="F232" s="25"/>
      <c r="G232" s="25"/>
      <c r="H232" s="25"/>
      <c r="I232" s="25"/>
      <c r="J232" s="25"/>
      <c r="K232" s="25"/>
    </row>
    <row r="233" spans="2:13" ht="18" x14ac:dyDescent="0.3">
      <c r="B233" s="33"/>
      <c r="C233" s="22" t="s">
        <v>18</v>
      </c>
      <c r="D233" s="8" t="s">
        <v>19</v>
      </c>
      <c r="E233" s="10" t="s">
        <v>20</v>
      </c>
      <c r="F233" s="9" t="s">
        <v>26</v>
      </c>
      <c r="G233" s="10" t="s">
        <v>16</v>
      </c>
      <c r="H233" s="26" t="s">
        <v>0</v>
      </c>
      <c r="I233" s="6" t="s">
        <v>22</v>
      </c>
      <c r="J233" s="10" t="s">
        <v>23</v>
      </c>
      <c r="K233" s="11" t="s">
        <v>14</v>
      </c>
      <c r="M233" s="4" t="s">
        <v>24</v>
      </c>
    </row>
    <row r="234" spans="2:13" ht="16.8" x14ac:dyDescent="0.3">
      <c r="B234" s="33" t="s">
        <v>1</v>
      </c>
      <c r="C234" s="22"/>
      <c r="D234" s="8" t="s">
        <v>25</v>
      </c>
      <c r="E234" s="10" t="s">
        <v>2</v>
      </c>
      <c r="F234" s="9" t="s">
        <v>3</v>
      </c>
      <c r="G234" s="10" t="s">
        <v>4</v>
      </c>
      <c r="H234" s="26" t="s">
        <v>4</v>
      </c>
      <c r="I234" s="6" t="s">
        <v>5</v>
      </c>
      <c r="J234" s="10" t="s">
        <v>2</v>
      </c>
      <c r="K234" s="11" t="s">
        <v>4</v>
      </c>
      <c r="M234" s="4" t="s">
        <v>15</v>
      </c>
    </row>
    <row r="235" spans="2:13" x14ac:dyDescent="0.3">
      <c r="B235" s="33" t="s">
        <v>6</v>
      </c>
      <c r="C235" s="24">
        <v>4.2</v>
      </c>
      <c r="D235" s="15">
        <v>30.8453421</v>
      </c>
      <c r="E235" s="12">
        <f t="shared" ref="E235:E241" si="84">(C235*10^-3)/(D235*10^-4)</f>
        <v>1.3616318426243035</v>
      </c>
      <c r="F235" s="12">
        <v>7.9885999999999999</v>
      </c>
      <c r="G235" s="23">
        <v>6.2675109999999999E-3</v>
      </c>
      <c r="H235" s="27">
        <f>E235/((D235*10^-4)/(F235*10^-2)*9.81)^(1/2)</f>
        <v>2.2124106366767977</v>
      </c>
      <c r="I235" s="24">
        <v>4.5</v>
      </c>
      <c r="J235" s="13">
        <v>0.56000000000000005</v>
      </c>
      <c r="K235" s="20">
        <f t="shared" ref="K235:K241" si="85">(10.33+M235-0.234)/((E235^2)/19.62)</f>
        <v>106.55124170099569</v>
      </c>
      <c r="M235" s="4">
        <f>-(1.7*J235^2)/19.62</f>
        <v>-2.7172273190621814E-2</v>
      </c>
    </row>
    <row r="236" spans="2:13" x14ac:dyDescent="0.3">
      <c r="B236" s="33" t="s">
        <v>7</v>
      </c>
      <c r="C236" s="24">
        <v>8.4</v>
      </c>
      <c r="D236" s="15">
        <v>30.8453421</v>
      </c>
      <c r="E236" s="12">
        <f t="shared" si="84"/>
        <v>2.723263685248607</v>
      </c>
      <c r="F236" s="12">
        <v>7.9885999999999999</v>
      </c>
      <c r="G236" s="23">
        <v>6.2675109999999999E-3</v>
      </c>
      <c r="H236" s="27">
        <f t="shared" ref="H236:H241" si="86">E236/((D236*10^-4)/(F236*10^-2)*9.81)^(1/2)</f>
        <v>4.4248212733535954</v>
      </c>
      <c r="I236" s="24">
        <v>4.5</v>
      </c>
      <c r="J236" s="13">
        <v>1.82</v>
      </c>
      <c r="K236" s="20">
        <f t="shared" si="85"/>
        <v>25.950398544354215</v>
      </c>
      <c r="M236" s="4">
        <f t="shared" ref="M236:M241" si="87">-(1.7*J236^2)/19.62</f>
        <v>-0.28700713557594287</v>
      </c>
    </row>
    <row r="237" spans="2:13" x14ac:dyDescent="0.3">
      <c r="B237" s="33" t="s">
        <v>8</v>
      </c>
      <c r="C237" s="24">
        <v>12.6</v>
      </c>
      <c r="D237" s="15">
        <v>30.8453421</v>
      </c>
      <c r="E237" s="12">
        <f t="shared" si="84"/>
        <v>4.0848955278729093</v>
      </c>
      <c r="F237" s="12">
        <v>7.9885999999999999</v>
      </c>
      <c r="G237" s="23">
        <v>6.2675109999999999E-3</v>
      </c>
      <c r="H237" s="27">
        <f t="shared" si="86"/>
        <v>6.6372319100303914</v>
      </c>
      <c r="I237" s="24">
        <v>4.5</v>
      </c>
      <c r="J237" s="13">
        <v>4.16</v>
      </c>
      <c r="K237" s="20">
        <f t="shared" si="85"/>
        <v>10.107889559242011</v>
      </c>
      <c r="M237" s="4">
        <f t="shared" si="87"/>
        <v>-1.4994658511722732</v>
      </c>
    </row>
    <row r="238" spans="2:13" x14ac:dyDescent="0.3">
      <c r="B238" s="33" t="s">
        <v>9</v>
      </c>
      <c r="C238" s="24">
        <v>16.8</v>
      </c>
      <c r="D238" s="15">
        <v>30.8453421</v>
      </c>
      <c r="E238" s="12">
        <f t="shared" si="84"/>
        <v>5.4465273704972139</v>
      </c>
      <c r="F238" s="12">
        <v>7.9885999999999999</v>
      </c>
      <c r="G238" s="23">
        <v>6.2675109999999999E-3</v>
      </c>
      <c r="H238" s="27">
        <f t="shared" si="86"/>
        <v>8.8496425467071909</v>
      </c>
      <c r="I238" s="24">
        <v>4.5</v>
      </c>
      <c r="J238" s="13">
        <v>7.43</v>
      </c>
      <c r="K238" s="20">
        <f t="shared" si="85"/>
        <v>3.5137833571329171</v>
      </c>
      <c r="M238" s="4">
        <f t="shared" si="87"/>
        <v>-4.7832991845056059</v>
      </c>
    </row>
    <row r="239" spans="2:13" x14ac:dyDescent="0.3">
      <c r="B239" s="33" t="s">
        <v>10</v>
      </c>
      <c r="C239" s="24">
        <v>21</v>
      </c>
      <c r="D239" s="15">
        <v>30.8453421</v>
      </c>
      <c r="E239" s="12">
        <f t="shared" si="84"/>
        <v>6.8081592131215167</v>
      </c>
      <c r="F239" s="12">
        <v>7.9885999999999999</v>
      </c>
      <c r="G239" s="23">
        <v>6.2675109999999999E-3</v>
      </c>
      <c r="H239" s="27">
        <f t="shared" si="86"/>
        <v>11.062053183383988</v>
      </c>
      <c r="I239" s="24">
        <v>4.5</v>
      </c>
      <c r="J239" s="13">
        <v>10.62</v>
      </c>
      <c r="K239" s="20">
        <f t="shared" si="85"/>
        <v>0.13699889179692815</v>
      </c>
      <c r="M239" s="4">
        <f t="shared" si="87"/>
        <v>-9.7723486238532082</v>
      </c>
    </row>
    <row r="240" spans="2:13" x14ac:dyDescent="0.3">
      <c r="B240" s="33" t="s">
        <v>11</v>
      </c>
      <c r="C240" s="24">
        <v>25.2</v>
      </c>
      <c r="D240" s="15">
        <v>30.8453421</v>
      </c>
      <c r="E240" s="12">
        <f t="shared" si="84"/>
        <v>8.1697910557458187</v>
      </c>
      <c r="F240" s="12">
        <v>7.9885999999999999</v>
      </c>
      <c r="G240" s="23">
        <v>6.2675109999999999E-3</v>
      </c>
      <c r="H240" s="27">
        <f t="shared" si="86"/>
        <v>13.274463820060783</v>
      </c>
      <c r="I240" s="24">
        <v>4.5</v>
      </c>
      <c r="J240" s="13">
        <v>13.32</v>
      </c>
      <c r="K240" s="20">
        <f t="shared" si="85"/>
        <v>-1.5511844525872678</v>
      </c>
      <c r="M240" s="4">
        <f t="shared" si="87"/>
        <v>-15.372990825688074</v>
      </c>
    </row>
    <row r="241" spans="2:13" x14ac:dyDescent="0.3">
      <c r="B241" s="33" t="s">
        <v>12</v>
      </c>
      <c r="C241" s="24">
        <v>29</v>
      </c>
      <c r="D241" s="15">
        <v>30.8453421</v>
      </c>
      <c r="E241" s="12">
        <f t="shared" si="84"/>
        <v>9.401743675263047</v>
      </c>
      <c r="F241" s="12">
        <v>7.9885999999999999</v>
      </c>
      <c r="G241" s="23">
        <v>6.2675109999999999E-3</v>
      </c>
      <c r="H241" s="27">
        <f t="shared" si="86"/>
        <v>15.276168681815982</v>
      </c>
      <c r="I241" s="24">
        <v>4.5</v>
      </c>
      <c r="J241" s="13">
        <v>15.51</v>
      </c>
      <c r="K241" s="20">
        <f t="shared" si="85"/>
        <v>-2.3855866976326254</v>
      </c>
      <c r="M241" s="4">
        <f t="shared" si="87"/>
        <v>-20.843637614678901</v>
      </c>
    </row>
    <row r="242" spans="2:13" x14ac:dyDescent="0.3">
      <c r="B242" s="35"/>
      <c r="C242" s="21"/>
      <c r="D242" s="18"/>
      <c r="E242" s="17"/>
      <c r="F242" s="19"/>
      <c r="G242" s="19"/>
      <c r="H242" s="28"/>
      <c r="I242" s="21"/>
      <c r="J242" s="17"/>
      <c r="K242" s="14"/>
    </row>
    <row r="243" spans="2:13" x14ac:dyDescent="0.3">
      <c r="B243" s="25" t="s">
        <v>48</v>
      </c>
      <c r="C243" s="25"/>
      <c r="D243" s="25"/>
      <c r="E243" s="25"/>
      <c r="F243" s="25"/>
      <c r="G243" s="25"/>
      <c r="H243" s="25"/>
      <c r="I243" s="25"/>
      <c r="J243" s="25"/>
      <c r="K243" s="25"/>
    </row>
    <row r="244" spans="2:13" ht="18" x14ac:dyDescent="0.3">
      <c r="B244" s="33"/>
      <c r="C244" s="22" t="s">
        <v>18</v>
      </c>
      <c r="D244" s="8" t="s">
        <v>19</v>
      </c>
      <c r="E244" s="10" t="s">
        <v>20</v>
      </c>
      <c r="F244" s="9" t="s">
        <v>26</v>
      </c>
      <c r="G244" s="10" t="s">
        <v>16</v>
      </c>
      <c r="H244" s="26" t="s">
        <v>0</v>
      </c>
      <c r="I244" s="6" t="s">
        <v>22</v>
      </c>
      <c r="J244" s="10" t="s">
        <v>23</v>
      </c>
      <c r="K244" s="11" t="s">
        <v>14</v>
      </c>
      <c r="M244" s="4" t="s">
        <v>24</v>
      </c>
    </row>
    <row r="245" spans="2:13" ht="16.8" x14ac:dyDescent="0.3">
      <c r="B245" s="33" t="s">
        <v>1</v>
      </c>
      <c r="C245" s="22"/>
      <c r="D245" s="8" t="s">
        <v>25</v>
      </c>
      <c r="E245" s="10" t="s">
        <v>2</v>
      </c>
      <c r="F245" s="9" t="s">
        <v>3</v>
      </c>
      <c r="G245" s="10" t="s">
        <v>4</v>
      </c>
      <c r="H245" s="26" t="s">
        <v>4</v>
      </c>
      <c r="I245" s="6" t="s">
        <v>5</v>
      </c>
      <c r="J245" s="10" t="s">
        <v>2</v>
      </c>
      <c r="K245" s="11" t="s">
        <v>4</v>
      </c>
      <c r="M245" s="4" t="s">
        <v>15</v>
      </c>
    </row>
    <row r="246" spans="2:13" x14ac:dyDescent="0.3">
      <c r="B246" s="33" t="s">
        <v>6</v>
      </c>
      <c r="C246" s="24">
        <v>4.2</v>
      </c>
      <c r="D246" s="15">
        <v>30.8453421</v>
      </c>
      <c r="E246" s="12">
        <f t="shared" ref="E246:E252" si="88">(C246*10^-3)/(D246*10^-4)</f>
        <v>1.3616318426243035</v>
      </c>
      <c r="F246" s="12">
        <v>7.9885999999999999</v>
      </c>
      <c r="G246" s="23">
        <v>3.1337549999999998E-3</v>
      </c>
      <c r="H246" s="27">
        <f>E246/((D246*10^-4)/(F246*10^-2)*9.81)^(1/2)</f>
        <v>2.2124106366767977</v>
      </c>
      <c r="I246" s="24">
        <v>4.5</v>
      </c>
      <c r="J246" s="13">
        <v>0.54</v>
      </c>
      <c r="K246" s="20">
        <f t="shared" ref="K246:K252" si="89">(10.33+M246-0.234)/((E246^2)/19.62)</f>
        <v>106.57141385169554</v>
      </c>
      <c r="M246" s="4">
        <f>-(1.7*J246^2)/19.62</f>
        <v>-2.5266055045871563E-2</v>
      </c>
    </row>
    <row r="247" spans="2:13" x14ac:dyDescent="0.3">
      <c r="B247" s="33" t="s">
        <v>7</v>
      </c>
      <c r="C247" s="24">
        <v>8.4</v>
      </c>
      <c r="D247" s="15">
        <v>30.8453421</v>
      </c>
      <c r="E247" s="12">
        <f t="shared" si="88"/>
        <v>2.723263685248607</v>
      </c>
      <c r="F247" s="12">
        <v>7.9885999999999999</v>
      </c>
      <c r="G247" s="23">
        <v>3.1337549999999998E-3</v>
      </c>
      <c r="H247" s="27">
        <f t="shared" ref="H247:H252" si="90">E247/((D247*10^-4)/(F247*10^-2)*9.81)^(1/2)</f>
        <v>4.4248212733535954</v>
      </c>
      <c r="I247" s="24">
        <v>4.5</v>
      </c>
      <c r="J247" s="13">
        <v>2.08</v>
      </c>
      <c r="K247" s="20">
        <f t="shared" si="89"/>
        <v>25.717960353335396</v>
      </c>
      <c r="M247" s="4">
        <f t="shared" ref="M247:M252" si="91">-(1.7*J247^2)/19.62</f>
        <v>-0.37486646279306829</v>
      </c>
    </row>
    <row r="248" spans="2:13" x14ac:dyDescent="0.3">
      <c r="B248" s="33" t="s">
        <v>8</v>
      </c>
      <c r="C248" s="24">
        <v>12.6</v>
      </c>
      <c r="D248" s="15">
        <v>30.8453421</v>
      </c>
      <c r="E248" s="12">
        <f t="shared" si="88"/>
        <v>4.0848955278729093</v>
      </c>
      <c r="F248" s="12">
        <v>7.9885999999999999</v>
      </c>
      <c r="G248" s="23">
        <v>3.1337549999999998E-3</v>
      </c>
      <c r="H248" s="27">
        <f t="shared" si="90"/>
        <v>6.6372319100303914</v>
      </c>
      <c r="I248" s="24">
        <v>4.5</v>
      </c>
      <c r="J248" s="13">
        <v>4.92</v>
      </c>
      <c r="K248" s="20">
        <f t="shared" si="89"/>
        <v>9.4048391675774621</v>
      </c>
      <c r="M248" s="4">
        <f t="shared" si="91"/>
        <v>-2.0973944954128436</v>
      </c>
    </row>
    <row r="249" spans="2:13" x14ac:dyDescent="0.3">
      <c r="B249" s="33" t="s">
        <v>9</v>
      </c>
      <c r="C249" s="24">
        <v>16.8</v>
      </c>
      <c r="D249" s="15">
        <v>30.8453421</v>
      </c>
      <c r="E249" s="12">
        <f t="shared" si="88"/>
        <v>5.4465273704972139</v>
      </c>
      <c r="F249" s="12">
        <v>7.9885999999999999</v>
      </c>
      <c r="G249" s="23">
        <v>3.1337549999999998E-3</v>
      </c>
      <c r="H249" s="27">
        <f t="shared" si="90"/>
        <v>8.8496425467071909</v>
      </c>
      <c r="I249" s="24">
        <v>4.5</v>
      </c>
      <c r="J249" s="13">
        <v>6.91</v>
      </c>
      <c r="K249" s="20">
        <f t="shared" si="89"/>
        <v>3.9411120313905923</v>
      </c>
      <c r="M249" s="4">
        <f t="shared" si="91"/>
        <v>-4.1371952089704376</v>
      </c>
    </row>
    <row r="250" spans="2:13" x14ac:dyDescent="0.3">
      <c r="B250" s="33" t="s">
        <v>10</v>
      </c>
      <c r="C250" s="24">
        <v>21</v>
      </c>
      <c r="D250" s="15">
        <v>30.8453421</v>
      </c>
      <c r="E250" s="12">
        <f t="shared" si="88"/>
        <v>6.8081592131215167</v>
      </c>
      <c r="F250" s="12">
        <v>7.9885999999999999</v>
      </c>
      <c r="G250" s="23">
        <v>3.1337549999999998E-3</v>
      </c>
      <c r="H250" s="27">
        <f t="shared" si="90"/>
        <v>11.062053183383988</v>
      </c>
      <c r="I250" s="24">
        <v>4.5</v>
      </c>
      <c r="J250" s="13">
        <v>7.65</v>
      </c>
      <c r="K250" s="20">
        <f t="shared" si="89"/>
        <v>2.1271429355435236</v>
      </c>
      <c r="M250" s="4">
        <f t="shared" si="91"/>
        <v>-5.0707568807339447</v>
      </c>
    </row>
    <row r="251" spans="2:13" x14ac:dyDescent="0.3">
      <c r="B251" s="33" t="s">
        <v>11</v>
      </c>
      <c r="C251" s="24">
        <v>25.2</v>
      </c>
      <c r="D251" s="15">
        <v>30.8453421</v>
      </c>
      <c r="E251" s="12">
        <f t="shared" si="88"/>
        <v>8.1697910557458187</v>
      </c>
      <c r="F251" s="12">
        <v>7.9885999999999999</v>
      </c>
      <c r="G251" s="23">
        <v>3.1337549999999998E-3</v>
      </c>
      <c r="H251" s="27">
        <f t="shared" si="90"/>
        <v>13.274463820060783</v>
      </c>
      <c r="I251" s="24">
        <v>4.5</v>
      </c>
      <c r="J251" s="13">
        <v>9.34</v>
      </c>
      <c r="K251" s="20">
        <f t="shared" si="89"/>
        <v>0.74586317460712626</v>
      </c>
      <c r="M251" s="4">
        <f t="shared" si="91"/>
        <v>-7.5586401630988771</v>
      </c>
    </row>
    <row r="252" spans="2:13" x14ac:dyDescent="0.3">
      <c r="B252" s="33" t="s">
        <v>12</v>
      </c>
      <c r="C252" s="24">
        <v>29.3</v>
      </c>
      <c r="D252" s="15">
        <v>30.8453421</v>
      </c>
      <c r="E252" s="12">
        <f t="shared" si="88"/>
        <v>9.4990030925933535</v>
      </c>
      <c r="F252" s="12">
        <v>7.9885999999999999</v>
      </c>
      <c r="G252" s="23">
        <v>3.1337549999999998E-3</v>
      </c>
      <c r="H252" s="27">
        <f t="shared" si="90"/>
        <v>15.434198013007181</v>
      </c>
      <c r="I252" s="24">
        <v>4.5</v>
      </c>
      <c r="J252" s="13">
        <v>10.82</v>
      </c>
      <c r="K252" s="20">
        <f t="shared" si="89"/>
        <v>-1.0412822398084611E-2</v>
      </c>
      <c r="M252" s="4">
        <f t="shared" si="91"/>
        <v>-10.143887869520896</v>
      </c>
    </row>
    <row r="253" spans="2:13" x14ac:dyDescent="0.3">
      <c r="B253" s="35"/>
      <c r="C253" s="21"/>
      <c r="D253" s="18"/>
      <c r="E253" s="17"/>
      <c r="F253" s="19"/>
      <c r="G253" s="19"/>
      <c r="H253" s="28"/>
      <c r="I253" s="21"/>
      <c r="J253" s="17"/>
      <c r="K253" s="14"/>
    </row>
    <row r="254" spans="2:13" x14ac:dyDescent="0.3">
      <c r="B254" s="25" t="s">
        <v>49</v>
      </c>
      <c r="C254" s="25"/>
      <c r="D254" s="25"/>
      <c r="E254" s="25"/>
      <c r="F254" s="25"/>
      <c r="G254" s="25"/>
      <c r="H254" s="25"/>
      <c r="I254" s="25"/>
      <c r="J254" s="25"/>
      <c r="K254" s="25"/>
    </row>
    <row r="255" spans="2:13" ht="18" x14ac:dyDescent="0.3">
      <c r="B255" s="33"/>
      <c r="C255" s="22" t="s">
        <v>18</v>
      </c>
      <c r="D255" s="8" t="s">
        <v>19</v>
      </c>
      <c r="E255" s="10" t="s">
        <v>20</v>
      </c>
      <c r="F255" s="9" t="s">
        <v>26</v>
      </c>
      <c r="G255" s="10" t="s">
        <v>16</v>
      </c>
      <c r="H255" s="26" t="s">
        <v>0</v>
      </c>
      <c r="I255" s="6" t="s">
        <v>22</v>
      </c>
      <c r="J255" s="10" t="s">
        <v>23</v>
      </c>
      <c r="K255" s="11" t="s">
        <v>14</v>
      </c>
      <c r="M255" s="4" t="s">
        <v>24</v>
      </c>
    </row>
    <row r="256" spans="2:13" ht="16.8" x14ac:dyDescent="0.3">
      <c r="B256" s="33" t="s">
        <v>1</v>
      </c>
      <c r="C256" s="22"/>
      <c r="D256" s="8" t="s">
        <v>25</v>
      </c>
      <c r="E256" s="10" t="s">
        <v>2</v>
      </c>
      <c r="F256" s="9" t="s">
        <v>3</v>
      </c>
      <c r="G256" s="10" t="s">
        <v>4</v>
      </c>
      <c r="H256" s="26" t="s">
        <v>4</v>
      </c>
      <c r="I256" s="6" t="s">
        <v>5</v>
      </c>
      <c r="J256" s="10" t="s">
        <v>2</v>
      </c>
      <c r="K256" s="11" t="s">
        <v>4</v>
      </c>
      <c r="M256" s="4" t="s">
        <v>15</v>
      </c>
    </row>
    <row r="257" spans="2:13" x14ac:dyDescent="0.3">
      <c r="B257" s="33" t="s">
        <v>6</v>
      </c>
      <c r="C257" s="24">
        <v>4.2</v>
      </c>
      <c r="D257" s="15">
        <v>30.8453421</v>
      </c>
      <c r="E257" s="12">
        <f t="shared" ref="E257:E263" si="92">(C257*10^-3)/(D257*10^-4)</f>
        <v>1.3616318426243035</v>
      </c>
      <c r="F257" s="12">
        <v>7.9885999999999999</v>
      </c>
      <c r="G257" s="23">
        <v>2.08917E-3</v>
      </c>
      <c r="H257" s="27">
        <f>E257/((D257*10^-4)/(F257*10^-2)*9.81)^(1/2)</f>
        <v>2.2124106366767977</v>
      </c>
      <c r="I257" s="24">
        <v>3</v>
      </c>
      <c r="J257" s="13">
        <v>0</v>
      </c>
      <c r="K257" s="20">
        <f t="shared" ref="K257:K263" si="93">(10.33+M257-0.234)/((E257^2)/19.62)</f>
        <v>106.83878654006276</v>
      </c>
      <c r="M257" s="4">
        <f>-(1.7*J257^2)/19.62</f>
        <v>0</v>
      </c>
    </row>
    <row r="258" spans="2:13" x14ac:dyDescent="0.3">
      <c r="B258" s="33" t="s">
        <v>7</v>
      </c>
      <c r="C258" s="24">
        <v>8.4</v>
      </c>
      <c r="D258" s="15">
        <v>30.8453421</v>
      </c>
      <c r="E258" s="12">
        <f t="shared" si="92"/>
        <v>2.723263685248607</v>
      </c>
      <c r="F258" s="12">
        <v>7.9885999999999999</v>
      </c>
      <c r="G258" s="23">
        <v>2.08917E-3</v>
      </c>
      <c r="H258" s="27">
        <f t="shared" ref="H258:H263" si="94">E258/((D258*10^-4)/(F258*10^-2)*9.81)^(1/2)</f>
        <v>4.4248212733535954</v>
      </c>
      <c r="I258" s="24">
        <v>4.5</v>
      </c>
      <c r="J258" s="13">
        <v>1.05</v>
      </c>
      <c r="K258" s="20">
        <f t="shared" si="93"/>
        <v>26.456971678804397</v>
      </c>
      <c r="M258" s="4">
        <f t="shared" ref="M258:M263" si="95">-(1.7*J258^2)/19.62</f>
        <v>-9.5527522935779804E-2</v>
      </c>
    </row>
    <row r="259" spans="2:13" x14ac:dyDescent="0.3">
      <c r="B259" s="33" t="s">
        <v>8</v>
      </c>
      <c r="C259" s="24">
        <v>12.6</v>
      </c>
      <c r="D259" s="15">
        <v>30.8453421</v>
      </c>
      <c r="E259" s="12">
        <f t="shared" si="92"/>
        <v>4.0848955278729093</v>
      </c>
      <c r="F259" s="12">
        <v>7.9885999999999999</v>
      </c>
      <c r="G259" s="23">
        <v>2.08917E-3</v>
      </c>
      <c r="H259" s="27">
        <f t="shared" si="94"/>
        <v>6.6372319100303914</v>
      </c>
      <c r="I259" s="24">
        <v>4.5</v>
      </c>
      <c r="J259" s="13">
        <v>1.65</v>
      </c>
      <c r="K259" s="20">
        <f t="shared" si="93"/>
        <v>11.593609210106154</v>
      </c>
      <c r="M259" s="4">
        <f t="shared" si="95"/>
        <v>-0.23589449541284399</v>
      </c>
    </row>
    <row r="260" spans="2:13" x14ac:dyDescent="0.3">
      <c r="B260" s="33" t="s">
        <v>9</v>
      </c>
      <c r="C260" s="24">
        <v>16.8</v>
      </c>
      <c r="D260" s="15">
        <v>30.8453421</v>
      </c>
      <c r="E260" s="12">
        <f t="shared" si="92"/>
        <v>5.4465273704972139</v>
      </c>
      <c r="F260" s="12">
        <v>7.9885999999999999</v>
      </c>
      <c r="G260" s="23">
        <v>2.08917E-3</v>
      </c>
      <c r="H260" s="27">
        <f t="shared" si="94"/>
        <v>8.8496425467071909</v>
      </c>
      <c r="I260" s="24">
        <v>4.5</v>
      </c>
      <c r="J260" s="13">
        <v>2.98</v>
      </c>
      <c r="K260" s="20">
        <f t="shared" si="93"/>
        <v>6.1685128886544351</v>
      </c>
      <c r="M260" s="4">
        <f t="shared" si="95"/>
        <v>-0.76945361875637097</v>
      </c>
    </row>
    <row r="261" spans="2:13" x14ac:dyDescent="0.3">
      <c r="B261" s="33" t="s">
        <v>10</v>
      </c>
      <c r="C261" s="24">
        <v>21</v>
      </c>
      <c r="D261" s="15">
        <v>30.8453421</v>
      </c>
      <c r="E261" s="12">
        <f t="shared" si="92"/>
        <v>6.8081592131215167</v>
      </c>
      <c r="F261" s="12">
        <v>7.9885999999999999</v>
      </c>
      <c r="G261" s="23">
        <v>2.08917E-3</v>
      </c>
      <c r="H261" s="27">
        <f t="shared" si="94"/>
        <v>11.062053183383988</v>
      </c>
      <c r="I261" s="24">
        <v>4.5</v>
      </c>
      <c r="J261" s="13">
        <v>4.01</v>
      </c>
      <c r="K261" s="20">
        <f t="shared" si="93"/>
        <v>3.683787460750171</v>
      </c>
      <c r="M261" s="4">
        <f t="shared" si="95"/>
        <v>-1.393280835881753</v>
      </c>
    </row>
    <row r="262" spans="2:13" x14ac:dyDescent="0.3">
      <c r="B262" s="33" t="s">
        <v>11</v>
      </c>
      <c r="C262" s="24">
        <v>25.2</v>
      </c>
      <c r="D262" s="15">
        <v>30.8453421</v>
      </c>
      <c r="E262" s="12">
        <f t="shared" si="92"/>
        <v>8.1697910557458187</v>
      </c>
      <c r="F262" s="12">
        <v>7.9885999999999999</v>
      </c>
      <c r="G262" s="23">
        <v>2.08917E-3</v>
      </c>
      <c r="H262" s="27">
        <f t="shared" si="94"/>
        <v>13.274463820060783</v>
      </c>
      <c r="I262" s="24">
        <v>4.5</v>
      </c>
      <c r="J262" s="13">
        <v>5.59</v>
      </c>
      <c r="K262" s="20">
        <f t="shared" si="93"/>
        <v>2.171858486865085</v>
      </c>
      <c r="M262" s="4">
        <f t="shared" si="95"/>
        <v>-2.7075316004077465</v>
      </c>
    </row>
    <row r="263" spans="2:13" x14ac:dyDescent="0.3">
      <c r="B263" s="33" t="s">
        <v>12</v>
      </c>
      <c r="C263" s="24">
        <v>29.6</v>
      </c>
      <c r="D263" s="15">
        <v>30.8453421</v>
      </c>
      <c r="E263" s="12">
        <f t="shared" si="92"/>
        <v>9.5962625099236618</v>
      </c>
      <c r="F263" s="12">
        <v>7.9885999999999999</v>
      </c>
      <c r="G263" s="23">
        <v>2.08917E-3</v>
      </c>
      <c r="H263" s="27">
        <f t="shared" si="94"/>
        <v>15.592227344198381</v>
      </c>
      <c r="I263" s="24">
        <v>4.5</v>
      </c>
      <c r="J263" s="13">
        <v>7.06</v>
      </c>
      <c r="K263" s="20">
        <f t="shared" si="93"/>
        <v>1.2308779337247449</v>
      </c>
      <c r="M263" s="4">
        <f t="shared" si="95"/>
        <v>-4.3187624872578994</v>
      </c>
    </row>
  </sheetData>
  <mergeCells count="48">
    <mergeCell ref="C233:C234"/>
    <mergeCell ref="B243:K243"/>
    <mergeCell ref="C244:C245"/>
    <mergeCell ref="B254:K254"/>
    <mergeCell ref="C255:C256"/>
    <mergeCell ref="B210:K210"/>
    <mergeCell ref="C211:C212"/>
    <mergeCell ref="B221:K221"/>
    <mergeCell ref="C222:C223"/>
    <mergeCell ref="B232:K232"/>
    <mergeCell ref="C178:C179"/>
    <mergeCell ref="B188:K188"/>
    <mergeCell ref="C189:C190"/>
    <mergeCell ref="B199:K199"/>
    <mergeCell ref="C200:C201"/>
    <mergeCell ref="B155:K155"/>
    <mergeCell ref="C156:C157"/>
    <mergeCell ref="B166:K166"/>
    <mergeCell ref="C167:C168"/>
    <mergeCell ref="B177:K177"/>
    <mergeCell ref="C123:C124"/>
    <mergeCell ref="B133:K133"/>
    <mergeCell ref="C134:C135"/>
    <mergeCell ref="B144:K144"/>
    <mergeCell ref="C145:C146"/>
    <mergeCell ref="B100:K100"/>
    <mergeCell ref="C101:C102"/>
    <mergeCell ref="B111:K111"/>
    <mergeCell ref="C112:C113"/>
    <mergeCell ref="B122:K122"/>
    <mergeCell ref="C68:C69"/>
    <mergeCell ref="B78:K78"/>
    <mergeCell ref="C79:C80"/>
    <mergeCell ref="B89:K89"/>
    <mergeCell ref="C90:C91"/>
    <mergeCell ref="B45:K45"/>
    <mergeCell ref="C46:C47"/>
    <mergeCell ref="B56:K56"/>
    <mergeCell ref="C57:C58"/>
    <mergeCell ref="B67:K67"/>
    <mergeCell ref="C35:C36"/>
    <mergeCell ref="B1:K1"/>
    <mergeCell ref="C2:C3"/>
    <mergeCell ref="B12:K12"/>
    <mergeCell ref="C13:C14"/>
    <mergeCell ref="B23:K23"/>
    <mergeCell ref="C24:C25"/>
    <mergeCell ref="B34:K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111" zoomScaleNormal="111" workbookViewId="0">
      <selection activeCell="F1" sqref="F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60-100 Sluice</vt:lpstr>
      <vt:lpstr>100-60 Sluice</vt:lpstr>
      <vt:lpstr>Circular Sluice</vt:lpstr>
      <vt:lpstr>Figures Sluice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2025-03-13T11:32:53Z</dcterms:modified>
</cp:coreProperties>
</file>